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bir\College Work\Semester 6\CSD 330\Assignments\"/>
    </mc:Choice>
  </mc:AlternateContent>
  <xr:revisionPtr revIDLastSave="0" documentId="8_{B80DB611-83F2-40AF-A7CA-DC8CC7F534BB}" xr6:coauthVersionLast="45" xr6:coauthVersionMax="45" xr10:uidLastSave="{00000000-0000-0000-0000-000000000000}"/>
  <bookViews>
    <workbookView xWindow="-96" yWindow="-96" windowWidth="23232" windowHeight="12552" xr2:uid="{BEE0944B-A65A-4DE7-A81A-1B4051F34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1" i="1" l="1"/>
  <c r="R11" i="1"/>
  <c r="S11" i="1"/>
  <c r="P11" i="1"/>
  <c r="S12" i="1"/>
  <c r="R12" i="1"/>
  <c r="Q12" i="1"/>
  <c r="P12" i="1"/>
  <c r="S10" i="1"/>
  <c r="R10" i="1"/>
  <c r="Q10" i="1"/>
  <c r="P1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2" i="1"/>
</calcChain>
</file>

<file path=xl/sharedStrings.xml><?xml version="1.0" encoding="utf-8"?>
<sst xmlns="http://schemas.openxmlformats.org/spreadsheetml/2006/main" count="189" uniqueCount="170">
  <si>
    <t>5.1,3.5,1.4,0.2,Iris-setosa</t>
  </si>
  <si>
    <t>4.9,3.0,1.4,0.2,Iris-setosa</t>
  </si>
  <si>
    <t>4.7,3.2,1.3,0.2,Iris-setosa</t>
  </si>
  <si>
    <t>4.6,3.1,1.5,0.2,Iris-setosa</t>
  </si>
  <si>
    <t>5.0,3.6,1.4,0.2,Iris-setosa</t>
  </si>
  <si>
    <t>5.4,3.9,1.7,0.4,Iris-setosa</t>
  </si>
  <si>
    <t>4.6,3.4,1.4,0.3,Iris-setosa</t>
  </si>
  <si>
    <t>5.0,3.4,1.5,0.2,Iris-setosa</t>
  </si>
  <si>
    <t>4.4,2.9,1.4,0.2,Iris-setosa</t>
  </si>
  <si>
    <t>4.9,3.1,1.5,0.1,Iris-setosa</t>
  </si>
  <si>
    <t>5.4,3.7,1.5,0.2,Iris-setosa</t>
  </si>
  <si>
    <t>4.8,3.4,1.6,0.2,Iris-setosa</t>
  </si>
  <si>
    <t>4.8,3.0,1.4,0.1,Iris-setosa</t>
  </si>
  <si>
    <t>4.3,3.0,1.1,0.1,Iris-setosa</t>
  </si>
  <si>
    <t>5.8,4.0,1.2,0.2,Iris-setosa</t>
  </si>
  <si>
    <t>5.7,4.4,1.5,0.4,Iris-setosa</t>
  </si>
  <si>
    <t>5.4,3.9,1.3,0.4,Iris-setosa</t>
  </si>
  <si>
    <t>5.1,3.5,1.4,0.3,Iris-setosa</t>
  </si>
  <si>
    <t>5.7,3.8,1.7,0.3,Iris-setosa</t>
  </si>
  <si>
    <t>5.1,3.8,1.5,0.3,Iris-setosa</t>
  </si>
  <si>
    <t>5.4,3.4,1.7,0.2,Iris-setosa</t>
  </si>
  <si>
    <t>5.1,3.7,1.5,0.4,Iris-setosa</t>
  </si>
  <si>
    <t>4.6,3.6,1.0,0.2,Iris-setosa</t>
  </si>
  <si>
    <t>5.1,3.3,1.7,0.5,Iris-setosa</t>
  </si>
  <si>
    <t>4.8,3.4,1.9,0.2,Iris-setosa</t>
  </si>
  <si>
    <t>5.0,3.0,1.6,0.2,Iris-setosa</t>
  </si>
  <si>
    <t>5.0,3.4,1.6,0.4,Iris-setosa</t>
  </si>
  <si>
    <t>5.2,3.5,1.5,0.2,Iris-setosa</t>
  </si>
  <si>
    <t>5.2,3.4,1.4,0.2,Iris-setosa</t>
  </si>
  <si>
    <t>4.7,3.2,1.6,0.2,Iris-setosa</t>
  </si>
  <si>
    <t>4.8,3.1,1.6,0.2,Iris-setosa</t>
  </si>
  <si>
    <t>5.4,3.4,1.5,0.4,Iris-setosa</t>
  </si>
  <si>
    <t>5.2,4.1,1.5,0.1,Iris-setosa</t>
  </si>
  <si>
    <t>5.5,4.2,1.4,0.2,Iris-setosa</t>
  </si>
  <si>
    <t>5.0,3.2,1.2,0.2,Iris-setosa</t>
  </si>
  <si>
    <t>5.5,3.5,1.3,0.2,Iris-setosa</t>
  </si>
  <si>
    <t>4.4,3.0,1.3,0.2,Iris-setosa</t>
  </si>
  <si>
    <t>5.1,3.4,1.5,0.2,Iris-setosa</t>
  </si>
  <si>
    <t>5.0,3.5,1.3,0.3,Iris-setosa</t>
  </si>
  <si>
    <t>4.5,2.3,1.3,0.3,Iris-setosa</t>
  </si>
  <si>
    <t>4.4,3.2,1.3,0.2,Iris-setosa</t>
  </si>
  <si>
    <t>5.0,3.5,1.6,0.6,Iris-setosa</t>
  </si>
  <si>
    <t>5.1,3.8,1.9,0.4,Iris-setosa</t>
  </si>
  <si>
    <t>4.8,3.0,1.4,0.3,Iris-setosa</t>
  </si>
  <si>
    <t>5.1,3.8,1.6,0.2,Iris-setosa</t>
  </si>
  <si>
    <t>4.6,3.2,1.4,0.2,Iris-setosa</t>
  </si>
  <si>
    <t>5.3,3.7,1.5,0.2,Iris-setosa</t>
  </si>
  <si>
    <t>5.0,3.3,1.4,0.2,Iris-setosa</t>
  </si>
  <si>
    <t>7.0,3.2,4.7,1.4,Iris-versicolor</t>
  </si>
  <si>
    <t>6.4,3.2,4.5,1.5,Iris-versicolor</t>
  </si>
  <si>
    <t>6.9,3.1,4.9,1.5,Iris-versicolor</t>
  </si>
  <si>
    <t>5.5,2.3,4.0,1.3,Iris-versicolor</t>
  </si>
  <si>
    <t>6.5,2.8,4.6,1.5,Iris-versicolor</t>
  </si>
  <si>
    <t>5.7,2.8,4.5,1.3,Iris-versicolor</t>
  </si>
  <si>
    <t>6.3,3.3,4.7,1.6,Iris-versicolor</t>
  </si>
  <si>
    <t>4.9,2.4,3.3,1.0,Iris-versicolor</t>
  </si>
  <si>
    <t>6.6,2.9,4.6,1.3,Iris-versicolor</t>
  </si>
  <si>
    <t>5.2,2.7,3.9,1.4,Iris-versicolor</t>
  </si>
  <si>
    <t>5.0,2.0,3.5,1.0,Iris-versicolor</t>
  </si>
  <si>
    <t>5.9,3.0,4.2,1.5,Iris-versicolor</t>
  </si>
  <si>
    <t>6.0,2.2,4.0,1.0,Iris-versicolor</t>
  </si>
  <si>
    <t>6.1,2.9,4.7,1.4,Iris-versicolor</t>
  </si>
  <si>
    <t>5.6,2.9,3.6,1.3,Iris-versicolor</t>
  </si>
  <si>
    <t>6.7,3.1,4.4,1.4,Iris-versicolor</t>
  </si>
  <si>
    <t>5.6,3.0,4.5,1.5,Iris-versicolor</t>
  </si>
  <si>
    <t>5.8,2.7,4.1,1.0,Iris-versicolor</t>
  </si>
  <si>
    <t>6.2,2.2,4.5,1.5,Iris-versicolor</t>
  </si>
  <si>
    <t>5.6,2.5,3.9,1.1,Iris-versicolor</t>
  </si>
  <si>
    <t>5.9,3.2,4.8,1.8,Iris-versicolor</t>
  </si>
  <si>
    <t>6.1,2.8,4.0,1.3,Iris-versicolor</t>
  </si>
  <si>
    <t>6.3,2.5,4.9,1.5,Iris-versicolor</t>
  </si>
  <si>
    <t>6.1,2.8,4.7,1.2,Iris-versicolor</t>
  </si>
  <si>
    <t>6.4,2.9,4.3,1.3,Iris-versicolor</t>
  </si>
  <si>
    <t>6.6,3.0,4.4,1.4,Iris-versicolor</t>
  </si>
  <si>
    <t>6.8,2.8,4.8,1.4,Iris-versicolor</t>
  </si>
  <si>
    <t>6.7,3.0,5.0,1.7,Iris-versicolor</t>
  </si>
  <si>
    <t>6.0,2.9,4.5,1.5,Iris-versicolor</t>
  </si>
  <si>
    <t>5.7,2.6,3.5,1.0,Iris-versicolor</t>
  </si>
  <si>
    <t>5.5,2.4,3.8,1.1,Iris-versicolor</t>
  </si>
  <si>
    <t>5.5,2.4,3.7,1.0,Iris-versicolor</t>
  </si>
  <si>
    <t>5.8,2.7,3.9,1.2,Iris-versicolor</t>
  </si>
  <si>
    <t>6.0,2.7,5.1,1.6,Iris-versicolor</t>
  </si>
  <si>
    <t>5.4,3.0,4.5,1.5,Iris-versicolor</t>
  </si>
  <si>
    <t>6.0,3.4,4.5,1.6,Iris-versicolor</t>
  </si>
  <si>
    <t>6.7,3.1,4.7,1.5,Iris-versicolor</t>
  </si>
  <si>
    <t>6.3,2.3,4.4,1.3,Iris-versicolor</t>
  </si>
  <si>
    <t>5.6,3.0,4.1,1.3,Iris-versicolor</t>
  </si>
  <si>
    <t>5.5,2.5,4.0,1.3,Iris-versicolor</t>
  </si>
  <si>
    <t>5.5,2.6,4.4,1.2,Iris-versicolor</t>
  </si>
  <si>
    <t>6.1,3.0,4.6,1.4,Iris-versicolor</t>
  </si>
  <si>
    <t>5.8,2.6,4.0,1.2,Iris-versicolor</t>
  </si>
  <si>
    <t>5.0,2.3,3.3,1.0,Iris-versicolor</t>
  </si>
  <si>
    <t>5.6,2.7,4.2,1.3,Iris-versicolor</t>
  </si>
  <si>
    <t>5.7,3.0,4.2,1.2,Iris-versicolor</t>
  </si>
  <si>
    <t>5.7,2.9,4.2,1.3,Iris-versicolor</t>
  </si>
  <si>
    <t>6.2,2.9,4.3,1.3,Iris-versicolor</t>
  </si>
  <si>
    <t>5.1,2.5,3.0,1.1,Iris-versicolor</t>
  </si>
  <si>
    <t>5.7,2.8,4.1,1.3,Iris-versicolor</t>
  </si>
  <si>
    <t>6.3,3.3,6.0,2.5,Iris-virginica</t>
  </si>
  <si>
    <t>5.8,2.7,5.1,1.9,Iris-virginica</t>
  </si>
  <si>
    <t>7.1,3.0,5.9,2.1,Iris-virginica</t>
  </si>
  <si>
    <t>6.3,2.9,5.6,1.8,Iris-virginica</t>
  </si>
  <si>
    <t>6.5,3.0,5.8,2.2,Iris-virginica</t>
  </si>
  <si>
    <t>7.6,3.0,6.6,2.1,Iris-virginica</t>
  </si>
  <si>
    <t>4.9,2.5,4.5,1.7,Iris-virginica</t>
  </si>
  <si>
    <t>7.3,2.9,6.3,1.8,Iris-virginica</t>
  </si>
  <si>
    <t>6.7,2.5,5.8,1.8,Iris-virginica</t>
  </si>
  <si>
    <t>7.2,3.6,6.1,2.5,Iris-virginica</t>
  </si>
  <si>
    <t>6.5,3.2,5.1,2.0,Iris-virginica</t>
  </si>
  <si>
    <t>6.4,2.7,5.3,1.9,Iris-virginica</t>
  </si>
  <si>
    <t>6.8,3.0,5.5,2.1,Iris-virginica</t>
  </si>
  <si>
    <t>5.7,2.5,5.0,2.0,Iris-virginica</t>
  </si>
  <si>
    <t>5.8,2.8,5.1,2.4,Iris-virginica</t>
  </si>
  <si>
    <t>6.4,3.2,5.3,2.3,Iris-virginica</t>
  </si>
  <si>
    <t>6.5,3.0,5.5,1.8,Iris-virginica</t>
  </si>
  <si>
    <t>7.7,3.8,6.7,2.2,Iris-virginica</t>
  </si>
  <si>
    <t>7.7,2.6,6.9,2.3,Iris-virginica</t>
  </si>
  <si>
    <t>6.0,2.2,5.0,1.5,Iris-virginica</t>
  </si>
  <si>
    <t>6.9,3.2,5.7,2.3,Iris-virginica</t>
  </si>
  <si>
    <t>5.6,2.8,4.9,2.0,Iris-virginica</t>
  </si>
  <si>
    <t>7.7,2.8,6.7,2.0,Iris-virginica</t>
  </si>
  <si>
    <t>6.3,2.7,4.9,1.8,Iris-virginica</t>
  </si>
  <si>
    <t>6.7,3.3,5.7,2.1,Iris-virginica</t>
  </si>
  <si>
    <t>7.2,3.2,6.0,1.8,Iris-virginica</t>
  </si>
  <si>
    <t>6.2,2.8,4.8,1.8,Iris-virginica</t>
  </si>
  <si>
    <t>6.1,3.0,4.9,1.8,Iris-virginica</t>
  </si>
  <si>
    <t>6.4,2.8,5.6,2.1,Iris-virginica</t>
  </si>
  <si>
    <t>7.2,3.0,5.8,1.6,Iris-virginica</t>
  </si>
  <si>
    <t>7.4,2.8,6.1,1.9,Iris-virginica</t>
  </si>
  <si>
    <t>7.9,3.8,6.4,2.0,Iris-virginica</t>
  </si>
  <si>
    <t>6.4,2.8,5.6,2.2,Iris-virginica</t>
  </si>
  <si>
    <t>6.3,2.8,5.1,1.5,Iris-virginica</t>
  </si>
  <si>
    <t>6.1,2.6,5.6,1.4,Iris-virginica</t>
  </si>
  <si>
    <t>7.7,3.0,6.1,2.3,Iris-virginica</t>
  </si>
  <si>
    <t>6.3,3.4,5.6,2.4,Iris-virginica</t>
  </si>
  <si>
    <t>6.4,3.1,5.5,1.8,Iris-virginica</t>
  </si>
  <si>
    <t>6.0,3.0,4.8,1.8,Iris-virginica</t>
  </si>
  <si>
    <t>6.9,3.1,5.4,2.1,Iris-virginica</t>
  </si>
  <si>
    <t>6.7,3.1,5.6,2.4,Iris-virginica</t>
  </si>
  <si>
    <t>6.9,3.1,5.1,2.3,Iris-virginica</t>
  </si>
  <si>
    <t>6.8,3.2,5.9,2.3,Iris-virginica</t>
  </si>
  <si>
    <t>6.7,3.3,5.7,2.5,Iris-virginica</t>
  </si>
  <si>
    <t>6.7,3.0,5.2,2.3,Iris-virginica</t>
  </si>
  <si>
    <t>6.3,2.5,5.0,1.9,Iris-virginica</t>
  </si>
  <si>
    <t>6.5,3.0,5.2,2.0,Iris-virginica</t>
  </si>
  <si>
    <t>6.2,3.4,5.4,2.3,Iris-virginica</t>
  </si>
  <si>
    <t>5.9,3.0,5.1,1.8,Iris-virginica</t>
  </si>
  <si>
    <t>Sepal width</t>
  </si>
  <si>
    <t>Sepal length</t>
  </si>
  <si>
    <t>Petal width</t>
  </si>
  <si>
    <t>Petal length</t>
  </si>
  <si>
    <t>Class</t>
  </si>
  <si>
    <t>S. No.</t>
  </si>
  <si>
    <t>RANGES</t>
  </si>
  <si>
    <t>Small</t>
  </si>
  <si>
    <t>Medium</t>
  </si>
  <si>
    <t>Large</t>
  </si>
  <si>
    <t>&gt;6.2</t>
  </si>
  <si>
    <t>Between</t>
  </si>
  <si>
    <t>&gt;3.1</t>
  </si>
  <si>
    <t>&gt;4.8</t>
  </si>
  <si>
    <t>&gt;1.6</t>
  </si>
  <si>
    <t>Data</t>
  </si>
  <si>
    <t>&lt;5.5</t>
  </si>
  <si>
    <t>&lt;2.9</t>
  </si>
  <si>
    <t>&lt;3</t>
  </si>
  <si>
    <t>&lt;1</t>
  </si>
  <si>
    <t>COUNTS</t>
  </si>
  <si>
    <t>Size</t>
  </si>
  <si>
    <t>SORTED 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</si>
</sst>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NumberFormat="1" applyBorder="1"/>
    <xf numFmtId="0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4" xfId="0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/>
  </cellXfs>
  <cellStyles count="1">
    <cellStyle name="Normal" xfId="0" builtinId="0"/>
  </cellStyles>
  <dxfs count="7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3C98-FD4B-4551-B75A-7508DB019A32}">
  <dimension ref="A1:S151"/>
  <sheetViews>
    <sheetView tabSelected="1" topLeftCell="A126" workbookViewId="0">
      <selection activeCell="D131" sqref="D1:D1048576"/>
    </sheetView>
  </sheetViews>
  <sheetFormatPr defaultRowHeight="14.4" x14ac:dyDescent="0.55000000000000004"/>
  <cols>
    <col min="1" max="1" width="5.26171875" style="2" bestFit="1" customWidth="1"/>
    <col min="2" max="2" width="23.26171875" bestFit="1" customWidth="1"/>
    <col min="3" max="3" width="10.734375" style="2" customWidth="1"/>
    <col min="4" max="4" width="10.734375" style="2" hidden="1" customWidth="1"/>
    <col min="5" max="5" width="10.734375" style="2" customWidth="1"/>
    <col min="6" max="6" width="10.734375" style="2" hidden="1" customWidth="1"/>
    <col min="7" max="7" width="11.62890625" customWidth="1"/>
    <col min="8" max="8" width="5.89453125" customWidth="1"/>
    <col min="9" max="9" width="5.26171875" style="4" bestFit="1" customWidth="1"/>
    <col min="10" max="13" width="7.3671875" customWidth="1"/>
    <col min="14" max="14" width="5.9453125" customWidth="1"/>
    <col min="15" max="19" width="11.20703125" customWidth="1"/>
  </cols>
  <sheetData>
    <row r="1" spans="1:19" x14ac:dyDescent="0.55000000000000004">
      <c r="A1" s="5" t="s">
        <v>152</v>
      </c>
      <c r="B1" s="2" t="s">
        <v>162</v>
      </c>
      <c r="C1" s="10" t="s">
        <v>148</v>
      </c>
      <c r="D1" s="11" t="s">
        <v>147</v>
      </c>
      <c r="E1" s="11" t="s">
        <v>150</v>
      </c>
      <c r="F1" s="2" t="s">
        <v>149</v>
      </c>
      <c r="G1" s="2" t="s">
        <v>151</v>
      </c>
      <c r="I1" s="5" t="s">
        <v>152</v>
      </c>
      <c r="J1" s="3" t="s">
        <v>169</v>
      </c>
      <c r="K1" s="3"/>
      <c r="L1" s="3"/>
      <c r="M1" s="3"/>
    </row>
    <row r="2" spans="1:19" x14ac:dyDescent="0.55000000000000004">
      <c r="A2" s="5">
        <v>1</v>
      </c>
      <c r="B2" t="s">
        <v>0</v>
      </c>
      <c r="C2" s="8">
        <v>5.0999999999999996</v>
      </c>
      <c r="D2" s="8">
        <v>3.5</v>
      </c>
      <c r="E2" s="8">
        <v>1.4</v>
      </c>
      <c r="F2" s="8">
        <v>0.2</v>
      </c>
      <c r="G2" t="str">
        <f>MID(B2,17,100)</f>
        <v>Iris-setosa</v>
      </c>
      <c r="I2" s="4">
        <v>1</v>
      </c>
      <c r="J2" s="1">
        <v>4.3</v>
      </c>
      <c r="K2" s="1">
        <v>2</v>
      </c>
      <c r="L2" s="1">
        <v>1</v>
      </c>
      <c r="M2" s="1">
        <v>0.1</v>
      </c>
      <c r="O2" s="16" t="s">
        <v>153</v>
      </c>
      <c r="P2" s="17"/>
      <c r="Q2" s="17"/>
      <c r="R2" s="17"/>
      <c r="S2" s="18"/>
    </row>
    <row r="3" spans="1:19" x14ac:dyDescent="0.55000000000000004">
      <c r="A3" s="5">
        <v>2</v>
      </c>
      <c r="B3" t="s">
        <v>1</v>
      </c>
      <c r="C3" s="8">
        <v>4.9000000000000004</v>
      </c>
      <c r="D3" s="8">
        <v>3</v>
      </c>
      <c r="E3" s="8">
        <v>1.4</v>
      </c>
      <c r="F3" s="8">
        <v>0.2</v>
      </c>
      <c r="G3" t="str">
        <f t="shared" ref="G3:G66" si="0">MID(B3,17,100)</f>
        <v>Iris-setosa</v>
      </c>
      <c r="I3" s="4">
        <v>2</v>
      </c>
      <c r="J3" s="1">
        <v>4.4000000000000004</v>
      </c>
      <c r="K3" s="1">
        <v>2.2000000000000002</v>
      </c>
      <c r="L3" s="1">
        <v>1.1000000000000001</v>
      </c>
      <c r="M3" s="1">
        <v>0.1</v>
      </c>
      <c r="O3" s="19" t="s">
        <v>168</v>
      </c>
      <c r="P3" s="19" t="s">
        <v>147</v>
      </c>
      <c r="Q3" s="19" t="s">
        <v>148</v>
      </c>
      <c r="R3" s="19" t="s">
        <v>149</v>
      </c>
      <c r="S3" s="19" t="s">
        <v>150</v>
      </c>
    </row>
    <row r="4" spans="1:19" x14ac:dyDescent="0.55000000000000004">
      <c r="A4" s="5">
        <v>3</v>
      </c>
      <c r="B4" t="s">
        <v>2</v>
      </c>
      <c r="C4" s="8">
        <v>4.7</v>
      </c>
      <c r="D4" s="8">
        <v>3.2</v>
      </c>
      <c r="E4" s="8">
        <v>1.3</v>
      </c>
      <c r="F4" s="8">
        <v>0.2</v>
      </c>
      <c r="G4" t="str">
        <f t="shared" si="0"/>
        <v>Iris-setosa</v>
      </c>
      <c r="I4" s="4">
        <v>3</v>
      </c>
      <c r="J4" s="1">
        <v>4.4000000000000004</v>
      </c>
      <c r="K4" s="1">
        <v>2.2000000000000002</v>
      </c>
      <c r="L4" s="1">
        <v>1.2</v>
      </c>
      <c r="M4" s="1">
        <v>0.1</v>
      </c>
      <c r="O4" s="19" t="s">
        <v>154</v>
      </c>
      <c r="P4" s="19" t="s">
        <v>163</v>
      </c>
      <c r="Q4" s="19" t="s">
        <v>164</v>
      </c>
      <c r="R4" s="19" t="s">
        <v>165</v>
      </c>
      <c r="S4" s="19" t="s">
        <v>166</v>
      </c>
    </row>
    <row r="5" spans="1:19" x14ac:dyDescent="0.55000000000000004">
      <c r="A5" s="5">
        <v>4</v>
      </c>
      <c r="B5" t="s">
        <v>3</v>
      </c>
      <c r="C5" s="8">
        <v>4.5999999999999996</v>
      </c>
      <c r="D5" s="8">
        <v>3.1</v>
      </c>
      <c r="E5" s="8">
        <v>1.5</v>
      </c>
      <c r="F5" s="8">
        <v>0.2</v>
      </c>
      <c r="G5" t="str">
        <f t="shared" si="0"/>
        <v>Iris-setosa</v>
      </c>
      <c r="I5" s="4">
        <v>4</v>
      </c>
      <c r="J5" s="1">
        <v>4.4000000000000004</v>
      </c>
      <c r="K5" s="1">
        <v>2.2000000000000002</v>
      </c>
      <c r="L5" s="1">
        <v>1.2</v>
      </c>
      <c r="M5" s="1">
        <v>0.1</v>
      </c>
      <c r="O5" s="19" t="s">
        <v>155</v>
      </c>
      <c r="P5" s="19" t="s">
        <v>158</v>
      </c>
      <c r="Q5" s="19" t="s">
        <v>158</v>
      </c>
      <c r="R5" s="19" t="s">
        <v>158</v>
      </c>
      <c r="S5" s="19" t="s">
        <v>158</v>
      </c>
    </row>
    <row r="6" spans="1:19" x14ac:dyDescent="0.55000000000000004">
      <c r="A6" s="5">
        <v>5</v>
      </c>
      <c r="B6" t="s">
        <v>4</v>
      </c>
      <c r="C6" s="8">
        <v>5</v>
      </c>
      <c r="D6" s="8">
        <v>3.6</v>
      </c>
      <c r="E6" s="8">
        <v>1.4</v>
      </c>
      <c r="F6" s="8">
        <v>0.2</v>
      </c>
      <c r="G6" t="str">
        <f t="shared" si="0"/>
        <v>Iris-setosa</v>
      </c>
      <c r="I6" s="4">
        <v>5</v>
      </c>
      <c r="J6" s="1">
        <v>4.5</v>
      </c>
      <c r="K6" s="1">
        <v>2.2999999999999998</v>
      </c>
      <c r="L6" s="1">
        <v>1.3</v>
      </c>
      <c r="M6" s="1">
        <v>0.1</v>
      </c>
      <c r="O6" s="19" t="s">
        <v>156</v>
      </c>
      <c r="P6" s="19" t="s">
        <v>157</v>
      </c>
      <c r="Q6" s="19" t="s">
        <v>159</v>
      </c>
      <c r="R6" s="19" t="s">
        <v>160</v>
      </c>
      <c r="S6" s="19" t="s">
        <v>161</v>
      </c>
    </row>
    <row r="7" spans="1:19" x14ac:dyDescent="0.55000000000000004">
      <c r="A7" s="5">
        <v>6</v>
      </c>
      <c r="B7" t="s">
        <v>5</v>
      </c>
      <c r="C7" s="8">
        <v>5.4</v>
      </c>
      <c r="D7" s="8">
        <v>3.9</v>
      </c>
      <c r="E7" s="8">
        <v>1.7</v>
      </c>
      <c r="F7" s="8">
        <v>0.4</v>
      </c>
      <c r="G7" t="str">
        <f t="shared" si="0"/>
        <v>Iris-setosa</v>
      </c>
      <c r="I7" s="4">
        <v>6</v>
      </c>
      <c r="J7" s="1">
        <v>4.5999999999999996</v>
      </c>
      <c r="K7" s="1">
        <v>2.2999999999999998</v>
      </c>
      <c r="L7" s="1">
        <v>1.3</v>
      </c>
      <c r="M7" s="1">
        <v>0.1</v>
      </c>
    </row>
    <row r="8" spans="1:19" x14ac:dyDescent="0.55000000000000004">
      <c r="A8" s="5">
        <v>7</v>
      </c>
      <c r="B8" t="s">
        <v>6</v>
      </c>
      <c r="C8" s="8">
        <v>4.5999999999999996</v>
      </c>
      <c r="D8" s="8">
        <v>3.4</v>
      </c>
      <c r="E8" s="8">
        <v>1.4</v>
      </c>
      <c r="F8" s="8">
        <v>0.3</v>
      </c>
      <c r="G8" t="str">
        <f t="shared" si="0"/>
        <v>Iris-setosa</v>
      </c>
      <c r="I8" s="4">
        <v>7</v>
      </c>
      <c r="J8" s="1">
        <v>4.5999999999999996</v>
      </c>
      <c r="K8" s="1">
        <v>2.2999999999999998</v>
      </c>
      <c r="L8" s="1">
        <v>1.3</v>
      </c>
      <c r="M8" s="1">
        <v>0.2</v>
      </c>
      <c r="O8" s="12" t="s">
        <v>167</v>
      </c>
      <c r="P8" s="13"/>
      <c r="Q8" s="13"/>
      <c r="R8" s="13"/>
      <c r="S8" s="14"/>
    </row>
    <row r="9" spans="1:19" x14ac:dyDescent="0.55000000000000004">
      <c r="A9" s="5">
        <v>8</v>
      </c>
      <c r="B9" t="s">
        <v>7</v>
      </c>
      <c r="C9" s="8">
        <v>5</v>
      </c>
      <c r="D9" s="8">
        <v>3.4</v>
      </c>
      <c r="E9" s="8">
        <v>1.5</v>
      </c>
      <c r="F9" s="8">
        <v>0.2</v>
      </c>
      <c r="G9" t="str">
        <f t="shared" si="0"/>
        <v>Iris-setosa</v>
      </c>
      <c r="I9" s="4">
        <v>8</v>
      </c>
      <c r="J9" s="1">
        <v>4.5999999999999996</v>
      </c>
      <c r="K9" s="1">
        <v>2.2999999999999998</v>
      </c>
      <c r="L9" s="1">
        <v>1.3</v>
      </c>
      <c r="M9" s="1">
        <v>0.2</v>
      </c>
      <c r="O9" s="15" t="s">
        <v>168</v>
      </c>
      <c r="P9" s="15" t="s">
        <v>147</v>
      </c>
      <c r="Q9" s="15" t="s">
        <v>148</v>
      </c>
      <c r="R9" s="15" t="s">
        <v>149</v>
      </c>
      <c r="S9" s="15" t="s">
        <v>150</v>
      </c>
    </row>
    <row r="10" spans="1:19" x14ac:dyDescent="0.55000000000000004">
      <c r="A10" s="5">
        <v>9</v>
      </c>
      <c r="B10" t="s">
        <v>8</v>
      </c>
      <c r="C10" s="8">
        <v>4.4000000000000004</v>
      </c>
      <c r="D10" s="8">
        <v>2.9</v>
      </c>
      <c r="E10" s="8">
        <v>1.4</v>
      </c>
      <c r="F10" s="8">
        <v>0.2</v>
      </c>
      <c r="G10" t="str">
        <f t="shared" si="0"/>
        <v>Iris-setosa</v>
      </c>
      <c r="I10" s="4">
        <v>9</v>
      </c>
      <c r="J10" s="1">
        <v>4.5999999999999996</v>
      </c>
      <c r="K10" s="1">
        <v>2.4</v>
      </c>
      <c r="L10" s="1">
        <v>1.3</v>
      </c>
      <c r="M10" s="1">
        <v>0.2</v>
      </c>
      <c r="O10" s="15" t="s">
        <v>154</v>
      </c>
      <c r="P10" s="15">
        <f>COUNTIF(C:C,"&lt;5.5")</f>
        <v>52</v>
      </c>
      <c r="Q10" s="15">
        <f>COUNTIF(D:D,"&lt;2.9")</f>
        <v>47</v>
      </c>
      <c r="R10" s="15">
        <f>COUNTIF(E:E,"&lt;3")</f>
        <v>50</v>
      </c>
      <c r="S10" s="15">
        <f>COUNTIF(F:F,"&lt;1")</f>
        <v>50</v>
      </c>
    </row>
    <row r="11" spans="1:19" x14ac:dyDescent="0.55000000000000004">
      <c r="A11" s="5">
        <v>10</v>
      </c>
      <c r="B11" t="s">
        <v>9</v>
      </c>
      <c r="C11" s="8">
        <v>4.9000000000000004</v>
      </c>
      <c r="D11" s="8">
        <v>3.1</v>
      </c>
      <c r="E11" s="8">
        <v>1.5</v>
      </c>
      <c r="F11" s="8">
        <v>0.1</v>
      </c>
      <c r="G11" t="str">
        <f t="shared" si="0"/>
        <v>Iris-setosa</v>
      </c>
      <c r="I11" s="4">
        <v>10</v>
      </c>
      <c r="J11" s="1">
        <v>4.7</v>
      </c>
      <c r="K11" s="1">
        <v>2.4</v>
      </c>
      <c r="L11" s="1">
        <v>1.3</v>
      </c>
      <c r="M11" s="1">
        <v>0.2</v>
      </c>
      <c r="O11" s="15" t="s">
        <v>155</v>
      </c>
      <c r="P11" s="15">
        <f>150-P10-P12</f>
        <v>47</v>
      </c>
      <c r="Q11" s="15">
        <f t="shared" ref="Q11:S11" si="1">150-Q10-Q12</f>
        <v>48</v>
      </c>
      <c r="R11" s="15">
        <f t="shared" si="1"/>
        <v>49</v>
      </c>
      <c r="S11" s="15">
        <f t="shared" si="1"/>
        <v>52</v>
      </c>
    </row>
    <row r="12" spans="1:19" x14ac:dyDescent="0.55000000000000004">
      <c r="A12" s="5">
        <v>11</v>
      </c>
      <c r="B12" t="s">
        <v>10</v>
      </c>
      <c r="C12" s="8">
        <v>5.4</v>
      </c>
      <c r="D12" s="8">
        <v>3.7</v>
      </c>
      <c r="E12" s="8">
        <v>1.5</v>
      </c>
      <c r="F12" s="8">
        <v>0.2</v>
      </c>
      <c r="G12" t="str">
        <f t="shared" si="0"/>
        <v>Iris-setosa</v>
      </c>
      <c r="I12" s="4">
        <v>11</v>
      </c>
      <c r="J12" s="1">
        <v>4.7</v>
      </c>
      <c r="K12" s="1">
        <v>2.4</v>
      </c>
      <c r="L12" s="1">
        <v>1.3</v>
      </c>
      <c r="M12" s="1">
        <v>0.2</v>
      </c>
      <c r="O12" s="15" t="s">
        <v>156</v>
      </c>
      <c r="P12" s="15">
        <f>COUNTIF(C:C,"&gt;6.2")</f>
        <v>51</v>
      </c>
      <c r="Q12" s="15">
        <f>COUNTIF(D:D,"&gt;3.1")</f>
        <v>55</v>
      </c>
      <c r="R12" s="15">
        <f>COUNTIF(E:E,"&gt;4.8")</f>
        <v>51</v>
      </c>
      <c r="S12" s="15">
        <f>COUNTIF(F:F,"&gt;1.6")</f>
        <v>48</v>
      </c>
    </row>
    <row r="13" spans="1:19" x14ac:dyDescent="0.55000000000000004">
      <c r="A13" s="5">
        <v>12</v>
      </c>
      <c r="B13" t="s">
        <v>11</v>
      </c>
      <c r="C13" s="8">
        <v>4.8</v>
      </c>
      <c r="D13" s="8">
        <v>3.4</v>
      </c>
      <c r="E13" s="8">
        <v>1.6</v>
      </c>
      <c r="F13" s="8">
        <v>0.2</v>
      </c>
      <c r="G13" t="str">
        <f t="shared" si="0"/>
        <v>Iris-setosa</v>
      </c>
      <c r="I13" s="4">
        <v>12</v>
      </c>
      <c r="J13" s="1">
        <v>4.8</v>
      </c>
      <c r="K13" s="1">
        <v>2.5</v>
      </c>
      <c r="L13" s="1">
        <v>1.4</v>
      </c>
      <c r="M13" s="1">
        <v>0.2</v>
      </c>
    </row>
    <row r="14" spans="1:19" x14ac:dyDescent="0.55000000000000004">
      <c r="A14" s="5">
        <v>13</v>
      </c>
      <c r="B14" t="s">
        <v>12</v>
      </c>
      <c r="C14" s="8">
        <v>4.8</v>
      </c>
      <c r="D14" s="8">
        <v>3</v>
      </c>
      <c r="E14" s="8">
        <v>1.4</v>
      </c>
      <c r="F14" s="8">
        <v>0.1</v>
      </c>
      <c r="G14" t="str">
        <f t="shared" si="0"/>
        <v>Iris-setosa</v>
      </c>
      <c r="I14" s="4">
        <v>13</v>
      </c>
      <c r="J14" s="1">
        <v>4.8</v>
      </c>
      <c r="K14" s="1">
        <v>2.5</v>
      </c>
      <c r="L14" s="1">
        <v>1.4</v>
      </c>
      <c r="M14" s="1">
        <v>0.2</v>
      </c>
    </row>
    <row r="15" spans="1:19" x14ac:dyDescent="0.55000000000000004">
      <c r="A15" s="5">
        <v>14</v>
      </c>
      <c r="B15" t="s">
        <v>13</v>
      </c>
      <c r="C15" s="8">
        <v>4.3</v>
      </c>
      <c r="D15" s="8">
        <v>3</v>
      </c>
      <c r="E15" s="8">
        <v>1.1000000000000001</v>
      </c>
      <c r="F15" s="8">
        <v>0.1</v>
      </c>
      <c r="G15" t="str">
        <f t="shared" si="0"/>
        <v>Iris-setosa</v>
      </c>
      <c r="I15" s="4">
        <v>14</v>
      </c>
      <c r="J15" s="1">
        <v>4.8</v>
      </c>
      <c r="K15" s="1">
        <v>2.5</v>
      </c>
      <c r="L15" s="1">
        <v>1.4</v>
      </c>
      <c r="M15" s="1">
        <v>0.2</v>
      </c>
    </row>
    <row r="16" spans="1:19" x14ac:dyDescent="0.55000000000000004">
      <c r="A16" s="5">
        <v>15</v>
      </c>
      <c r="B16" t="s">
        <v>14</v>
      </c>
      <c r="C16" s="8">
        <v>5.8</v>
      </c>
      <c r="D16" s="8">
        <v>4</v>
      </c>
      <c r="E16" s="8">
        <v>1.2</v>
      </c>
      <c r="F16" s="8">
        <v>0.2</v>
      </c>
      <c r="G16" t="str">
        <f t="shared" si="0"/>
        <v>Iris-setosa</v>
      </c>
      <c r="I16" s="4">
        <v>15</v>
      </c>
      <c r="J16" s="1">
        <v>4.8</v>
      </c>
      <c r="K16" s="1">
        <v>2.5</v>
      </c>
      <c r="L16" s="1">
        <v>1.4</v>
      </c>
      <c r="M16" s="1">
        <v>0.2</v>
      </c>
    </row>
    <row r="17" spans="1:13" x14ac:dyDescent="0.55000000000000004">
      <c r="A17" s="5">
        <v>16</v>
      </c>
      <c r="B17" t="s">
        <v>15</v>
      </c>
      <c r="C17" s="8">
        <v>5.7</v>
      </c>
      <c r="D17" s="8">
        <v>4.4000000000000004</v>
      </c>
      <c r="E17" s="8">
        <v>1.5</v>
      </c>
      <c r="F17" s="8">
        <v>0.4</v>
      </c>
      <c r="G17" t="str">
        <f t="shared" si="0"/>
        <v>Iris-setosa</v>
      </c>
      <c r="I17" s="4">
        <v>16</v>
      </c>
      <c r="J17" s="1">
        <v>4.8</v>
      </c>
      <c r="K17" s="1">
        <v>2.5</v>
      </c>
      <c r="L17" s="1">
        <v>1.4</v>
      </c>
      <c r="M17" s="1">
        <v>0.2</v>
      </c>
    </row>
    <row r="18" spans="1:13" x14ac:dyDescent="0.55000000000000004">
      <c r="A18" s="5">
        <v>17</v>
      </c>
      <c r="B18" t="s">
        <v>16</v>
      </c>
      <c r="C18" s="8">
        <v>5.4</v>
      </c>
      <c r="D18" s="8">
        <v>3.9</v>
      </c>
      <c r="E18" s="8">
        <v>1.3</v>
      </c>
      <c r="F18" s="8">
        <v>0.4</v>
      </c>
      <c r="G18" t="str">
        <f t="shared" si="0"/>
        <v>Iris-setosa</v>
      </c>
      <c r="I18" s="4">
        <v>17</v>
      </c>
      <c r="J18" s="1">
        <v>4.9000000000000004</v>
      </c>
      <c r="K18" s="1">
        <v>2.5</v>
      </c>
      <c r="L18" s="1">
        <v>1.4</v>
      </c>
      <c r="M18" s="1">
        <v>0.2</v>
      </c>
    </row>
    <row r="19" spans="1:13" x14ac:dyDescent="0.55000000000000004">
      <c r="A19" s="5">
        <v>18</v>
      </c>
      <c r="B19" t="s">
        <v>17</v>
      </c>
      <c r="C19" s="8">
        <v>5.0999999999999996</v>
      </c>
      <c r="D19" s="8">
        <v>3.5</v>
      </c>
      <c r="E19" s="8">
        <v>1.4</v>
      </c>
      <c r="F19" s="8">
        <v>0.3</v>
      </c>
      <c r="G19" t="str">
        <f t="shared" si="0"/>
        <v>Iris-setosa</v>
      </c>
      <c r="I19" s="4">
        <v>18</v>
      </c>
      <c r="J19" s="1">
        <v>4.9000000000000004</v>
      </c>
      <c r="K19" s="1">
        <v>2.5</v>
      </c>
      <c r="L19" s="1">
        <v>1.4</v>
      </c>
      <c r="M19" s="1">
        <v>0.2</v>
      </c>
    </row>
    <row r="20" spans="1:13" x14ac:dyDescent="0.55000000000000004">
      <c r="A20" s="5">
        <v>19</v>
      </c>
      <c r="B20" t="s">
        <v>18</v>
      </c>
      <c r="C20" s="8">
        <v>5.7</v>
      </c>
      <c r="D20" s="8">
        <v>3.8</v>
      </c>
      <c r="E20" s="8">
        <v>1.7</v>
      </c>
      <c r="F20" s="8">
        <v>0.3</v>
      </c>
      <c r="G20" t="str">
        <f t="shared" si="0"/>
        <v>Iris-setosa</v>
      </c>
      <c r="I20" s="4">
        <v>19</v>
      </c>
      <c r="J20" s="1">
        <v>4.9000000000000004</v>
      </c>
      <c r="K20" s="1">
        <v>2.5</v>
      </c>
      <c r="L20" s="1">
        <v>1.4</v>
      </c>
      <c r="M20" s="1">
        <v>0.2</v>
      </c>
    </row>
    <row r="21" spans="1:13" x14ac:dyDescent="0.55000000000000004">
      <c r="A21" s="5">
        <v>20</v>
      </c>
      <c r="B21" t="s">
        <v>19</v>
      </c>
      <c r="C21" s="8">
        <v>5.0999999999999996</v>
      </c>
      <c r="D21" s="8">
        <v>3.8</v>
      </c>
      <c r="E21" s="8">
        <v>1.5</v>
      </c>
      <c r="F21" s="8">
        <v>0.3</v>
      </c>
      <c r="G21" t="str">
        <f t="shared" si="0"/>
        <v>Iris-setosa</v>
      </c>
      <c r="I21" s="4">
        <v>20</v>
      </c>
      <c r="J21" s="1">
        <v>4.9000000000000004</v>
      </c>
      <c r="K21" s="1">
        <v>2.6</v>
      </c>
      <c r="L21" s="1">
        <v>1.4</v>
      </c>
      <c r="M21" s="1">
        <v>0.2</v>
      </c>
    </row>
    <row r="22" spans="1:13" x14ac:dyDescent="0.55000000000000004">
      <c r="A22" s="5">
        <v>21</v>
      </c>
      <c r="B22" t="s">
        <v>20</v>
      </c>
      <c r="C22" s="8">
        <v>5.4</v>
      </c>
      <c r="D22" s="8">
        <v>3.4</v>
      </c>
      <c r="E22" s="8">
        <v>1.7</v>
      </c>
      <c r="F22" s="8">
        <v>0.2</v>
      </c>
      <c r="G22" t="str">
        <f t="shared" si="0"/>
        <v>Iris-setosa</v>
      </c>
      <c r="I22" s="4">
        <v>21</v>
      </c>
      <c r="J22" s="1">
        <v>4.9000000000000004</v>
      </c>
      <c r="K22" s="1">
        <v>2.6</v>
      </c>
      <c r="L22" s="1">
        <v>1.4</v>
      </c>
      <c r="M22" s="1">
        <v>0.2</v>
      </c>
    </row>
    <row r="23" spans="1:13" x14ac:dyDescent="0.55000000000000004">
      <c r="A23" s="5">
        <v>22</v>
      </c>
      <c r="B23" t="s">
        <v>21</v>
      </c>
      <c r="C23" s="8">
        <v>5.0999999999999996</v>
      </c>
      <c r="D23" s="8">
        <v>3.7</v>
      </c>
      <c r="E23" s="8">
        <v>1.5</v>
      </c>
      <c r="F23" s="8">
        <v>0.4</v>
      </c>
      <c r="G23" t="str">
        <f t="shared" si="0"/>
        <v>Iris-setosa</v>
      </c>
      <c r="I23" s="4">
        <v>22</v>
      </c>
      <c r="J23" s="1">
        <v>4.9000000000000004</v>
      </c>
      <c r="K23" s="1">
        <v>2.6</v>
      </c>
      <c r="L23" s="1">
        <v>1.4</v>
      </c>
      <c r="M23" s="1">
        <v>0.2</v>
      </c>
    </row>
    <row r="24" spans="1:13" x14ac:dyDescent="0.55000000000000004">
      <c r="A24" s="5">
        <v>23</v>
      </c>
      <c r="B24" t="s">
        <v>22</v>
      </c>
      <c r="C24" s="8">
        <v>4.5999999999999996</v>
      </c>
      <c r="D24" s="8">
        <v>3.6</v>
      </c>
      <c r="E24" s="8">
        <v>1</v>
      </c>
      <c r="F24" s="8">
        <v>0.2</v>
      </c>
      <c r="G24" t="str">
        <f t="shared" si="0"/>
        <v>Iris-setosa</v>
      </c>
      <c r="I24" s="4">
        <v>23</v>
      </c>
      <c r="J24" s="1">
        <v>5</v>
      </c>
      <c r="K24" s="1">
        <v>2.6</v>
      </c>
      <c r="L24" s="1">
        <v>1.4</v>
      </c>
      <c r="M24" s="1">
        <v>0.2</v>
      </c>
    </row>
    <row r="25" spans="1:13" x14ac:dyDescent="0.55000000000000004">
      <c r="A25" s="5">
        <v>24</v>
      </c>
      <c r="B25" t="s">
        <v>23</v>
      </c>
      <c r="C25" s="8">
        <v>5.0999999999999996</v>
      </c>
      <c r="D25" s="8">
        <v>3.3</v>
      </c>
      <c r="E25" s="8">
        <v>1.7</v>
      </c>
      <c r="F25" s="8">
        <v>0.5</v>
      </c>
      <c r="G25" t="str">
        <f t="shared" si="0"/>
        <v>Iris-setosa</v>
      </c>
      <c r="I25" s="4">
        <v>24</v>
      </c>
      <c r="J25" s="1">
        <v>5</v>
      </c>
      <c r="K25" s="1">
        <v>2.6</v>
      </c>
      <c r="L25" s="1">
        <v>1.5</v>
      </c>
      <c r="M25" s="1">
        <v>0.2</v>
      </c>
    </row>
    <row r="26" spans="1:13" x14ac:dyDescent="0.55000000000000004">
      <c r="A26" s="5">
        <v>25</v>
      </c>
      <c r="B26" t="s">
        <v>24</v>
      </c>
      <c r="C26" s="8">
        <v>4.8</v>
      </c>
      <c r="D26" s="8">
        <v>3.4</v>
      </c>
      <c r="E26" s="8">
        <v>1.9</v>
      </c>
      <c r="F26" s="8">
        <v>0.2</v>
      </c>
      <c r="G26" t="str">
        <f t="shared" si="0"/>
        <v>Iris-setosa</v>
      </c>
      <c r="I26" s="4">
        <v>25</v>
      </c>
      <c r="J26" s="1">
        <v>5</v>
      </c>
      <c r="K26" s="1">
        <v>2.7</v>
      </c>
      <c r="L26" s="1">
        <v>1.5</v>
      </c>
      <c r="M26" s="1">
        <v>0.2</v>
      </c>
    </row>
    <row r="27" spans="1:13" x14ac:dyDescent="0.55000000000000004">
      <c r="A27" s="5">
        <v>26</v>
      </c>
      <c r="B27" t="s">
        <v>25</v>
      </c>
      <c r="C27" s="8">
        <v>5</v>
      </c>
      <c r="D27" s="8">
        <v>3</v>
      </c>
      <c r="E27" s="8">
        <v>1.6</v>
      </c>
      <c r="F27" s="8">
        <v>0.2</v>
      </c>
      <c r="G27" t="str">
        <f t="shared" si="0"/>
        <v>Iris-setosa</v>
      </c>
      <c r="I27" s="4">
        <v>26</v>
      </c>
      <c r="J27" s="1">
        <v>5</v>
      </c>
      <c r="K27" s="1">
        <v>2.7</v>
      </c>
      <c r="L27" s="1">
        <v>1.5</v>
      </c>
      <c r="M27" s="1">
        <v>0.2</v>
      </c>
    </row>
    <row r="28" spans="1:13" x14ac:dyDescent="0.55000000000000004">
      <c r="A28" s="5">
        <v>27</v>
      </c>
      <c r="B28" t="s">
        <v>26</v>
      </c>
      <c r="C28" s="8">
        <v>5</v>
      </c>
      <c r="D28" s="8">
        <v>3.4</v>
      </c>
      <c r="E28" s="8">
        <v>1.6</v>
      </c>
      <c r="F28" s="8">
        <v>0.4</v>
      </c>
      <c r="G28" t="str">
        <f t="shared" si="0"/>
        <v>Iris-setosa</v>
      </c>
      <c r="I28" s="4">
        <v>27</v>
      </c>
      <c r="J28" s="1">
        <v>5</v>
      </c>
      <c r="K28" s="1">
        <v>2.7</v>
      </c>
      <c r="L28" s="1">
        <v>1.5</v>
      </c>
      <c r="M28" s="1">
        <v>0.2</v>
      </c>
    </row>
    <row r="29" spans="1:13" x14ac:dyDescent="0.55000000000000004">
      <c r="A29" s="5">
        <v>28</v>
      </c>
      <c r="B29" t="s">
        <v>27</v>
      </c>
      <c r="C29" s="8">
        <v>5.2</v>
      </c>
      <c r="D29" s="8">
        <v>3.5</v>
      </c>
      <c r="E29" s="8">
        <v>1.5</v>
      </c>
      <c r="F29" s="8">
        <v>0.2</v>
      </c>
      <c r="G29" t="str">
        <f t="shared" si="0"/>
        <v>Iris-setosa</v>
      </c>
      <c r="I29" s="4">
        <v>28</v>
      </c>
      <c r="J29" s="1">
        <v>5</v>
      </c>
      <c r="K29" s="1">
        <v>2.7</v>
      </c>
      <c r="L29" s="1">
        <v>1.5</v>
      </c>
      <c r="M29" s="1">
        <v>0.2</v>
      </c>
    </row>
    <row r="30" spans="1:13" x14ac:dyDescent="0.55000000000000004">
      <c r="A30" s="5">
        <v>29</v>
      </c>
      <c r="B30" t="s">
        <v>28</v>
      </c>
      <c r="C30" s="8">
        <v>5.2</v>
      </c>
      <c r="D30" s="8">
        <v>3.4</v>
      </c>
      <c r="E30" s="8">
        <v>1.4</v>
      </c>
      <c r="F30" s="8">
        <v>0.2</v>
      </c>
      <c r="G30" t="str">
        <f t="shared" si="0"/>
        <v>Iris-setosa</v>
      </c>
      <c r="I30" s="4">
        <v>29</v>
      </c>
      <c r="J30" s="1">
        <v>5</v>
      </c>
      <c r="K30" s="1">
        <v>2.7</v>
      </c>
      <c r="L30" s="1">
        <v>1.5</v>
      </c>
      <c r="M30" s="1">
        <v>0.2</v>
      </c>
    </row>
    <row r="31" spans="1:13" x14ac:dyDescent="0.55000000000000004">
      <c r="A31" s="5">
        <v>30</v>
      </c>
      <c r="B31" t="s">
        <v>29</v>
      </c>
      <c r="C31" s="8">
        <v>4.7</v>
      </c>
      <c r="D31" s="8">
        <v>3.2</v>
      </c>
      <c r="E31" s="8">
        <v>1.6</v>
      </c>
      <c r="F31" s="8">
        <v>0.2</v>
      </c>
      <c r="G31" t="str">
        <f t="shared" si="0"/>
        <v>Iris-setosa</v>
      </c>
      <c r="I31" s="4">
        <v>30</v>
      </c>
      <c r="J31" s="1">
        <v>5</v>
      </c>
      <c r="K31" s="1">
        <v>2.7</v>
      </c>
      <c r="L31" s="1">
        <v>1.5</v>
      </c>
      <c r="M31" s="1">
        <v>0.2</v>
      </c>
    </row>
    <row r="32" spans="1:13" x14ac:dyDescent="0.55000000000000004">
      <c r="A32" s="5">
        <v>31</v>
      </c>
      <c r="B32" t="s">
        <v>30</v>
      </c>
      <c r="C32" s="8">
        <v>4.8</v>
      </c>
      <c r="D32" s="8">
        <v>3.1</v>
      </c>
      <c r="E32" s="8">
        <v>1.6</v>
      </c>
      <c r="F32" s="8">
        <v>0.2</v>
      </c>
      <c r="G32" t="str">
        <f t="shared" si="0"/>
        <v>Iris-setosa</v>
      </c>
      <c r="I32" s="4">
        <v>31</v>
      </c>
      <c r="J32" s="1">
        <v>5</v>
      </c>
      <c r="K32" s="1">
        <v>2.7</v>
      </c>
      <c r="L32" s="1">
        <v>1.5</v>
      </c>
      <c r="M32" s="1">
        <v>0.2</v>
      </c>
    </row>
    <row r="33" spans="1:13" x14ac:dyDescent="0.55000000000000004">
      <c r="A33" s="5">
        <v>32</v>
      </c>
      <c r="B33" t="s">
        <v>31</v>
      </c>
      <c r="C33" s="8">
        <v>5.4</v>
      </c>
      <c r="D33" s="8">
        <v>3.4</v>
      </c>
      <c r="E33" s="8">
        <v>1.5</v>
      </c>
      <c r="F33" s="8">
        <v>0.4</v>
      </c>
      <c r="G33" t="str">
        <f t="shared" si="0"/>
        <v>Iris-setosa</v>
      </c>
      <c r="I33" s="4">
        <v>32</v>
      </c>
      <c r="J33" s="1">
        <v>5</v>
      </c>
      <c r="K33" s="1">
        <v>2.7</v>
      </c>
      <c r="L33" s="1">
        <v>1.5</v>
      </c>
      <c r="M33" s="1">
        <v>0.2</v>
      </c>
    </row>
    <row r="34" spans="1:13" x14ac:dyDescent="0.55000000000000004">
      <c r="A34" s="5">
        <v>33</v>
      </c>
      <c r="B34" t="s">
        <v>32</v>
      </c>
      <c r="C34" s="8">
        <v>5.2</v>
      </c>
      <c r="D34" s="8">
        <v>4.0999999999999996</v>
      </c>
      <c r="E34" s="8">
        <v>1.5</v>
      </c>
      <c r="F34" s="8">
        <v>0.1</v>
      </c>
      <c r="G34" t="str">
        <f t="shared" si="0"/>
        <v>Iris-setosa</v>
      </c>
      <c r="I34" s="4">
        <v>33</v>
      </c>
      <c r="J34" s="1">
        <v>5.0999999999999996</v>
      </c>
      <c r="K34" s="1">
        <v>2.7</v>
      </c>
      <c r="L34" s="1">
        <v>1.5</v>
      </c>
      <c r="M34" s="1">
        <v>0.2</v>
      </c>
    </row>
    <row r="35" spans="1:13" x14ac:dyDescent="0.55000000000000004">
      <c r="A35" s="5">
        <v>34</v>
      </c>
      <c r="B35" t="s">
        <v>33</v>
      </c>
      <c r="C35" s="8">
        <v>5.5</v>
      </c>
      <c r="D35" s="8">
        <v>4.2</v>
      </c>
      <c r="E35" s="8">
        <v>1.4</v>
      </c>
      <c r="F35" s="8">
        <v>0.2</v>
      </c>
      <c r="G35" t="str">
        <f t="shared" si="0"/>
        <v>Iris-setosa</v>
      </c>
      <c r="I35" s="4">
        <v>34</v>
      </c>
      <c r="J35" s="1">
        <v>5.0999999999999996</v>
      </c>
      <c r="K35" s="1">
        <v>2.8</v>
      </c>
      <c r="L35" s="1">
        <v>1.5</v>
      </c>
      <c r="M35" s="1">
        <v>0.2</v>
      </c>
    </row>
    <row r="36" spans="1:13" x14ac:dyDescent="0.55000000000000004">
      <c r="A36" s="5">
        <v>35</v>
      </c>
      <c r="B36" t="s">
        <v>9</v>
      </c>
      <c r="C36" s="8">
        <v>4.9000000000000004</v>
      </c>
      <c r="D36" s="8">
        <v>3.1</v>
      </c>
      <c r="E36" s="8">
        <v>1.5</v>
      </c>
      <c r="F36" s="8">
        <v>0.1</v>
      </c>
      <c r="G36" t="str">
        <f t="shared" si="0"/>
        <v>Iris-setosa</v>
      </c>
      <c r="I36" s="4">
        <v>35</v>
      </c>
      <c r="J36" s="1">
        <v>5.0999999999999996</v>
      </c>
      <c r="K36" s="1">
        <v>2.8</v>
      </c>
      <c r="L36" s="1">
        <v>1.5</v>
      </c>
      <c r="M36" s="1">
        <v>0.3</v>
      </c>
    </row>
    <row r="37" spans="1:13" x14ac:dyDescent="0.55000000000000004">
      <c r="A37" s="5">
        <v>36</v>
      </c>
      <c r="B37" t="s">
        <v>34</v>
      </c>
      <c r="C37" s="8">
        <v>5</v>
      </c>
      <c r="D37" s="8">
        <v>3.2</v>
      </c>
      <c r="E37" s="8">
        <v>1.2</v>
      </c>
      <c r="F37" s="8">
        <v>0.2</v>
      </c>
      <c r="G37" t="str">
        <f t="shared" si="0"/>
        <v>Iris-setosa</v>
      </c>
      <c r="I37" s="4">
        <v>36</v>
      </c>
      <c r="J37" s="1">
        <v>5.0999999999999996</v>
      </c>
      <c r="K37" s="1">
        <v>2.8</v>
      </c>
      <c r="L37" s="1">
        <v>1.5</v>
      </c>
      <c r="M37" s="1">
        <v>0.3</v>
      </c>
    </row>
    <row r="38" spans="1:13" x14ac:dyDescent="0.55000000000000004">
      <c r="A38" s="5">
        <v>37</v>
      </c>
      <c r="B38" t="s">
        <v>35</v>
      </c>
      <c r="C38" s="8">
        <v>5.5</v>
      </c>
      <c r="D38" s="8">
        <v>3.5</v>
      </c>
      <c r="E38" s="8">
        <v>1.3</v>
      </c>
      <c r="F38" s="8">
        <v>0.2</v>
      </c>
      <c r="G38" t="str">
        <f t="shared" si="0"/>
        <v>Iris-setosa</v>
      </c>
      <c r="I38" s="4">
        <v>37</v>
      </c>
      <c r="J38" s="1">
        <v>5.0999999999999996</v>
      </c>
      <c r="K38" s="1">
        <v>2.8</v>
      </c>
      <c r="L38" s="1">
        <v>1.5</v>
      </c>
      <c r="M38" s="1">
        <v>0.3</v>
      </c>
    </row>
    <row r="39" spans="1:13" x14ac:dyDescent="0.55000000000000004">
      <c r="A39" s="5">
        <v>38</v>
      </c>
      <c r="B39" t="s">
        <v>9</v>
      </c>
      <c r="C39" s="8">
        <v>4.9000000000000004</v>
      </c>
      <c r="D39" s="8">
        <v>3.1</v>
      </c>
      <c r="E39" s="8">
        <v>1.5</v>
      </c>
      <c r="F39" s="8">
        <v>0.1</v>
      </c>
      <c r="G39" t="str">
        <f t="shared" si="0"/>
        <v>Iris-setosa</v>
      </c>
      <c r="I39" s="4">
        <v>38</v>
      </c>
      <c r="J39" s="1">
        <v>5.0999999999999996</v>
      </c>
      <c r="K39" s="1">
        <v>2.8</v>
      </c>
      <c r="L39" s="1">
        <v>1.6</v>
      </c>
      <c r="M39" s="1">
        <v>0.3</v>
      </c>
    </row>
    <row r="40" spans="1:13" x14ac:dyDescent="0.55000000000000004">
      <c r="A40" s="5">
        <v>39</v>
      </c>
      <c r="B40" t="s">
        <v>36</v>
      </c>
      <c r="C40" s="8">
        <v>4.4000000000000004</v>
      </c>
      <c r="D40" s="8">
        <v>3</v>
      </c>
      <c r="E40" s="8">
        <v>1.3</v>
      </c>
      <c r="F40" s="8">
        <v>0.2</v>
      </c>
      <c r="G40" t="str">
        <f t="shared" si="0"/>
        <v>Iris-setosa</v>
      </c>
      <c r="I40" s="4">
        <v>39</v>
      </c>
      <c r="J40" s="1">
        <v>5.0999999999999996</v>
      </c>
      <c r="K40" s="1">
        <v>2.8</v>
      </c>
      <c r="L40" s="1">
        <v>1.6</v>
      </c>
      <c r="M40" s="1">
        <v>0.3</v>
      </c>
    </row>
    <row r="41" spans="1:13" x14ac:dyDescent="0.55000000000000004">
      <c r="A41" s="5">
        <v>40</v>
      </c>
      <c r="B41" t="s">
        <v>37</v>
      </c>
      <c r="C41" s="8">
        <v>5.0999999999999996</v>
      </c>
      <c r="D41" s="8">
        <v>3.4</v>
      </c>
      <c r="E41" s="8">
        <v>1.5</v>
      </c>
      <c r="F41" s="8">
        <v>0.2</v>
      </c>
      <c r="G41" t="str">
        <f t="shared" si="0"/>
        <v>Iris-setosa</v>
      </c>
      <c r="I41" s="4">
        <v>40</v>
      </c>
      <c r="J41" s="1">
        <v>5.0999999999999996</v>
      </c>
      <c r="K41" s="1">
        <v>2.8</v>
      </c>
      <c r="L41" s="1">
        <v>1.6</v>
      </c>
      <c r="M41" s="1">
        <v>0.3</v>
      </c>
    </row>
    <row r="42" spans="1:13" x14ac:dyDescent="0.55000000000000004">
      <c r="A42" s="5">
        <v>41</v>
      </c>
      <c r="B42" t="s">
        <v>38</v>
      </c>
      <c r="C42" s="8">
        <v>5</v>
      </c>
      <c r="D42" s="8">
        <v>3.5</v>
      </c>
      <c r="E42" s="8">
        <v>1.3</v>
      </c>
      <c r="F42" s="8">
        <v>0.3</v>
      </c>
      <c r="G42" t="str">
        <f t="shared" si="0"/>
        <v>Iris-setosa</v>
      </c>
      <c r="I42" s="4">
        <v>41</v>
      </c>
      <c r="J42" s="1">
        <v>5.0999999999999996</v>
      </c>
      <c r="K42" s="1">
        <v>2.8</v>
      </c>
      <c r="L42" s="1">
        <v>1.6</v>
      </c>
      <c r="M42" s="1">
        <v>0.3</v>
      </c>
    </row>
    <row r="43" spans="1:13" x14ac:dyDescent="0.55000000000000004">
      <c r="A43" s="5">
        <v>42</v>
      </c>
      <c r="B43" t="s">
        <v>39</v>
      </c>
      <c r="C43" s="8">
        <v>4.5</v>
      </c>
      <c r="D43" s="8">
        <v>2.2999999999999998</v>
      </c>
      <c r="E43" s="8">
        <v>1.3</v>
      </c>
      <c r="F43" s="8">
        <v>0.3</v>
      </c>
      <c r="G43" t="str">
        <f t="shared" si="0"/>
        <v>Iris-setosa</v>
      </c>
      <c r="I43" s="4">
        <v>42</v>
      </c>
      <c r="J43" s="1">
        <v>5.2</v>
      </c>
      <c r="K43" s="1">
        <v>2.8</v>
      </c>
      <c r="L43" s="1">
        <v>1.6</v>
      </c>
      <c r="M43" s="1">
        <v>0.4</v>
      </c>
    </row>
    <row r="44" spans="1:13" x14ac:dyDescent="0.55000000000000004">
      <c r="A44" s="5">
        <v>43</v>
      </c>
      <c r="B44" t="s">
        <v>40</v>
      </c>
      <c r="C44" s="8">
        <v>4.4000000000000004</v>
      </c>
      <c r="D44" s="8">
        <v>3.2</v>
      </c>
      <c r="E44" s="8">
        <v>1.3</v>
      </c>
      <c r="F44" s="8">
        <v>0.2</v>
      </c>
      <c r="G44" t="str">
        <f t="shared" si="0"/>
        <v>Iris-setosa</v>
      </c>
      <c r="I44" s="4">
        <v>43</v>
      </c>
      <c r="J44" s="1">
        <v>5.2</v>
      </c>
      <c r="K44" s="1">
        <v>2.8</v>
      </c>
      <c r="L44" s="1">
        <v>1.6</v>
      </c>
      <c r="M44" s="1">
        <v>0.4</v>
      </c>
    </row>
    <row r="45" spans="1:13" x14ac:dyDescent="0.55000000000000004">
      <c r="A45" s="5">
        <v>44</v>
      </c>
      <c r="B45" t="s">
        <v>41</v>
      </c>
      <c r="C45" s="8">
        <v>5</v>
      </c>
      <c r="D45" s="8">
        <v>3.5</v>
      </c>
      <c r="E45" s="8">
        <v>1.6</v>
      </c>
      <c r="F45" s="8">
        <v>0.6</v>
      </c>
      <c r="G45" t="str">
        <f t="shared" si="0"/>
        <v>Iris-setosa</v>
      </c>
      <c r="I45" s="4">
        <v>44</v>
      </c>
      <c r="J45" s="1">
        <v>5.2</v>
      </c>
      <c r="K45" s="1">
        <v>2.8</v>
      </c>
      <c r="L45" s="1">
        <v>1.6</v>
      </c>
      <c r="M45" s="1">
        <v>0.4</v>
      </c>
    </row>
    <row r="46" spans="1:13" x14ac:dyDescent="0.55000000000000004">
      <c r="A46" s="5">
        <v>45</v>
      </c>
      <c r="B46" t="s">
        <v>42</v>
      </c>
      <c r="C46" s="8">
        <v>5.0999999999999996</v>
      </c>
      <c r="D46" s="8">
        <v>3.8</v>
      </c>
      <c r="E46" s="8">
        <v>1.9</v>
      </c>
      <c r="F46" s="8">
        <v>0.4</v>
      </c>
      <c r="G46" t="str">
        <f t="shared" si="0"/>
        <v>Iris-setosa</v>
      </c>
      <c r="I46" s="4">
        <v>45</v>
      </c>
      <c r="J46" s="1">
        <v>5.2</v>
      </c>
      <c r="K46" s="1">
        <v>2.8</v>
      </c>
      <c r="L46" s="1">
        <v>1.7</v>
      </c>
      <c r="M46" s="1">
        <v>0.4</v>
      </c>
    </row>
    <row r="47" spans="1:13" x14ac:dyDescent="0.55000000000000004">
      <c r="A47" s="5">
        <v>46</v>
      </c>
      <c r="B47" t="s">
        <v>43</v>
      </c>
      <c r="C47" s="8">
        <v>4.8</v>
      </c>
      <c r="D47" s="8">
        <v>3</v>
      </c>
      <c r="E47" s="8">
        <v>1.4</v>
      </c>
      <c r="F47" s="8">
        <v>0.3</v>
      </c>
      <c r="G47" t="str">
        <f t="shared" si="0"/>
        <v>Iris-setosa</v>
      </c>
      <c r="I47" s="4">
        <v>46</v>
      </c>
      <c r="J47" s="1">
        <v>5.3</v>
      </c>
      <c r="K47" s="1">
        <v>2.8</v>
      </c>
      <c r="L47" s="1">
        <v>1.7</v>
      </c>
      <c r="M47" s="1">
        <v>0.4</v>
      </c>
    </row>
    <row r="48" spans="1:13" x14ac:dyDescent="0.55000000000000004">
      <c r="A48" s="5">
        <v>47</v>
      </c>
      <c r="B48" t="s">
        <v>44</v>
      </c>
      <c r="C48" s="8">
        <v>5.0999999999999996</v>
      </c>
      <c r="D48" s="8">
        <v>3.8</v>
      </c>
      <c r="E48" s="8">
        <v>1.6</v>
      </c>
      <c r="F48" s="8">
        <v>0.2</v>
      </c>
      <c r="G48" t="str">
        <f t="shared" si="0"/>
        <v>Iris-setosa</v>
      </c>
      <c r="I48" s="4">
        <v>47</v>
      </c>
      <c r="J48" s="1">
        <v>5.4</v>
      </c>
      <c r="K48" s="1">
        <v>2.8</v>
      </c>
      <c r="L48" s="1">
        <v>1.7</v>
      </c>
      <c r="M48" s="1">
        <v>0.4</v>
      </c>
    </row>
    <row r="49" spans="1:13" x14ac:dyDescent="0.55000000000000004">
      <c r="A49" s="5">
        <v>48</v>
      </c>
      <c r="B49" t="s">
        <v>45</v>
      </c>
      <c r="C49" s="8">
        <v>4.5999999999999996</v>
      </c>
      <c r="D49" s="8">
        <v>3.2</v>
      </c>
      <c r="E49" s="8">
        <v>1.4</v>
      </c>
      <c r="F49" s="8">
        <v>0.2</v>
      </c>
      <c r="G49" t="str">
        <f t="shared" si="0"/>
        <v>Iris-setosa</v>
      </c>
      <c r="I49" s="4">
        <v>48</v>
      </c>
      <c r="J49" s="1">
        <v>5.4</v>
      </c>
      <c r="K49" s="1">
        <v>2.9</v>
      </c>
      <c r="L49" s="1">
        <v>1.7</v>
      </c>
      <c r="M49" s="1">
        <v>0.4</v>
      </c>
    </row>
    <row r="50" spans="1:13" x14ac:dyDescent="0.55000000000000004">
      <c r="A50" s="5">
        <v>49</v>
      </c>
      <c r="B50" t="s">
        <v>46</v>
      </c>
      <c r="C50" s="8">
        <v>5.3</v>
      </c>
      <c r="D50" s="8">
        <v>3.7</v>
      </c>
      <c r="E50" s="8">
        <v>1.5</v>
      </c>
      <c r="F50" s="8">
        <v>0.2</v>
      </c>
      <c r="G50" t="str">
        <f t="shared" si="0"/>
        <v>Iris-setosa</v>
      </c>
      <c r="I50" s="4">
        <v>49</v>
      </c>
      <c r="J50" s="1">
        <v>5.4</v>
      </c>
      <c r="K50" s="1">
        <v>2.9</v>
      </c>
      <c r="L50" s="1">
        <v>1.9</v>
      </c>
      <c r="M50" s="1">
        <v>0.5</v>
      </c>
    </row>
    <row r="51" spans="1:13" x14ac:dyDescent="0.55000000000000004">
      <c r="A51" s="9">
        <v>50</v>
      </c>
      <c r="B51" t="s">
        <v>47</v>
      </c>
      <c r="C51" s="8">
        <v>5</v>
      </c>
      <c r="D51" s="8">
        <v>3.3</v>
      </c>
      <c r="E51" s="8">
        <v>1.4</v>
      </c>
      <c r="F51" s="8">
        <v>0.2</v>
      </c>
      <c r="G51" t="str">
        <f t="shared" si="0"/>
        <v>Iris-setosa</v>
      </c>
      <c r="I51" s="6">
        <v>50</v>
      </c>
      <c r="J51" s="7">
        <v>5.4</v>
      </c>
      <c r="K51" s="7">
        <v>2.9</v>
      </c>
      <c r="L51" s="7">
        <v>1.9</v>
      </c>
      <c r="M51" s="7">
        <v>0.6</v>
      </c>
    </row>
    <row r="52" spans="1:13" x14ac:dyDescent="0.55000000000000004">
      <c r="A52" s="5">
        <v>51</v>
      </c>
      <c r="B52" t="s">
        <v>48</v>
      </c>
      <c r="C52" s="8">
        <v>7</v>
      </c>
      <c r="D52" s="8">
        <v>3.2</v>
      </c>
      <c r="E52" s="8">
        <v>4.7</v>
      </c>
      <c r="F52" s="8">
        <v>1.4</v>
      </c>
      <c r="G52" t="str">
        <f t="shared" si="0"/>
        <v>Iris-versicolor</v>
      </c>
      <c r="I52" s="4">
        <v>51</v>
      </c>
      <c r="J52" s="1">
        <v>5.4</v>
      </c>
      <c r="K52" s="1">
        <v>2.9</v>
      </c>
      <c r="L52" s="1">
        <v>3</v>
      </c>
      <c r="M52" s="1">
        <v>1</v>
      </c>
    </row>
    <row r="53" spans="1:13" x14ac:dyDescent="0.55000000000000004">
      <c r="A53" s="5">
        <v>52</v>
      </c>
      <c r="B53" t="s">
        <v>49</v>
      </c>
      <c r="C53" s="8">
        <v>6.4</v>
      </c>
      <c r="D53" s="8">
        <v>3.2</v>
      </c>
      <c r="E53" s="8">
        <v>4.5</v>
      </c>
      <c r="F53" s="8">
        <v>1.5</v>
      </c>
      <c r="G53" t="str">
        <f t="shared" si="0"/>
        <v>Iris-versicolor</v>
      </c>
      <c r="I53" s="4">
        <v>52</v>
      </c>
      <c r="J53" s="1">
        <v>5.4</v>
      </c>
      <c r="K53" s="1">
        <v>2.9</v>
      </c>
      <c r="L53" s="1">
        <v>3.3</v>
      </c>
      <c r="M53" s="1">
        <v>1</v>
      </c>
    </row>
    <row r="54" spans="1:13" x14ac:dyDescent="0.55000000000000004">
      <c r="A54" s="5">
        <v>53</v>
      </c>
      <c r="B54" t="s">
        <v>50</v>
      </c>
      <c r="C54" s="8">
        <v>6.9</v>
      </c>
      <c r="D54" s="8">
        <v>3.1</v>
      </c>
      <c r="E54" s="8">
        <v>4.9000000000000004</v>
      </c>
      <c r="F54" s="8">
        <v>1.5</v>
      </c>
      <c r="G54" t="str">
        <f t="shared" si="0"/>
        <v>Iris-versicolor</v>
      </c>
      <c r="I54" s="4">
        <v>53</v>
      </c>
      <c r="J54" s="1">
        <v>5.5</v>
      </c>
      <c r="K54" s="1">
        <v>2.9</v>
      </c>
      <c r="L54" s="1">
        <v>3.3</v>
      </c>
      <c r="M54" s="1">
        <v>1</v>
      </c>
    </row>
    <row r="55" spans="1:13" x14ac:dyDescent="0.55000000000000004">
      <c r="A55" s="5">
        <v>54</v>
      </c>
      <c r="B55" t="s">
        <v>51</v>
      </c>
      <c r="C55" s="8">
        <v>5.5</v>
      </c>
      <c r="D55" s="8">
        <v>2.2999999999999998</v>
      </c>
      <c r="E55" s="8">
        <v>4</v>
      </c>
      <c r="F55" s="8">
        <v>1.3</v>
      </c>
      <c r="G55" t="str">
        <f t="shared" si="0"/>
        <v>Iris-versicolor</v>
      </c>
      <c r="I55" s="4">
        <v>54</v>
      </c>
      <c r="J55" s="1">
        <v>5.5</v>
      </c>
      <c r="K55" s="1">
        <v>2.9</v>
      </c>
      <c r="L55" s="1">
        <v>3.5</v>
      </c>
      <c r="M55" s="1">
        <v>1</v>
      </c>
    </row>
    <row r="56" spans="1:13" x14ac:dyDescent="0.55000000000000004">
      <c r="A56" s="5">
        <v>55</v>
      </c>
      <c r="B56" t="s">
        <v>52</v>
      </c>
      <c r="C56" s="8">
        <v>6.5</v>
      </c>
      <c r="D56" s="8">
        <v>2.8</v>
      </c>
      <c r="E56" s="8">
        <v>4.5999999999999996</v>
      </c>
      <c r="F56" s="8">
        <v>1.5</v>
      </c>
      <c r="G56" t="str">
        <f t="shared" si="0"/>
        <v>Iris-versicolor</v>
      </c>
      <c r="I56" s="4">
        <v>55</v>
      </c>
      <c r="J56" s="1">
        <v>5.5</v>
      </c>
      <c r="K56" s="1">
        <v>2.9</v>
      </c>
      <c r="L56" s="1">
        <v>3.5</v>
      </c>
      <c r="M56" s="1">
        <v>1</v>
      </c>
    </row>
    <row r="57" spans="1:13" x14ac:dyDescent="0.55000000000000004">
      <c r="A57" s="5">
        <v>56</v>
      </c>
      <c r="B57" t="s">
        <v>53</v>
      </c>
      <c r="C57" s="8">
        <v>5.7</v>
      </c>
      <c r="D57" s="8">
        <v>2.8</v>
      </c>
      <c r="E57" s="8">
        <v>4.5</v>
      </c>
      <c r="F57" s="8">
        <v>1.3</v>
      </c>
      <c r="G57" t="str">
        <f t="shared" si="0"/>
        <v>Iris-versicolor</v>
      </c>
      <c r="I57" s="4">
        <v>56</v>
      </c>
      <c r="J57" s="1">
        <v>5.5</v>
      </c>
      <c r="K57" s="1">
        <v>2.9</v>
      </c>
      <c r="L57" s="1">
        <v>3.6</v>
      </c>
      <c r="M57" s="1">
        <v>1</v>
      </c>
    </row>
    <row r="58" spans="1:13" x14ac:dyDescent="0.55000000000000004">
      <c r="A58" s="5">
        <v>57</v>
      </c>
      <c r="B58" t="s">
        <v>54</v>
      </c>
      <c r="C58" s="8">
        <v>6.3</v>
      </c>
      <c r="D58" s="8">
        <v>3.3</v>
      </c>
      <c r="E58" s="8">
        <v>4.7</v>
      </c>
      <c r="F58" s="8">
        <v>1.6</v>
      </c>
      <c r="G58" t="str">
        <f t="shared" si="0"/>
        <v>Iris-versicolor</v>
      </c>
      <c r="I58" s="4">
        <v>57</v>
      </c>
      <c r="J58" s="1">
        <v>5.5</v>
      </c>
      <c r="K58" s="1">
        <v>2.9</v>
      </c>
      <c r="L58" s="1">
        <v>3.7</v>
      </c>
      <c r="M58" s="1">
        <v>1</v>
      </c>
    </row>
    <row r="59" spans="1:13" x14ac:dyDescent="0.55000000000000004">
      <c r="A59" s="5">
        <v>58</v>
      </c>
      <c r="B59" t="s">
        <v>55</v>
      </c>
      <c r="C59" s="8">
        <v>4.9000000000000004</v>
      </c>
      <c r="D59" s="8">
        <v>2.4</v>
      </c>
      <c r="E59" s="8">
        <v>3.3</v>
      </c>
      <c r="F59" s="8">
        <v>1</v>
      </c>
      <c r="G59" t="str">
        <f t="shared" si="0"/>
        <v>Iris-versicolor</v>
      </c>
      <c r="I59" s="4">
        <v>58</v>
      </c>
      <c r="J59" s="1">
        <v>5.5</v>
      </c>
      <c r="K59" s="1">
        <v>3</v>
      </c>
      <c r="L59" s="1">
        <v>3.8</v>
      </c>
      <c r="M59" s="1">
        <v>1.1000000000000001</v>
      </c>
    </row>
    <row r="60" spans="1:13" x14ac:dyDescent="0.55000000000000004">
      <c r="A60" s="5">
        <v>59</v>
      </c>
      <c r="B60" t="s">
        <v>56</v>
      </c>
      <c r="C60" s="8">
        <v>6.6</v>
      </c>
      <c r="D60" s="8">
        <v>2.9</v>
      </c>
      <c r="E60" s="8">
        <v>4.5999999999999996</v>
      </c>
      <c r="F60" s="8">
        <v>1.3</v>
      </c>
      <c r="G60" t="str">
        <f t="shared" si="0"/>
        <v>Iris-versicolor</v>
      </c>
      <c r="I60" s="4">
        <v>59</v>
      </c>
      <c r="J60" s="1">
        <v>5.5</v>
      </c>
      <c r="K60" s="1">
        <v>3</v>
      </c>
      <c r="L60" s="1">
        <v>3.9</v>
      </c>
      <c r="M60" s="1">
        <v>1.1000000000000001</v>
      </c>
    </row>
    <row r="61" spans="1:13" x14ac:dyDescent="0.55000000000000004">
      <c r="A61" s="5">
        <v>60</v>
      </c>
      <c r="B61" t="s">
        <v>57</v>
      </c>
      <c r="C61" s="8">
        <v>5.2</v>
      </c>
      <c r="D61" s="8">
        <v>2.7</v>
      </c>
      <c r="E61" s="8">
        <v>3.9</v>
      </c>
      <c r="F61" s="8">
        <v>1.4</v>
      </c>
      <c r="G61" t="str">
        <f t="shared" si="0"/>
        <v>Iris-versicolor</v>
      </c>
      <c r="I61" s="4">
        <v>60</v>
      </c>
      <c r="J61" s="1">
        <v>5.6</v>
      </c>
      <c r="K61" s="1">
        <v>3</v>
      </c>
      <c r="L61" s="1">
        <v>3.9</v>
      </c>
      <c r="M61" s="1">
        <v>1.1000000000000001</v>
      </c>
    </row>
    <row r="62" spans="1:13" x14ac:dyDescent="0.55000000000000004">
      <c r="A62" s="5">
        <v>61</v>
      </c>
      <c r="B62" t="s">
        <v>58</v>
      </c>
      <c r="C62" s="8">
        <v>5</v>
      </c>
      <c r="D62" s="8">
        <v>2</v>
      </c>
      <c r="E62" s="8">
        <v>3.5</v>
      </c>
      <c r="F62" s="8">
        <v>1</v>
      </c>
      <c r="G62" t="str">
        <f t="shared" si="0"/>
        <v>Iris-versicolor</v>
      </c>
      <c r="I62" s="4">
        <v>61</v>
      </c>
      <c r="J62" s="1">
        <v>5.6</v>
      </c>
      <c r="K62" s="1">
        <v>3</v>
      </c>
      <c r="L62" s="1">
        <v>3.9</v>
      </c>
      <c r="M62" s="1">
        <v>1.2</v>
      </c>
    </row>
    <row r="63" spans="1:13" x14ac:dyDescent="0.55000000000000004">
      <c r="A63" s="5">
        <v>62</v>
      </c>
      <c r="B63" t="s">
        <v>59</v>
      </c>
      <c r="C63" s="8">
        <v>5.9</v>
      </c>
      <c r="D63" s="8">
        <v>3</v>
      </c>
      <c r="E63" s="8">
        <v>4.2</v>
      </c>
      <c r="F63" s="8">
        <v>1.5</v>
      </c>
      <c r="G63" t="str">
        <f t="shared" si="0"/>
        <v>Iris-versicolor</v>
      </c>
      <c r="I63" s="4">
        <v>62</v>
      </c>
      <c r="J63" s="1">
        <v>5.6</v>
      </c>
      <c r="K63" s="1">
        <v>3</v>
      </c>
      <c r="L63" s="1">
        <v>4</v>
      </c>
      <c r="M63" s="1">
        <v>1.2</v>
      </c>
    </row>
    <row r="64" spans="1:13" x14ac:dyDescent="0.55000000000000004">
      <c r="A64" s="5">
        <v>63</v>
      </c>
      <c r="B64" t="s">
        <v>60</v>
      </c>
      <c r="C64" s="8">
        <v>6</v>
      </c>
      <c r="D64" s="8">
        <v>2.2000000000000002</v>
      </c>
      <c r="E64" s="8">
        <v>4</v>
      </c>
      <c r="F64" s="8">
        <v>1</v>
      </c>
      <c r="G64" t="str">
        <f t="shared" si="0"/>
        <v>Iris-versicolor</v>
      </c>
      <c r="I64" s="4">
        <v>63</v>
      </c>
      <c r="J64" s="1">
        <v>5.6</v>
      </c>
      <c r="K64" s="1">
        <v>3</v>
      </c>
      <c r="L64" s="1">
        <v>4</v>
      </c>
      <c r="M64" s="1">
        <v>1.2</v>
      </c>
    </row>
    <row r="65" spans="1:13" x14ac:dyDescent="0.55000000000000004">
      <c r="A65" s="5">
        <v>64</v>
      </c>
      <c r="B65" t="s">
        <v>61</v>
      </c>
      <c r="C65" s="8">
        <v>6.1</v>
      </c>
      <c r="D65" s="8">
        <v>2.9</v>
      </c>
      <c r="E65" s="8">
        <v>4.7</v>
      </c>
      <c r="F65" s="8">
        <v>1.4</v>
      </c>
      <c r="G65" t="str">
        <f t="shared" si="0"/>
        <v>Iris-versicolor</v>
      </c>
      <c r="I65" s="4">
        <v>64</v>
      </c>
      <c r="J65" s="1">
        <v>5.6</v>
      </c>
      <c r="K65" s="1">
        <v>3</v>
      </c>
      <c r="L65" s="1">
        <v>4</v>
      </c>
      <c r="M65" s="1">
        <v>1.2</v>
      </c>
    </row>
    <row r="66" spans="1:13" x14ac:dyDescent="0.55000000000000004">
      <c r="A66" s="5">
        <v>65</v>
      </c>
      <c r="B66" t="s">
        <v>62</v>
      </c>
      <c r="C66" s="8">
        <v>5.6</v>
      </c>
      <c r="D66" s="8">
        <v>2.9</v>
      </c>
      <c r="E66" s="8">
        <v>3.6</v>
      </c>
      <c r="F66" s="8">
        <v>1.3</v>
      </c>
      <c r="G66" t="str">
        <f t="shared" si="0"/>
        <v>Iris-versicolor</v>
      </c>
      <c r="I66" s="4">
        <v>65</v>
      </c>
      <c r="J66" s="1">
        <v>5.6</v>
      </c>
      <c r="K66" s="1">
        <v>3</v>
      </c>
      <c r="L66" s="1">
        <v>4</v>
      </c>
      <c r="M66" s="1">
        <v>1.2</v>
      </c>
    </row>
    <row r="67" spans="1:13" x14ac:dyDescent="0.55000000000000004">
      <c r="A67" s="5">
        <v>66</v>
      </c>
      <c r="B67" t="s">
        <v>63</v>
      </c>
      <c r="C67" s="8">
        <v>6.7</v>
      </c>
      <c r="D67" s="8">
        <v>3.1</v>
      </c>
      <c r="E67" s="8">
        <v>4.4000000000000004</v>
      </c>
      <c r="F67" s="8">
        <v>1.4</v>
      </c>
      <c r="G67" t="str">
        <f t="shared" ref="G67:G130" si="2">MID(B67,17,100)</f>
        <v>Iris-versicolor</v>
      </c>
      <c r="I67" s="4">
        <v>66</v>
      </c>
      <c r="J67" s="1">
        <v>5.7</v>
      </c>
      <c r="K67" s="1">
        <v>3</v>
      </c>
      <c r="L67" s="1">
        <v>4</v>
      </c>
      <c r="M67" s="1">
        <v>1.3</v>
      </c>
    </row>
    <row r="68" spans="1:13" x14ac:dyDescent="0.55000000000000004">
      <c r="A68" s="5">
        <v>67</v>
      </c>
      <c r="B68" t="s">
        <v>64</v>
      </c>
      <c r="C68" s="8">
        <v>5.6</v>
      </c>
      <c r="D68" s="8">
        <v>3</v>
      </c>
      <c r="E68" s="8">
        <v>4.5</v>
      </c>
      <c r="F68" s="8">
        <v>1.5</v>
      </c>
      <c r="G68" t="str">
        <f t="shared" si="2"/>
        <v>Iris-versicolor</v>
      </c>
      <c r="I68" s="4">
        <v>67</v>
      </c>
      <c r="J68" s="1">
        <v>5.7</v>
      </c>
      <c r="K68" s="1">
        <v>3</v>
      </c>
      <c r="L68" s="1">
        <v>4.0999999999999996</v>
      </c>
      <c r="M68" s="1">
        <v>1.3</v>
      </c>
    </row>
    <row r="69" spans="1:13" x14ac:dyDescent="0.55000000000000004">
      <c r="A69" s="5">
        <v>68</v>
      </c>
      <c r="B69" t="s">
        <v>65</v>
      </c>
      <c r="C69" s="8">
        <v>5.8</v>
      </c>
      <c r="D69" s="8">
        <v>2.7</v>
      </c>
      <c r="E69" s="8">
        <v>4.0999999999999996</v>
      </c>
      <c r="F69" s="8">
        <v>1</v>
      </c>
      <c r="G69" t="str">
        <f t="shared" si="2"/>
        <v>Iris-versicolor</v>
      </c>
      <c r="I69" s="4">
        <v>68</v>
      </c>
      <c r="J69" s="1">
        <v>5.7</v>
      </c>
      <c r="K69" s="1">
        <v>3</v>
      </c>
      <c r="L69" s="1">
        <v>4.0999999999999996</v>
      </c>
      <c r="M69" s="1">
        <v>1.3</v>
      </c>
    </row>
    <row r="70" spans="1:13" x14ac:dyDescent="0.55000000000000004">
      <c r="A70" s="5">
        <v>69</v>
      </c>
      <c r="B70" t="s">
        <v>66</v>
      </c>
      <c r="C70" s="8">
        <v>6.2</v>
      </c>
      <c r="D70" s="8">
        <v>2.2000000000000002</v>
      </c>
      <c r="E70" s="8">
        <v>4.5</v>
      </c>
      <c r="F70" s="8">
        <v>1.5</v>
      </c>
      <c r="G70" t="str">
        <f t="shared" si="2"/>
        <v>Iris-versicolor</v>
      </c>
      <c r="I70" s="4">
        <v>69</v>
      </c>
      <c r="J70" s="1">
        <v>5.7</v>
      </c>
      <c r="K70" s="1">
        <v>3</v>
      </c>
      <c r="L70" s="1">
        <v>4.0999999999999996</v>
      </c>
      <c r="M70" s="1">
        <v>1.3</v>
      </c>
    </row>
    <row r="71" spans="1:13" x14ac:dyDescent="0.55000000000000004">
      <c r="A71" s="5">
        <v>70</v>
      </c>
      <c r="B71" t="s">
        <v>67</v>
      </c>
      <c r="C71" s="8">
        <v>5.6</v>
      </c>
      <c r="D71" s="8">
        <v>2.5</v>
      </c>
      <c r="E71" s="8">
        <v>3.9</v>
      </c>
      <c r="F71" s="8">
        <v>1.1000000000000001</v>
      </c>
      <c r="G71" t="str">
        <f t="shared" si="2"/>
        <v>Iris-versicolor</v>
      </c>
      <c r="I71" s="4">
        <v>70</v>
      </c>
      <c r="J71" s="1">
        <v>5.7</v>
      </c>
      <c r="K71" s="1">
        <v>3</v>
      </c>
      <c r="L71" s="1">
        <v>4.2</v>
      </c>
      <c r="M71" s="1">
        <v>1.3</v>
      </c>
    </row>
    <row r="72" spans="1:13" x14ac:dyDescent="0.55000000000000004">
      <c r="A72" s="5">
        <v>71</v>
      </c>
      <c r="B72" t="s">
        <v>68</v>
      </c>
      <c r="C72" s="8">
        <v>5.9</v>
      </c>
      <c r="D72" s="8">
        <v>3.2</v>
      </c>
      <c r="E72" s="8">
        <v>4.8</v>
      </c>
      <c r="F72" s="8">
        <v>1.8</v>
      </c>
      <c r="G72" t="str">
        <f t="shared" si="2"/>
        <v>Iris-versicolor</v>
      </c>
      <c r="I72" s="4">
        <v>71</v>
      </c>
      <c r="J72" s="1">
        <v>5.7</v>
      </c>
      <c r="K72" s="1">
        <v>3</v>
      </c>
      <c r="L72" s="1">
        <v>4.2</v>
      </c>
      <c r="M72" s="1">
        <v>1.3</v>
      </c>
    </row>
    <row r="73" spans="1:13" x14ac:dyDescent="0.55000000000000004">
      <c r="A73" s="5">
        <v>72</v>
      </c>
      <c r="B73" t="s">
        <v>69</v>
      </c>
      <c r="C73" s="8">
        <v>6.1</v>
      </c>
      <c r="D73" s="8">
        <v>2.8</v>
      </c>
      <c r="E73" s="8">
        <v>4</v>
      </c>
      <c r="F73" s="8">
        <v>1.3</v>
      </c>
      <c r="G73" t="str">
        <f t="shared" si="2"/>
        <v>Iris-versicolor</v>
      </c>
      <c r="I73" s="4">
        <v>72</v>
      </c>
      <c r="J73" s="1">
        <v>5.7</v>
      </c>
      <c r="K73" s="1">
        <v>3</v>
      </c>
      <c r="L73" s="1">
        <v>4.2</v>
      </c>
      <c r="M73" s="1">
        <v>1.3</v>
      </c>
    </row>
    <row r="74" spans="1:13" x14ac:dyDescent="0.55000000000000004">
      <c r="A74" s="5">
        <v>73</v>
      </c>
      <c r="B74" t="s">
        <v>70</v>
      </c>
      <c r="C74" s="8">
        <v>6.3</v>
      </c>
      <c r="D74" s="8">
        <v>2.5</v>
      </c>
      <c r="E74" s="8">
        <v>4.9000000000000004</v>
      </c>
      <c r="F74" s="8">
        <v>1.5</v>
      </c>
      <c r="G74" t="str">
        <f t="shared" si="2"/>
        <v>Iris-versicolor</v>
      </c>
      <c r="I74" s="4">
        <v>73</v>
      </c>
      <c r="J74" s="1">
        <v>5.7</v>
      </c>
      <c r="K74" s="1">
        <v>3</v>
      </c>
      <c r="L74" s="1">
        <v>4.2</v>
      </c>
      <c r="M74" s="1">
        <v>1.3</v>
      </c>
    </row>
    <row r="75" spans="1:13" x14ac:dyDescent="0.55000000000000004">
      <c r="A75" s="5">
        <v>74</v>
      </c>
      <c r="B75" t="s">
        <v>71</v>
      </c>
      <c r="C75" s="8">
        <v>6.1</v>
      </c>
      <c r="D75" s="8">
        <v>2.8</v>
      </c>
      <c r="E75" s="8">
        <v>4.7</v>
      </c>
      <c r="F75" s="8">
        <v>1.2</v>
      </c>
      <c r="G75" t="str">
        <f t="shared" si="2"/>
        <v>Iris-versicolor</v>
      </c>
      <c r="I75" s="4">
        <v>74</v>
      </c>
      <c r="J75" s="1">
        <v>5.8</v>
      </c>
      <c r="K75" s="1">
        <v>3</v>
      </c>
      <c r="L75" s="1">
        <v>4.3</v>
      </c>
      <c r="M75" s="1">
        <v>1.3</v>
      </c>
    </row>
    <row r="76" spans="1:13" x14ac:dyDescent="0.55000000000000004">
      <c r="A76" s="5">
        <v>75</v>
      </c>
      <c r="B76" t="s">
        <v>72</v>
      </c>
      <c r="C76" s="8">
        <v>6.4</v>
      </c>
      <c r="D76" s="8">
        <v>2.9</v>
      </c>
      <c r="E76" s="8">
        <v>4.3</v>
      </c>
      <c r="F76" s="8">
        <v>1.3</v>
      </c>
      <c r="G76" t="str">
        <f t="shared" si="2"/>
        <v>Iris-versicolor</v>
      </c>
      <c r="I76" s="4">
        <v>75</v>
      </c>
      <c r="J76" s="1">
        <v>5.8</v>
      </c>
      <c r="K76" s="1">
        <v>3</v>
      </c>
      <c r="L76" s="1">
        <v>4.3</v>
      </c>
      <c r="M76" s="1">
        <v>1.3</v>
      </c>
    </row>
    <row r="77" spans="1:13" x14ac:dyDescent="0.55000000000000004">
      <c r="A77" s="5">
        <v>76</v>
      </c>
      <c r="B77" t="s">
        <v>73</v>
      </c>
      <c r="C77" s="8">
        <v>6.6</v>
      </c>
      <c r="D77" s="8">
        <v>3</v>
      </c>
      <c r="E77" s="8">
        <v>4.4000000000000004</v>
      </c>
      <c r="F77" s="8">
        <v>1.4</v>
      </c>
      <c r="G77" t="str">
        <f t="shared" si="2"/>
        <v>Iris-versicolor</v>
      </c>
      <c r="I77" s="4">
        <v>76</v>
      </c>
      <c r="J77" s="1">
        <v>5.8</v>
      </c>
      <c r="K77" s="1">
        <v>3</v>
      </c>
      <c r="L77" s="1">
        <v>4.4000000000000004</v>
      </c>
      <c r="M77" s="1">
        <v>1.3</v>
      </c>
    </row>
    <row r="78" spans="1:13" x14ac:dyDescent="0.55000000000000004">
      <c r="A78" s="5">
        <v>77</v>
      </c>
      <c r="B78" t="s">
        <v>74</v>
      </c>
      <c r="C78" s="8">
        <v>6.8</v>
      </c>
      <c r="D78" s="8">
        <v>2.8</v>
      </c>
      <c r="E78" s="8">
        <v>4.8</v>
      </c>
      <c r="F78" s="8">
        <v>1.4</v>
      </c>
      <c r="G78" t="str">
        <f t="shared" si="2"/>
        <v>Iris-versicolor</v>
      </c>
      <c r="I78" s="4">
        <v>77</v>
      </c>
      <c r="J78" s="1">
        <v>5.8</v>
      </c>
      <c r="K78" s="1">
        <v>3</v>
      </c>
      <c r="L78" s="1">
        <v>4.4000000000000004</v>
      </c>
      <c r="M78" s="1">
        <v>1.3</v>
      </c>
    </row>
    <row r="79" spans="1:13" x14ac:dyDescent="0.55000000000000004">
      <c r="A79" s="5">
        <v>78</v>
      </c>
      <c r="B79" t="s">
        <v>75</v>
      </c>
      <c r="C79" s="8">
        <v>6.7</v>
      </c>
      <c r="D79" s="8">
        <v>3</v>
      </c>
      <c r="E79" s="8">
        <v>5</v>
      </c>
      <c r="F79" s="8">
        <v>1.7</v>
      </c>
      <c r="G79" t="str">
        <f t="shared" si="2"/>
        <v>Iris-versicolor</v>
      </c>
      <c r="I79" s="4">
        <v>78</v>
      </c>
      <c r="J79" s="1">
        <v>5.8</v>
      </c>
      <c r="K79" s="1">
        <v>3</v>
      </c>
      <c r="L79" s="1">
        <v>4.4000000000000004</v>
      </c>
      <c r="M79" s="1">
        <v>1.3</v>
      </c>
    </row>
    <row r="80" spans="1:13" x14ac:dyDescent="0.55000000000000004">
      <c r="A80" s="5">
        <v>79</v>
      </c>
      <c r="B80" t="s">
        <v>76</v>
      </c>
      <c r="C80" s="8">
        <v>6</v>
      </c>
      <c r="D80" s="8">
        <v>2.9</v>
      </c>
      <c r="E80" s="8">
        <v>4.5</v>
      </c>
      <c r="F80" s="8">
        <v>1.5</v>
      </c>
      <c r="G80" t="str">
        <f t="shared" si="2"/>
        <v>Iris-versicolor</v>
      </c>
      <c r="I80" s="4">
        <v>79</v>
      </c>
      <c r="J80" s="1">
        <v>5.8</v>
      </c>
      <c r="K80" s="1">
        <v>3</v>
      </c>
      <c r="L80" s="1">
        <v>4.4000000000000004</v>
      </c>
      <c r="M80" s="1">
        <v>1.4</v>
      </c>
    </row>
    <row r="81" spans="1:13" x14ac:dyDescent="0.55000000000000004">
      <c r="A81" s="5">
        <v>80</v>
      </c>
      <c r="B81" t="s">
        <v>77</v>
      </c>
      <c r="C81" s="8">
        <v>5.7</v>
      </c>
      <c r="D81" s="8">
        <v>2.6</v>
      </c>
      <c r="E81" s="8">
        <v>3.5</v>
      </c>
      <c r="F81" s="8">
        <v>1</v>
      </c>
      <c r="G81" t="str">
        <f t="shared" si="2"/>
        <v>Iris-versicolor</v>
      </c>
      <c r="I81" s="4">
        <v>80</v>
      </c>
      <c r="J81" s="1">
        <v>5.8</v>
      </c>
      <c r="K81" s="1">
        <v>3</v>
      </c>
      <c r="L81" s="1">
        <v>4.5</v>
      </c>
      <c r="M81" s="1">
        <v>1.4</v>
      </c>
    </row>
    <row r="82" spans="1:13" x14ac:dyDescent="0.55000000000000004">
      <c r="A82" s="5">
        <v>81</v>
      </c>
      <c r="B82" t="s">
        <v>78</v>
      </c>
      <c r="C82" s="8">
        <v>5.5</v>
      </c>
      <c r="D82" s="8">
        <v>2.4</v>
      </c>
      <c r="E82" s="8">
        <v>3.8</v>
      </c>
      <c r="F82" s="8">
        <v>1.1000000000000001</v>
      </c>
      <c r="G82" t="str">
        <f t="shared" si="2"/>
        <v>Iris-versicolor</v>
      </c>
      <c r="I82" s="4">
        <v>81</v>
      </c>
      <c r="J82" s="1">
        <v>5.9</v>
      </c>
      <c r="K82" s="1">
        <v>3</v>
      </c>
      <c r="L82" s="1">
        <v>4.5</v>
      </c>
      <c r="M82" s="1">
        <v>1.4</v>
      </c>
    </row>
    <row r="83" spans="1:13" x14ac:dyDescent="0.55000000000000004">
      <c r="A83" s="5">
        <v>82</v>
      </c>
      <c r="B83" t="s">
        <v>79</v>
      </c>
      <c r="C83" s="8">
        <v>5.5</v>
      </c>
      <c r="D83" s="8">
        <v>2.4</v>
      </c>
      <c r="E83" s="8">
        <v>3.7</v>
      </c>
      <c r="F83" s="8">
        <v>1</v>
      </c>
      <c r="G83" t="str">
        <f t="shared" si="2"/>
        <v>Iris-versicolor</v>
      </c>
      <c r="I83" s="4">
        <v>82</v>
      </c>
      <c r="J83" s="1">
        <v>5.9</v>
      </c>
      <c r="K83" s="1">
        <v>3</v>
      </c>
      <c r="L83" s="1">
        <v>4.5</v>
      </c>
      <c r="M83" s="1">
        <v>1.4</v>
      </c>
    </row>
    <row r="84" spans="1:13" x14ac:dyDescent="0.55000000000000004">
      <c r="A84" s="5">
        <v>83</v>
      </c>
      <c r="B84" t="s">
        <v>80</v>
      </c>
      <c r="C84" s="8">
        <v>5.8</v>
      </c>
      <c r="D84" s="8">
        <v>2.7</v>
      </c>
      <c r="E84" s="8">
        <v>3.9</v>
      </c>
      <c r="F84" s="8">
        <v>1.2</v>
      </c>
      <c r="G84" t="str">
        <f t="shared" si="2"/>
        <v>Iris-versicolor</v>
      </c>
      <c r="I84" s="4">
        <v>83</v>
      </c>
      <c r="J84" s="1">
        <v>5.9</v>
      </c>
      <c r="K84" s="1">
        <v>3</v>
      </c>
      <c r="L84" s="1">
        <v>4.5</v>
      </c>
      <c r="M84" s="1">
        <v>1.4</v>
      </c>
    </row>
    <row r="85" spans="1:13" x14ac:dyDescent="0.55000000000000004">
      <c r="A85" s="5">
        <v>84</v>
      </c>
      <c r="B85" t="s">
        <v>81</v>
      </c>
      <c r="C85" s="8">
        <v>6</v>
      </c>
      <c r="D85" s="8">
        <v>2.7</v>
      </c>
      <c r="E85" s="8">
        <v>5.0999999999999996</v>
      </c>
      <c r="F85" s="8">
        <v>1.6</v>
      </c>
      <c r="G85" t="str">
        <f t="shared" si="2"/>
        <v>Iris-versicolor</v>
      </c>
      <c r="I85" s="4">
        <v>84</v>
      </c>
      <c r="J85" s="1">
        <v>6</v>
      </c>
      <c r="K85" s="1">
        <v>3.1</v>
      </c>
      <c r="L85" s="1">
        <v>4.5</v>
      </c>
      <c r="M85" s="1">
        <v>1.4</v>
      </c>
    </row>
    <row r="86" spans="1:13" x14ac:dyDescent="0.55000000000000004">
      <c r="A86" s="5">
        <v>85</v>
      </c>
      <c r="B86" t="s">
        <v>82</v>
      </c>
      <c r="C86" s="8">
        <v>5.4</v>
      </c>
      <c r="D86" s="8">
        <v>3</v>
      </c>
      <c r="E86" s="8">
        <v>4.5</v>
      </c>
      <c r="F86" s="8">
        <v>1.5</v>
      </c>
      <c r="G86" t="str">
        <f t="shared" si="2"/>
        <v>Iris-versicolor</v>
      </c>
      <c r="I86" s="4">
        <v>85</v>
      </c>
      <c r="J86" s="1">
        <v>6</v>
      </c>
      <c r="K86" s="1">
        <v>3.1</v>
      </c>
      <c r="L86" s="1">
        <v>4.5</v>
      </c>
      <c r="M86" s="1">
        <v>1.4</v>
      </c>
    </row>
    <row r="87" spans="1:13" x14ac:dyDescent="0.55000000000000004">
      <c r="A87" s="5">
        <v>86</v>
      </c>
      <c r="B87" t="s">
        <v>83</v>
      </c>
      <c r="C87" s="8">
        <v>6</v>
      </c>
      <c r="D87" s="8">
        <v>3.4</v>
      </c>
      <c r="E87" s="8">
        <v>4.5</v>
      </c>
      <c r="F87" s="8">
        <v>1.6</v>
      </c>
      <c r="G87" t="str">
        <f t="shared" si="2"/>
        <v>Iris-versicolor</v>
      </c>
      <c r="I87" s="4">
        <v>86</v>
      </c>
      <c r="J87" s="1">
        <v>6</v>
      </c>
      <c r="K87" s="1">
        <v>3.1</v>
      </c>
      <c r="L87" s="1">
        <v>4.5</v>
      </c>
      <c r="M87" s="1">
        <v>1.4</v>
      </c>
    </row>
    <row r="88" spans="1:13" x14ac:dyDescent="0.55000000000000004">
      <c r="A88" s="5">
        <v>87</v>
      </c>
      <c r="B88" t="s">
        <v>84</v>
      </c>
      <c r="C88" s="8">
        <v>6.7</v>
      </c>
      <c r="D88" s="8">
        <v>3.1</v>
      </c>
      <c r="E88" s="8">
        <v>4.7</v>
      </c>
      <c r="F88" s="8">
        <v>1.5</v>
      </c>
      <c r="G88" t="str">
        <f t="shared" si="2"/>
        <v>Iris-versicolor</v>
      </c>
      <c r="I88" s="4">
        <v>87</v>
      </c>
      <c r="J88" s="1">
        <v>6</v>
      </c>
      <c r="K88" s="1">
        <v>3.1</v>
      </c>
      <c r="L88" s="1">
        <v>4.5</v>
      </c>
      <c r="M88" s="1">
        <v>1.5</v>
      </c>
    </row>
    <row r="89" spans="1:13" x14ac:dyDescent="0.55000000000000004">
      <c r="A89" s="5">
        <v>88</v>
      </c>
      <c r="B89" t="s">
        <v>85</v>
      </c>
      <c r="C89" s="8">
        <v>6.3</v>
      </c>
      <c r="D89" s="8">
        <v>2.2999999999999998</v>
      </c>
      <c r="E89" s="8">
        <v>4.4000000000000004</v>
      </c>
      <c r="F89" s="8">
        <v>1.3</v>
      </c>
      <c r="G89" t="str">
        <f t="shared" si="2"/>
        <v>Iris-versicolor</v>
      </c>
      <c r="I89" s="4">
        <v>88</v>
      </c>
      <c r="J89" s="1">
        <v>6</v>
      </c>
      <c r="K89" s="1">
        <v>3.1</v>
      </c>
      <c r="L89" s="1">
        <v>4.5999999999999996</v>
      </c>
      <c r="M89" s="1">
        <v>1.5</v>
      </c>
    </row>
    <row r="90" spans="1:13" x14ac:dyDescent="0.55000000000000004">
      <c r="A90" s="5">
        <v>89</v>
      </c>
      <c r="B90" t="s">
        <v>86</v>
      </c>
      <c r="C90" s="8">
        <v>5.6</v>
      </c>
      <c r="D90" s="8">
        <v>3</v>
      </c>
      <c r="E90" s="8">
        <v>4.0999999999999996</v>
      </c>
      <c r="F90" s="8">
        <v>1.3</v>
      </c>
      <c r="G90" t="str">
        <f t="shared" si="2"/>
        <v>Iris-versicolor</v>
      </c>
      <c r="I90" s="4">
        <v>89</v>
      </c>
      <c r="J90" s="1">
        <v>6</v>
      </c>
      <c r="K90" s="1">
        <v>3.1</v>
      </c>
      <c r="L90" s="1">
        <v>4.5999999999999996</v>
      </c>
      <c r="M90" s="1">
        <v>1.5</v>
      </c>
    </row>
    <row r="91" spans="1:13" x14ac:dyDescent="0.55000000000000004">
      <c r="A91" s="5">
        <v>90</v>
      </c>
      <c r="B91" t="s">
        <v>87</v>
      </c>
      <c r="C91" s="8">
        <v>5.5</v>
      </c>
      <c r="D91" s="8">
        <v>2.5</v>
      </c>
      <c r="E91" s="8">
        <v>4</v>
      </c>
      <c r="F91" s="8">
        <v>1.3</v>
      </c>
      <c r="G91" t="str">
        <f t="shared" si="2"/>
        <v>Iris-versicolor</v>
      </c>
      <c r="I91" s="4">
        <v>90</v>
      </c>
      <c r="J91" s="1">
        <v>6.1</v>
      </c>
      <c r="K91" s="1">
        <v>3.1</v>
      </c>
      <c r="L91" s="1">
        <v>4.5999999999999996</v>
      </c>
      <c r="M91" s="1">
        <v>1.5</v>
      </c>
    </row>
    <row r="92" spans="1:13" x14ac:dyDescent="0.55000000000000004">
      <c r="A92" s="5">
        <v>91</v>
      </c>
      <c r="B92" t="s">
        <v>88</v>
      </c>
      <c r="C92" s="8">
        <v>5.5</v>
      </c>
      <c r="D92" s="8">
        <v>2.6</v>
      </c>
      <c r="E92" s="8">
        <v>4.4000000000000004</v>
      </c>
      <c r="F92" s="8">
        <v>1.2</v>
      </c>
      <c r="G92" t="str">
        <f t="shared" si="2"/>
        <v>Iris-versicolor</v>
      </c>
      <c r="I92" s="4">
        <v>91</v>
      </c>
      <c r="J92" s="1">
        <v>6.1</v>
      </c>
      <c r="K92" s="1">
        <v>3.1</v>
      </c>
      <c r="L92" s="1">
        <v>4.7</v>
      </c>
      <c r="M92" s="1">
        <v>1.5</v>
      </c>
    </row>
    <row r="93" spans="1:13" x14ac:dyDescent="0.55000000000000004">
      <c r="A93" s="5">
        <v>92</v>
      </c>
      <c r="B93" t="s">
        <v>89</v>
      </c>
      <c r="C93" s="8">
        <v>6.1</v>
      </c>
      <c r="D93" s="8">
        <v>3</v>
      </c>
      <c r="E93" s="8">
        <v>4.5999999999999996</v>
      </c>
      <c r="F93" s="8">
        <v>1.4</v>
      </c>
      <c r="G93" t="str">
        <f t="shared" si="2"/>
        <v>Iris-versicolor</v>
      </c>
      <c r="I93" s="4">
        <v>92</v>
      </c>
      <c r="J93" s="1">
        <v>6.1</v>
      </c>
      <c r="K93" s="1">
        <v>3.1</v>
      </c>
      <c r="L93" s="1">
        <v>4.7</v>
      </c>
      <c r="M93" s="1">
        <v>1.5</v>
      </c>
    </row>
    <row r="94" spans="1:13" x14ac:dyDescent="0.55000000000000004">
      <c r="A94" s="5">
        <v>93</v>
      </c>
      <c r="B94" t="s">
        <v>90</v>
      </c>
      <c r="C94" s="8">
        <v>5.8</v>
      </c>
      <c r="D94" s="8">
        <v>2.6</v>
      </c>
      <c r="E94" s="8">
        <v>4</v>
      </c>
      <c r="F94" s="8">
        <v>1.2</v>
      </c>
      <c r="G94" t="str">
        <f t="shared" si="2"/>
        <v>Iris-versicolor</v>
      </c>
      <c r="I94" s="4">
        <v>93</v>
      </c>
      <c r="J94" s="1">
        <v>6.1</v>
      </c>
      <c r="K94" s="1">
        <v>3.1</v>
      </c>
      <c r="L94" s="1">
        <v>4.7</v>
      </c>
      <c r="M94" s="1">
        <v>1.5</v>
      </c>
    </row>
    <row r="95" spans="1:13" x14ac:dyDescent="0.55000000000000004">
      <c r="A95" s="5">
        <v>94</v>
      </c>
      <c r="B95" t="s">
        <v>91</v>
      </c>
      <c r="C95" s="8">
        <v>5</v>
      </c>
      <c r="D95" s="8">
        <v>2.2999999999999998</v>
      </c>
      <c r="E95" s="8">
        <v>3.3</v>
      </c>
      <c r="F95" s="8">
        <v>1</v>
      </c>
      <c r="G95" t="str">
        <f t="shared" si="2"/>
        <v>Iris-versicolor</v>
      </c>
      <c r="I95" s="4">
        <v>94</v>
      </c>
      <c r="J95" s="1">
        <v>6.1</v>
      </c>
      <c r="K95" s="1">
        <v>3.1</v>
      </c>
      <c r="L95" s="1">
        <v>4.7</v>
      </c>
      <c r="M95" s="1">
        <v>1.5</v>
      </c>
    </row>
    <row r="96" spans="1:13" x14ac:dyDescent="0.55000000000000004">
      <c r="A96" s="5">
        <v>95</v>
      </c>
      <c r="B96" t="s">
        <v>92</v>
      </c>
      <c r="C96" s="8">
        <v>5.6</v>
      </c>
      <c r="D96" s="8">
        <v>2.7</v>
      </c>
      <c r="E96" s="8">
        <v>4.2</v>
      </c>
      <c r="F96" s="8">
        <v>1.3</v>
      </c>
      <c r="G96" t="str">
        <f t="shared" si="2"/>
        <v>Iris-versicolor</v>
      </c>
      <c r="I96" s="4">
        <v>95</v>
      </c>
      <c r="J96" s="1">
        <v>6.1</v>
      </c>
      <c r="K96" s="1">
        <v>3.1</v>
      </c>
      <c r="L96" s="1">
        <v>4.7</v>
      </c>
      <c r="M96" s="1">
        <v>1.5</v>
      </c>
    </row>
    <row r="97" spans="1:13" x14ac:dyDescent="0.55000000000000004">
      <c r="A97" s="5">
        <v>96</v>
      </c>
      <c r="B97" t="s">
        <v>93</v>
      </c>
      <c r="C97" s="8">
        <v>5.7</v>
      </c>
      <c r="D97" s="8">
        <v>3</v>
      </c>
      <c r="E97" s="8">
        <v>4.2</v>
      </c>
      <c r="F97" s="8">
        <v>1.2</v>
      </c>
      <c r="G97" t="str">
        <f t="shared" si="2"/>
        <v>Iris-versicolor</v>
      </c>
      <c r="I97" s="4">
        <v>96</v>
      </c>
      <c r="J97" s="1">
        <v>6.2</v>
      </c>
      <c r="K97" s="1">
        <v>3.2</v>
      </c>
      <c r="L97" s="1">
        <v>4.8</v>
      </c>
      <c r="M97" s="1">
        <v>1.5</v>
      </c>
    </row>
    <row r="98" spans="1:13" x14ac:dyDescent="0.55000000000000004">
      <c r="A98" s="5">
        <v>97</v>
      </c>
      <c r="B98" t="s">
        <v>94</v>
      </c>
      <c r="C98" s="8">
        <v>5.7</v>
      </c>
      <c r="D98" s="8">
        <v>2.9</v>
      </c>
      <c r="E98" s="8">
        <v>4.2</v>
      </c>
      <c r="F98" s="8">
        <v>1.3</v>
      </c>
      <c r="G98" t="str">
        <f t="shared" si="2"/>
        <v>Iris-versicolor</v>
      </c>
      <c r="I98" s="4">
        <v>97</v>
      </c>
      <c r="J98" s="1">
        <v>6.2</v>
      </c>
      <c r="K98" s="1">
        <v>3.2</v>
      </c>
      <c r="L98" s="1">
        <v>4.8</v>
      </c>
      <c r="M98" s="1">
        <v>1.5</v>
      </c>
    </row>
    <row r="99" spans="1:13" x14ac:dyDescent="0.55000000000000004">
      <c r="A99" s="5">
        <v>98</v>
      </c>
      <c r="B99" t="s">
        <v>95</v>
      </c>
      <c r="C99" s="8">
        <v>6.2</v>
      </c>
      <c r="D99" s="8">
        <v>2.9</v>
      </c>
      <c r="E99" s="8">
        <v>4.3</v>
      </c>
      <c r="F99" s="8">
        <v>1.3</v>
      </c>
      <c r="G99" t="str">
        <f t="shared" si="2"/>
        <v>Iris-versicolor</v>
      </c>
      <c r="I99" s="4">
        <v>98</v>
      </c>
      <c r="J99" s="1">
        <v>6.2</v>
      </c>
      <c r="K99" s="1">
        <v>3.2</v>
      </c>
      <c r="L99" s="1">
        <v>4.8</v>
      </c>
      <c r="M99" s="1">
        <v>1.5</v>
      </c>
    </row>
    <row r="100" spans="1:13" x14ac:dyDescent="0.55000000000000004">
      <c r="A100" s="5">
        <v>99</v>
      </c>
      <c r="B100" t="s">
        <v>96</v>
      </c>
      <c r="C100" s="8">
        <v>5.0999999999999996</v>
      </c>
      <c r="D100" s="8">
        <v>2.5</v>
      </c>
      <c r="E100" s="8">
        <v>3</v>
      </c>
      <c r="F100" s="8">
        <v>1.1000000000000001</v>
      </c>
      <c r="G100" t="str">
        <f t="shared" si="2"/>
        <v>Iris-versicolor</v>
      </c>
      <c r="I100" s="4">
        <v>99</v>
      </c>
      <c r="J100" s="1">
        <v>6.2</v>
      </c>
      <c r="K100" s="1">
        <v>3.2</v>
      </c>
      <c r="L100" s="1">
        <v>4.8</v>
      </c>
      <c r="M100" s="1">
        <v>1.6</v>
      </c>
    </row>
    <row r="101" spans="1:13" x14ac:dyDescent="0.55000000000000004">
      <c r="A101" s="9">
        <v>100</v>
      </c>
      <c r="B101" t="s">
        <v>97</v>
      </c>
      <c r="C101" s="8">
        <v>5.7</v>
      </c>
      <c r="D101" s="8">
        <v>2.8</v>
      </c>
      <c r="E101" s="8">
        <v>4.0999999999999996</v>
      </c>
      <c r="F101" s="8">
        <v>1.3</v>
      </c>
      <c r="G101" t="str">
        <f t="shared" si="2"/>
        <v>Iris-versicolor</v>
      </c>
      <c r="I101" s="6">
        <v>100</v>
      </c>
      <c r="J101" s="7">
        <v>6.3</v>
      </c>
      <c r="K101" s="7">
        <v>3.2</v>
      </c>
      <c r="L101" s="7">
        <v>4.9000000000000004</v>
      </c>
      <c r="M101" s="7">
        <v>1.6</v>
      </c>
    </row>
    <row r="102" spans="1:13" x14ac:dyDescent="0.55000000000000004">
      <c r="A102" s="5">
        <v>101</v>
      </c>
      <c r="B102" t="s">
        <v>98</v>
      </c>
      <c r="C102" s="8">
        <v>6.3</v>
      </c>
      <c r="D102" s="8">
        <v>3.3</v>
      </c>
      <c r="E102" s="8">
        <v>6</v>
      </c>
      <c r="F102" s="8">
        <v>2.5</v>
      </c>
      <c r="G102" t="str">
        <f t="shared" si="2"/>
        <v>Iris-virginica</v>
      </c>
      <c r="I102" s="4">
        <v>101</v>
      </c>
      <c r="J102" s="1">
        <v>6.3</v>
      </c>
      <c r="K102" s="1">
        <v>3.2</v>
      </c>
      <c r="L102" s="1">
        <v>4.9000000000000004</v>
      </c>
      <c r="M102" s="1">
        <v>1.6</v>
      </c>
    </row>
    <row r="103" spans="1:13" x14ac:dyDescent="0.55000000000000004">
      <c r="A103" s="5">
        <v>102</v>
      </c>
      <c r="B103" t="s">
        <v>99</v>
      </c>
      <c r="C103" s="8">
        <v>5.8</v>
      </c>
      <c r="D103" s="8">
        <v>2.7</v>
      </c>
      <c r="E103" s="8">
        <v>5.0999999999999996</v>
      </c>
      <c r="F103" s="8">
        <v>1.9</v>
      </c>
      <c r="G103" t="str">
        <f t="shared" si="2"/>
        <v>Iris-virginica</v>
      </c>
      <c r="I103" s="4">
        <v>102</v>
      </c>
      <c r="J103" s="1">
        <v>6.3</v>
      </c>
      <c r="K103" s="1">
        <v>3.2</v>
      </c>
      <c r="L103" s="1">
        <v>4.9000000000000004</v>
      </c>
      <c r="M103" s="1">
        <v>1.6</v>
      </c>
    </row>
    <row r="104" spans="1:13" x14ac:dyDescent="0.55000000000000004">
      <c r="A104" s="5">
        <v>103</v>
      </c>
      <c r="B104" t="s">
        <v>100</v>
      </c>
      <c r="C104" s="8">
        <v>7.1</v>
      </c>
      <c r="D104" s="8">
        <v>3</v>
      </c>
      <c r="E104" s="8">
        <v>5.9</v>
      </c>
      <c r="F104" s="8">
        <v>2.1</v>
      </c>
      <c r="G104" t="str">
        <f t="shared" si="2"/>
        <v>Iris-virginica</v>
      </c>
      <c r="I104" s="4">
        <v>103</v>
      </c>
      <c r="J104" s="1">
        <v>6.3</v>
      </c>
      <c r="K104" s="1">
        <v>3.2</v>
      </c>
      <c r="L104" s="1">
        <v>4.9000000000000004</v>
      </c>
      <c r="M104" s="1">
        <v>1.7</v>
      </c>
    </row>
    <row r="105" spans="1:13" x14ac:dyDescent="0.55000000000000004">
      <c r="A105" s="5">
        <v>104</v>
      </c>
      <c r="B105" t="s">
        <v>101</v>
      </c>
      <c r="C105" s="8">
        <v>6.3</v>
      </c>
      <c r="D105" s="8">
        <v>2.9</v>
      </c>
      <c r="E105" s="8">
        <v>5.6</v>
      </c>
      <c r="F105" s="8">
        <v>1.8</v>
      </c>
      <c r="G105" t="str">
        <f t="shared" si="2"/>
        <v>Iris-virginica</v>
      </c>
      <c r="I105" s="4">
        <v>104</v>
      </c>
      <c r="J105" s="1">
        <v>6.3</v>
      </c>
      <c r="K105" s="1">
        <v>3.2</v>
      </c>
      <c r="L105" s="1">
        <v>4.9000000000000004</v>
      </c>
      <c r="M105" s="1">
        <v>1.7</v>
      </c>
    </row>
    <row r="106" spans="1:13" x14ac:dyDescent="0.55000000000000004">
      <c r="A106" s="5">
        <v>105</v>
      </c>
      <c r="B106" t="s">
        <v>102</v>
      </c>
      <c r="C106" s="8">
        <v>6.5</v>
      </c>
      <c r="D106" s="8">
        <v>3</v>
      </c>
      <c r="E106" s="8">
        <v>5.8</v>
      </c>
      <c r="F106" s="8">
        <v>2.2000000000000002</v>
      </c>
      <c r="G106" t="str">
        <f t="shared" si="2"/>
        <v>Iris-virginica</v>
      </c>
      <c r="I106" s="4">
        <v>105</v>
      </c>
      <c r="J106" s="1">
        <v>6.3</v>
      </c>
      <c r="K106" s="1">
        <v>3.2</v>
      </c>
      <c r="L106" s="1">
        <v>5</v>
      </c>
      <c r="M106" s="1">
        <v>1.8</v>
      </c>
    </row>
    <row r="107" spans="1:13" x14ac:dyDescent="0.55000000000000004">
      <c r="A107" s="5">
        <v>106</v>
      </c>
      <c r="B107" t="s">
        <v>103</v>
      </c>
      <c r="C107" s="8">
        <v>7.6</v>
      </c>
      <c r="D107" s="8">
        <v>3</v>
      </c>
      <c r="E107" s="8">
        <v>6.6</v>
      </c>
      <c r="F107" s="8">
        <v>2.1</v>
      </c>
      <c r="G107" t="str">
        <f t="shared" si="2"/>
        <v>Iris-virginica</v>
      </c>
      <c r="I107" s="4">
        <v>106</v>
      </c>
      <c r="J107" s="1">
        <v>6.3</v>
      </c>
      <c r="K107" s="1">
        <v>3.2</v>
      </c>
      <c r="L107" s="1">
        <v>5</v>
      </c>
      <c r="M107" s="1">
        <v>1.8</v>
      </c>
    </row>
    <row r="108" spans="1:13" x14ac:dyDescent="0.55000000000000004">
      <c r="A108" s="5">
        <v>107</v>
      </c>
      <c r="B108" t="s">
        <v>104</v>
      </c>
      <c r="C108" s="8">
        <v>4.9000000000000004</v>
      </c>
      <c r="D108" s="8">
        <v>2.5</v>
      </c>
      <c r="E108" s="8">
        <v>4.5</v>
      </c>
      <c r="F108" s="8">
        <v>1.7</v>
      </c>
      <c r="G108" t="str">
        <f t="shared" si="2"/>
        <v>Iris-virginica</v>
      </c>
      <c r="I108" s="4">
        <v>107</v>
      </c>
      <c r="J108" s="1">
        <v>6.3</v>
      </c>
      <c r="K108" s="1">
        <v>3.2</v>
      </c>
      <c r="L108" s="1">
        <v>5</v>
      </c>
      <c r="M108" s="1">
        <v>1.8</v>
      </c>
    </row>
    <row r="109" spans="1:13" x14ac:dyDescent="0.55000000000000004">
      <c r="A109" s="5">
        <v>108</v>
      </c>
      <c r="B109" t="s">
        <v>105</v>
      </c>
      <c r="C109" s="8">
        <v>7.3</v>
      </c>
      <c r="D109" s="8">
        <v>2.9</v>
      </c>
      <c r="E109" s="8">
        <v>6.3</v>
      </c>
      <c r="F109" s="8">
        <v>1.8</v>
      </c>
      <c r="G109" t="str">
        <f t="shared" si="2"/>
        <v>Iris-virginica</v>
      </c>
      <c r="I109" s="4">
        <v>108</v>
      </c>
      <c r="J109" s="1">
        <v>6.3</v>
      </c>
      <c r="K109" s="1">
        <v>3.2</v>
      </c>
      <c r="L109" s="1">
        <v>5</v>
      </c>
      <c r="M109" s="1">
        <v>1.8</v>
      </c>
    </row>
    <row r="110" spans="1:13" x14ac:dyDescent="0.55000000000000004">
      <c r="A110" s="5">
        <v>109</v>
      </c>
      <c r="B110" t="s">
        <v>106</v>
      </c>
      <c r="C110" s="8">
        <v>6.7</v>
      </c>
      <c r="D110" s="8">
        <v>2.5</v>
      </c>
      <c r="E110" s="8">
        <v>5.8</v>
      </c>
      <c r="F110" s="8">
        <v>1.8</v>
      </c>
      <c r="G110" t="str">
        <f t="shared" si="2"/>
        <v>Iris-virginica</v>
      </c>
      <c r="I110" s="4">
        <v>109</v>
      </c>
      <c r="J110" s="1">
        <v>6.4</v>
      </c>
      <c r="K110" s="1">
        <v>3.3</v>
      </c>
      <c r="L110" s="1">
        <v>5.0999999999999996</v>
      </c>
      <c r="M110" s="1">
        <v>1.8</v>
      </c>
    </row>
    <row r="111" spans="1:13" x14ac:dyDescent="0.55000000000000004">
      <c r="A111" s="5">
        <v>110</v>
      </c>
      <c r="B111" t="s">
        <v>107</v>
      </c>
      <c r="C111" s="8">
        <v>7.2</v>
      </c>
      <c r="D111" s="8">
        <v>3.6</v>
      </c>
      <c r="E111" s="8">
        <v>6.1</v>
      </c>
      <c r="F111" s="8">
        <v>2.5</v>
      </c>
      <c r="G111" t="str">
        <f t="shared" si="2"/>
        <v>Iris-virginica</v>
      </c>
      <c r="I111" s="4">
        <v>110</v>
      </c>
      <c r="J111" s="1">
        <v>6.4</v>
      </c>
      <c r="K111" s="1">
        <v>3.3</v>
      </c>
      <c r="L111" s="1">
        <v>5.0999999999999996</v>
      </c>
      <c r="M111" s="1">
        <v>1.8</v>
      </c>
    </row>
    <row r="112" spans="1:13" x14ac:dyDescent="0.55000000000000004">
      <c r="A112" s="5">
        <v>111</v>
      </c>
      <c r="B112" t="s">
        <v>108</v>
      </c>
      <c r="C112" s="8">
        <v>6.5</v>
      </c>
      <c r="D112" s="8">
        <v>3.2</v>
      </c>
      <c r="E112" s="8">
        <v>5.0999999999999996</v>
      </c>
      <c r="F112" s="8">
        <v>2</v>
      </c>
      <c r="G112" t="str">
        <f t="shared" si="2"/>
        <v>Iris-virginica</v>
      </c>
      <c r="I112" s="4">
        <v>111</v>
      </c>
      <c r="J112" s="1">
        <v>6.4</v>
      </c>
      <c r="K112" s="1">
        <v>3.3</v>
      </c>
      <c r="L112" s="1">
        <v>5.0999999999999996</v>
      </c>
      <c r="M112" s="1">
        <v>1.8</v>
      </c>
    </row>
    <row r="113" spans="1:13" x14ac:dyDescent="0.55000000000000004">
      <c r="A113" s="5">
        <v>112</v>
      </c>
      <c r="B113" t="s">
        <v>109</v>
      </c>
      <c r="C113" s="8">
        <v>6.4</v>
      </c>
      <c r="D113" s="8">
        <v>2.7</v>
      </c>
      <c r="E113" s="8">
        <v>5.3</v>
      </c>
      <c r="F113" s="8">
        <v>1.9</v>
      </c>
      <c r="G113" t="str">
        <f t="shared" si="2"/>
        <v>Iris-virginica</v>
      </c>
      <c r="I113" s="4">
        <v>112</v>
      </c>
      <c r="J113" s="1">
        <v>6.4</v>
      </c>
      <c r="K113" s="1">
        <v>3.3</v>
      </c>
      <c r="L113" s="1">
        <v>5.0999999999999996</v>
      </c>
      <c r="M113" s="1">
        <v>1.8</v>
      </c>
    </row>
    <row r="114" spans="1:13" x14ac:dyDescent="0.55000000000000004">
      <c r="A114" s="5">
        <v>113</v>
      </c>
      <c r="B114" t="s">
        <v>110</v>
      </c>
      <c r="C114" s="8">
        <v>6.8</v>
      </c>
      <c r="D114" s="8">
        <v>3</v>
      </c>
      <c r="E114" s="8">
        <v>5.5</v>
      </c>
      <c r="F114" s="8">
        <v>2.1</v>
      </c>
      <c r="G114" t="str">
        <f t="shared" si="2"/>
        <v>Iris-virginica</v>
      </c>
      <c r="I114" s="4">
        <v>113</v>
      </c>
      <c r="J114" s="1">
        <v>6.4</v>
      </c>
      <c r="K114" s="1">
        <v>3.3</v>
      </c>
      <c r="L114" s="1">
        <v>5.0999999999999996</v>
      </c>
      <c r="M114" s="1">
        <v>1.8</v>
      </c>
    </row>
    <row r="115" spans="1:13" x14ac:dyDescent="0.55000000000000004">
      <c r="A115" s="5">
        <v>114</v>
      </c>
      <c r="B115" t="s">
        <v>111</v>
      </c>
      <c r="C115" s="8">
        <v>5.7</v>
      </c>
      <c r="D115" s="8">
        <v>2.5</v>
      </c>
      <c r="E115" s="8">
        <v>5</v>
      </c>
      <c r="F115" s="8">
        <v>2</v>
      </c>
      <c r="G115" t="str">
        <f t="shared" si="2"/>
        <v>Iris-virginica</v>
      </c>
      <c r="I115" s="4">
        <v>114</v>
      </c>
      <c r="J115" s="1">
        <v>6.4</v>
      </c>
      <c r="K115" s="1">
        <v>3.3</v>
      </c>
      <c r="L115" s="1">
        <v>5.0999999999999996</v>
      </c>
      <c r="M115" s="1">
        <v>1.8</v>
      </c>
    </row>
    <row r="116" spans="1:13" x14ac:dyDescent="0.55000000000000004">
      <c r="A116" s="5">
        <v>115</v>
      </c>
      <c r="B116" t="s">
        <v>112</v>
      </c>
      <c r="C116" s="8">
        <v>5.8</v>
      </c>
      <c r="D116" s="8">
        <v>2.8</v>
      </c>
      <c r="E116" s="8">
        <v>5.0999999999999996</v>
      </c>
      <c r="F116" s="8">
        <v>2.4</v>
      </c>
      <c r="G116" t="str">
        <f t="shared" si="2"/>
        <v>Iris-virginica</v>
      </c>
      <c r="I116" s="4">
        <v>115</v>
      </c>
      <c r="J116" s="1">
        <v>6.4</v>
      </c>
      <c r="K116" s="1">
        <v>3.4</v>
      </c>
      <c r="L116" s="1">
        <v>5.0999999999999996</v>
      </c>
      <c r="M116" s="1">
        <v>1.8</v>
      </c>
    </row>
    <row r="117" spans="1:13" x14ac:dyDescent="0.55000000000000004">
      <c r="A117" s="5">
        <v>116</v>
      </c>
      <c r="B117" t="s">
        <v>113</v>
      </c>
      <c r="C117" s="8">
        <v>6.4</v>
      </c>
      <c r="D117" s="8">
        <v>3.2</v>
      </c>
      <c r="E117" s="8">
        <v>5.3</v>
      </c>
      <c r="F117" s="8">
        <v>2.2999999999999998</v>
      </c>
      <c r="G117" t="str">
        <f t="shared" si="2"/>
        <v>Iris-virginica</v>
      </c>
      <c r="I117" s="4">
        <v>116</v>
      </c>
      <c r="J117" s="1">
        <v>6.5</v>
      </c>
      <c r="K117" s="1">
        <v>3.4</v>
      </c>
      <c r="L117" s="1">
        <v>5.0999999999999996</v>
      </c>
      <c r="M117" s="1">
        <v>1.8</v>
      </c>
    </row>
    <row r="118" spans="1:13" x14ac:dyDescent="0.55000000000000004">
      <c r="A118" s="5">
        <v>117</v>
      </c>
      <c r="B118" t="s">
        <v>114</v>
      </c>
      <c r="C118" s="8">
        <v>6.5</v>
      </c>
      <c r="D118" s="8">
        <v>3</v>
      </c>
      <c r="E118" s="8">
        <v>5.5</v>
      </c>
      <c r="F118" s="8">
        <v>1.8</v>
      </c>
      <c r="G118" t="str">
        <f t="shared" si="2"/>
        <v>Iris-virginica</v>
      </c>
      <c r="I118" s="4">
        <v>117</v>
      </c>
      <c r="J118" s="1">
        <v>6.5</v>
      </c>
      <c r="K118" s="1">
        <v>3.4</v>
      </c>
      <c r="L118" s="1">
        <v>5.2</v>
      </c>
      <c r="M118" s="1">
        <v>1.9</v>
      </c>
    </row>
    <row r="119" spans="1:13" x14ac:dyDescent="0.55000000000000004">
      <c r="A119" s="5">
        <v>118</v>
      </c>
      <c r="B119" t="s">
        <v>115</v>
      </c>
      <c r="C119" s="8">
        <v>7.7</v>
      </c>
      <c r="D119" s="8">
        <v>3.8</v>
      </c>
      <c r="E119" s="8">
        <v>6.7</v>
      </c>
      <c r="F119" s="8">
        <v>2.2000000000000002</v>
      </c>
      <c r="G119" t="str">
        <f t="shared" si="2"/>
        <v>Iris-virginica</v>
      </c>
      <c r="I119" s="4">
        <v>118</v>
      </c>
      <c r="J119" s="1">
        <v>6.5</v>
      </c>
      <c r="K119" s="1">
        <v>3.4</v>
      </c>
      <c r="L119" s="1">
        <v>5.2</v>
      </c>
      <c r="M119" s="1">
        <v>1.9</v>
      </c>
    </row>
    <row r="120" spans="1:13" x14ac:dyDescent="0.55000000000000004">
      <c r="A120" s="5">
        <v>119</v>
      </c>
      <c r="B120" t="s">
        <v>116</v>
      </c>
      <c r="C120" s="8">
        <v>7.7</v>
      </c>
      <c r="D120" s="8">
        <v>2.6</v>
      </c>
      <c r="E120" s="8">
        <v>6.9</v>
      </c>
      <c r="F120" s="8">
        <v>2.2999999999999998</v>
      </c>
      <c r="G120" t="str">
        <f t="shared" si="2"/>
        <v>Iris-virginica</v>
      </c>
      <c r="I120" s="4">
        <v>119</v>
      </c>
      <c r="J120" s="1">
        <v>6.5</v>
      </c>
      <c r="K120" s="1">
        <v>3.4</v>
      </c>
      <c r="L120" s="1">
        <v>5.3</v>
      </c>
      <c r="M120" s="1">
        <v>1.9</v>
      </c>
    </row>
    <row r="121" spans="1:13" x14ac:dyDescent="0.55000000000000004">
      <c r="A121" s="5">
        <v>120</v>
      </c>
      <c r="B121" t="s">
        <v>117</v>
      </c>
      <c r="C121" s="8">
        <v>6</v>
      </c>
      <c r="D121" s="8">
        <v>2.2000000000000002</v>
      </c>
      <c r="E121" s="8">
        <v>5</v>
      </c>
      <c r="F121" s="8">
        <v>1.5</v>
      </c>
      <c r="G121" t="str">
        <f t="shared" si="2"/>
        <v>Iris-virginica</v>
      </c>
      <c r="I121" s="4">
        <v>120</v>
      </c>
      <c r="J121" s="1">
        <v>6.5</v>
      </c>
      <c r="K121" s="1">
        <v>3.4</v>
      </c>
      <c r="L121" s="1">
        <v>5.3</v>
      </c>
      <c r="M121" s="1">
        <v>1.9</v>
      </c>
    </row>
    <row r="122" spans="1:13" x14ac:dyDescent="0.55000000000000004">
      <c r="A122" s="5">
        <v>121</v>
      </c>
      <c r="B122" t="s">
        <v>118</v>
      </c>
      <c r="C122" s="8">
        <v>6.9</v>
      </c>
      <c r="D122" s="8">
        <v>3.2</v>
      </c>
      <c r="E122" s="8">
        <v>5.7</v>
      </c>
      <c r="F122" s="8">
        <v>2.2999999999999998</v>
      </c>
      <c r="G122" t="str">
        <f t="shared" si="2"/>
        <v>Iris-virginica</v>
      </c>
      <c r="I122" s="4">
        <v>121</v>
      </c>
      <c r="J122" s="1">
        <v>6.6</v>
      </c>
      <c r="K122" s="1">
        <v>3.4</v>
      </c>
      <c r="L122" s="1">
        <v>5.4</v>
      </c>
      <c r="M122" s="1">
        <v>1.9</v>
      </c>
    </row>
    <row r="123" spans="1:13" x14ac:dyDescent="0.55000000000000004">
      <c r="A123" s="5">
        <v>122</v>
      </c>
      <c r="B123" t="s">
        <v>119</v>
      </c>
      <c r="C123" s="8">
        <v>5.6</v>
      </c>
      <c r="D123" s="8">
        <v>2.8</v>
      </c>
      <c r="E123" s="8">
        <v>4.9000000000000004</v>
      </c>
      <c r="F123" s="8">
        <v>2</v>
      </c>
      <c r="G123" t="str">
        <f t="shared" si="2"/>
        <v>Iris-virginica</v>
      </c>
      <c r="I123" s="4">
        <v>122</v>
      </c>
      <c r="J123" s="1">
        <v>6.6</v>
      </c>
      <c r="K123" s="1">
        <v>3.4</v>
      </c>
      <c r="L123" s="1">
        <v>5.4</v>
      </c>
      <c r="M123" s="1">
        <v>2</v>
      </c>
    </row>
    <row r="124" spans="1:13" x14ac:dyDescent="0.55000000000000004">
      <c r="A124" s="5">
        <v>123</v>
      </c>
      <c r="B124" t="s">
        <v>120</v>
      </c>
      <c r="C124" s="8">
        <v>7.7</v>
      </c>
      <c r="D124" s="8">
        <v>2.8</v>
      </c>
      <c r="E124" s="8">
        <v>6.7</v>
      </c>
      <c r="F124" s="8">
        <v>2</v>
      </c>
      <c r="G124" t="str">
        <f t="shared" si="2"/>
        <v>Iris-virginica</v>
      </c>
      <c r="I124" s="4">
        <v>123</v>
      </c>
      <c r="J124" s="1">
        <v>6.7</v>
      </c>
      <c r="K124" s="1">
        <v>3.4</v>
      </c>
      <c r="L124" s="1">
        <v>5.5</v>
      </c>
      <c r="M124" s="1">
        <v>2</v>
      </c>
    </row>
    <row r="125" spans="1:13" x14ac:dyDescent="0.55000000000000004">
      <c r="A125" s="5">
        <v>124</v>
      </c>
      <c r="B125" t="s">
        <v>121</v>
      </c>
      <c r="C125" s="8">
        <v>6.3</v>
      </c>
      <c r="D125" s="8">
        <v>2.7</v>
      </c>
      <c r="E125" s="8">
        <v>4.9000000000000004</v>
      </c>
      <c r="F125" s="8">
        <v>1.8</v>
      </c>
      <c r="G125" t="str">
        <f t="shared" si="2"/>
        <v>Iris-virginica</v>
      </c>
      <c r="I125" s="4">
        <v>124</v>
      </c>
      <c r="J125" s="1">
        <v>6.7</v>
      </c>
      <c r="K125" s="1">
        <v>3.4</v>
      </c>
      <c r="L125" s="1">
        <v>5.5</v>
      </c>
      <c r="M125" s="1">
        <v>2</v>
      </c>
    </row>
    <row r="126" spans="1:13" x14ac:dyDescent="0.55000000000000004">
      <c r="A126" s="5">
        <v>125</v>
      </c>
      <c r="B126" t="s">
        <v>122</v>
      </c>
      <c r="C126" s="8">
        <v>6.7</v>
      </c>
      <c r="D126" s="8">
        <v>3.3</v>
      </c>
      <c r="E126" s="8">
        <v>5.7</v>
      </c>
      <c r="F126" s="8">
        <v>2.1</v>
      </c>
      <c r="G126" t="str">
        <f t="shared" si="2"/>
        <v>Iris-virginica</v>
      </c>
      <c r="I126" s="4">
        <v>125</v>
      </c>
      <c r="J126" s="1">
        <v>6.7</v>
      </c>
      <c r="K126" s="1">
        <v>3.4</v>
      </c>
      <c r="L126" s="1">
        <v>5.5</v>
      </c>
      <c r="M126" s="1">
        <v>2</v>
      </c>
    </row>
    <row r="127" spans="1:13" x14ac:dyDescent="0.55000000000000004">
      <c r="A127" s="5">
        <v>126</v>
      </c>
      <c r="B127" t="s">
        <v>123</v>
      </c>
      <c r="C127" s="8">
        <v>7.2</v>
      </c>
      <c r="D127" s="8">
        <v>3.2</v>
      </c>
      <c r="E127" s="8">
        <v>6</v>
      </c>
      <c r="F127" s="8">
        <v>1.8</v>
      </c>
      <c r="G127" t="str">
        <f t="shared" si="2"/>
        <v>Iris-virginica</v>
      </c>
      <c r="I127" s="4">
        <v>126</v>
      </c>
      <c r="J127" s="1">
        <v>6.7</v>
      </c>
      <c r="K127" s="1">
        <v>3.4</v>
      </c>
      <c r="L127" s="1">
        <v>5.6</v>
      </c>
      <c r="M127" s="1">
        <v>2</v>
      </c>
    </row>
    <row r="128" spans="1:13" x14ac:dyDescent="0.55000000000000004">
      <c r="A128" s="5">
        <v>127</v>
      </c>
      <c r="B128" t="s">
        <v>124</v>
      </c>
      <c r="C128" s="8">
        <v>6.2</v>
      </c>
      <c r="D128" s="8">
        <v>2.8</v>
      </c>
      <c r="E128" s="8">
        <v>4.8</v>
      </c>
      <c r="F128" s="8">
        <v>1.8</v>
      </c>
      <c r="G128" t="str">
        <f t="shared" si="2"/>
        <v>Iris-virginica</v>
      </c>
      <c r="I128" s="4">
        <v>127</v>
      </c>
      <c r="J128" s="1">
        <v>6.7</v>
      </c>
      <c r="K128" s="1">
        <v>3.5</v>
      </c>
      <c r="L128" s="1">
        <v>5.6</v>
      </c>
      <c r="M128" s="1">
        <v>2</v>
      </c>
    </row>
    <row r="129" spans="1:13" x14ac:dyDescent="0.55000000000000004">
      <c r="A129" s="5">
        <v>128</v>
      </c>
      <c r="B129" t="s">
        <v>125</v>
      </c>
      <c r="C129" s="8">
        <v>6.1</v>
      </c>
      <c r="D129" s="8">
        <v>3</v>
      </c>
      <c r="E129" s="8">
        <v>4.9000000000000004</v>
      </c>
      <c r="F129" s="8">
        <v>1.8</v>
      </c>
      <c r="G129" t="str">
        <f t="shared" si="2"/>
        <v>Iris-virginica</v>
      </c>
      <c r="I129" s="4">
        <v>128</v>
      </c>
      <c r="J129" s="1">
        <v>6.7</v>
      </c>
      <c r="K129" s="1">
        <v>3.5</v>
      </c>
      <c r="L129" s="1">
        <v>5.6</v>
      </c>
      <c r="M129" s="1">
        <v>2.1</v>
      </c>
    </row>
    <row r="130" spans="1:13" x14ac:dyDescent="0.55000000000000004">
      <c r="A130" s="5">
        <v>129</v>
      </c>
      <c r="B130" t="s">
        <v>126</v>
      </c>
      <c r="C130" s="8">
        <v>6.4</v>
      </c>
      <c r="D130" s="8">
        <v>2.8</v>
      </c>
      <c r="E130" s="8">
        <v>5.6</v>
      </c>
      <c r="F130" s="8">
        <v>2.1</v>
      </c>
      <c r="G130" t="str">
        <f t="shared" si="2"/>
        <v>Iris-virginica</v>
      </c>
      <c r="I130" s="4">
        <v>129</v>
      </c>
      <c r="J130" s="1">
        <v>6.7</v>
      </c>
      <c r="K130" s="1">
        <v>3.5</v>
      </c>
      <c r="L130" s="1">
        <v>5.6</v>
      </c>
      <c r="M130" s="1">
        <v>2.1</v>
      </c>
    </row>
    <row r="131" spans="1:13" x14ac:dyDescent="0.55000000000000004">
      <c r="A131" s="5">
        <v>130</v>
      </c>
      <c r="B131" t="s">
        <v>127</v>
      </c>
      <c r="C131" s="8">
        <v>7.2</v>
      </c>
      <c r="D131" s="8">
        <v>3</v>
      </c>
      <c r="E131" s="8">
        <v>5.8</v>
      </c>
      <c r="F131" s="8">
        <v>1.6</v>
      </c>
      <c r="G131" t="str">
        <f t="shared" ref="G131:G151" si="3">MID(B131,17,100)</f>
        <v>Iris-virginica</v>
      </c>
      <c r="I131" s="4">
        <v>130</v>
      </c>
      <c r="J131" s="1">
        <v>6.7</v>
      </c>
      <c r="K131" s="1">
        <v>3.5</v>
      </c>
      <c r="L131" s="1">
        <v>5.6</v>
      </c>
      <c r="M131" s="1">
        <v>2.1</v>
      </c>
    </row>
    <row r="132" spans="1:13" x14ac:dyDescent="0.55000000000000004">
      <c r="A132" s="5">
        <v>131</v>
      </c>
      <c r="B132" t="s">
        <v>128</v>
      </c>
      <c r="C132" s="8">
        <v>7.4</v>
      </c>
      <c r="D132" s="8">
        <v>2.8</v>
      </c>
      <c r="E132" s="8">
        <v>6.1</v>
      </c>
      <c r="F132" s="8">
        <v>1.9</v>
      </c>
      <c r="G132" t="str">
        <f t="shared" si="3"/>
        <v>Iris-virginica</v>
      </c>
      <c r="I132" s="4">
        <v>131</v>
      </c>
      <c r="J132" s="1">
        <v>6.8</v>
      </c>
      <c r="K132" s="1">
        <v>3.5</v>
      </c>
      <c r="L132" s="1">
        <v>5.6</v>
      </c>
      <c r="M132" s="1">
        <v>2.1</v>
      </c>
    </row>
    <row r="133" spans="1:13" x14ac:dyDescent="0.55000000000000004">
      <c r="A133" s="5">
        <v>132</v>
      </c>
      <c r="B133" t="s">
        <v>129</v>
      </c>
      <c r="C133" s="8">
        <v>7.9</v>
      </c>
      <c r="D133" s="8">
        <v>3.8</v>
      </c>
      <c r="E133" s="8">
        <v>6.4</v>
      </c>
      <c r="F133" s="8">
        <v>2</v>
      </c>
      <c r="G133" t="str">
        <f t="shared" si="3"/>
        <v>Iris-virginica</v>
      </c>
      <c r="I133" s="4">
        <v>132</v>
      </c>
      <c r="J133" s="1">
        <v>6.8</v>
      </c>
      <c r="K133" s="1">
        <v>3.5</v>
      </c>
      <c r="L133" s="1">
        <v>5.7</v>
      </c>
      <c r="M133" s="1">
        <v>2.1</v>
      </c>
    </row>
    <row r="134" spans="1:13" x14ac:dyDescent="0.55000000000000004">
      <c r="A134" s="5">
        <v>133</v>
      </c>
      <c r="B134" t="s">
        <v>130</v>
      </c>
      <c r="C134" s="8">
        <v>6.4</v>
      </c>
      <c r="D134" s="8">
        <v>2.8</v>
      </c>
      <c r="E134" s="8">
        <v>5.6</v>
      </c>
      <c r="F134" s="8">
        <v>2.2000000000000002</v>
      </c>
      <c r="G134" t="str">
        <f t="shared" si="3"/>
        <v>Iris-virginica</v>
      </c>
      <c r="I134" s="4">
        <v>133</v>
      </c>
      <c r="J134" s="1">
        <v>6.8</v>
      </c>
      <c r="K134" s="1">
        <v>3.6</v>
      </c>
      <c r="L134" s="1">
        <v>5.7</v>
      </c>
      <c r="M134" s="1">
        <v>2.1</v>
      </c>
    </row>
    <row r="135" spans="1:13" x14ac:dyDescent="0.55000000000000004">
      <c r="A135" s="5">
        <v>134</v>
      </c>
      <c r="B135" t="s">
        <v>131</v>
      </c>
      <c r="C135" s="8">
        <v>6.3</v>
      </c>
      <c r="D135" s="8">
        <v>2.8</v>
      </c>
      <c r="E135" s="8">
        <v>5.0999999999999996</v>
      </c>
      <c r="F135" s="8">
        <v>1.5</v>
      </c>
      <c r="G135" t="str">
        <f t="shared" si="3"/>
        <v>Iris-virginica</v>
      </c>
      <c r="I135" s="4">
        <v>134</v>
      </c>
      <c r="J135" s="1">
        <v>6.9</v>
      </c>
      <c r="K135" s="1">
        <v>3.6</v>
      </c>
      <c r="L135" s="1">
        <v>5.7</v>
      </c>
      <c r="M135" s="1">
        <v>2.2000000000000002</v>
      </c>
    </row>
    <row r="136" spans="1:13" x14ac:dyDescent="0.55000000000000004">
      <c r="A136" s="5">
        <v>135</v>
      </c>
      <c r="B136" t="s">
        <v>132</v>
      </c>
      <c r="C136" s="8">
        <v>6.1</v>
      </c>
      <c r="D136" s="8">
        <v>2.6</v>
      </c>
      <c r="E136" s="8">
        <v>5.6</v>
      </c>
      <c r="F136" s="8">
        <v>1.4</v>
      </c>
      <c r="G136" t="str">
        <f t="shared" si="3"/>
        <v>Iris-virginica</v>
      </c>
      <c r="I136" s="4">
        <v>135</v>
      </c>
      <c r="J136" s="1">
        <v>6.9</v>
      </c>
      <c r="K136" s="1">
        <v>3.6</v>
      </c>
      <c r="L136" s="1">
        <v>5.8</v>
      </c>
      <c r="M136" s="1">
        <v>2.2000000000000002</v>
      </c>
    </row>
    <row r="137" spans="1:13" x14ac:dyDescent="0.55000000000000004">
      <c r="A137" s="5">
        <v>136</v>
      </c>
      <c r="B137" t="s">
        <v>133</v>
      </c>
      <c r="C137" s="8">
        <v>7.7</v>
      </c>
      <c r="D137" s="8">
        <v>3</v>
      </c>
      <c r="E137" s="8">
        <v>6.1</v>
      </c>
      <c r="F137" s="8">
        <v>2.2999999999999998</v>
      </c>
      <c r="G137" t="str">
        <f t="shared" si="3"/>
        <v>Iris-virginica</v>
      </c>
      <c r="I137" s="4">
        <v>136</v>
      </c>
      <c r="J137" s="1">
        <v>6.9</v>
      </c>
      <c r="K137" s="1">
        <v>3.7</v>
      </c>
      <c r="L137" s="1">
        <v>5.8</v>
      </c>
      <c r="M137" s="1">
        <v>2.2000000000000002</v>
      </c>
    </row>
    <row r="138" spans="1:13" x14ac:dyDescent="0.55000000000000004">
      <c r="A138" s="5">
        <v>137</v>
      </c>
      <c r="B138" t="s">
        <v>134</v>
      </c>
      <c r="C138" s="8">
        <v>6.3</v>
      </c>
      <c r="D138" s="8">
        <v>3.4</v>
      </c>
      <c r="E138" s="8">
        <v>5.6</v>
      </c>
      <c r="F138" s="8">
        <v>2.4</v>
      </c>
      <c r="G138" t="str">
        <f t="shared" si="3"/>
        <v>Iris-virginica</v>
      </c>
      <c r="I138" s="4">
        <v>137</v>
      </c>
      <c r="J138" s="1">
        <v>6.9</v>
      </c>
      <c r="K138" s="1">
        <v>3.7</v>
      </c>
      <c r="L138" s="1">
        <v>5.8</v>
      </c>
      <c r="M138" s="1">
        <v>2.2999999999999998</v>
      </c>
    </row>
    <row r="139" spans="1:13" x14ac:dyDescent="0.55000000000000004">
      <c r="A139" s="5">
        <v>138</v>
      </c>
      <c r="B139" t="s">
        <v>135</v>
      </c>
      <c r="C139" s="8">
        <v>6.4</v>
      </c>
      <c r="D139" s="8">
        <v>3.1</v>
      </c>
      <c r="E139" s="8">
        <v>5.5</v>
      </c>
      <c r="F139" s="8">
        <v>1.8</v>
      </c>
      <c r="G139" t="str">
        <f t="shared" si="3"/>
        <v>Iris-virginica</v>
      </c>
      <c r="I139" s="4">
        <v>138</v>
      </c>
      <c r="J139" s="1">
        <v>7</v>
      </c>
      <c r="K139" s="1">
        <v>3.7</v>
      </c>
      <c r="L139" s="1">
        <v>5.9</v>
      </c>
      <c r="M139" s="1">
        <v>2.2999999999999998</v>
      </c>
    </row>
    <row r="140" spans="1:13" x14ac:dyDescent="0.55000000000000004">
      <c r="A140" s="5">
        <v>139</v>
      </c>
      <c r="B140" t="s">
        <v>136</v>
      </c>
      <c r="C140" s="8">
        <v>6</v>
      </c>
      <c r="D140" s="8">
        <v>3</v>
      </c>
      <c r="E140" s="8">
        <v>4.8</v>
      </c>
      <c r="F140" s="8">
        <v>1.8</v>
      </c>
      <c r="G140" t="str">
        <f t="shared" si="3"/>
        <v>Iris-virginica</v>
      </c>
      <c r="I140" s="4">
        <v>139</v>
      </c>
      <c r="J140" s="1">
        <v>7.1</v>
      </c>
      <c r="K140" s="1">
        <v>3.8</v>
      </c>
      <c r="L140" s="1">
        <v>5.9</v>
      </c>
      <c r="M140" s="1">
        <v>2.2999999999999998</v>
      </c>
    </row>
    <row r="141" spans="1:13" x14ac:dyDescent="0.55000000000000004">
      <c r="A141" s="5">
        <v>140</v>
      </c>
      <c r="B141" t="s">
        <v>137</v>
      </c>
      <c r="C141" s="8">
        <v>6.9</v>
      </c>
      <c r="D141" s="8">
        <v>3.1</v>
      </c>
      <c r="E141" s="8">
        <v>5.4</v>
      </c>
      <c r="F141" s="8">
        <v>2.1</v>
      </c>
      <c r="G141" t="str">
        <f t="shared" si="3"/>
        <v>Iris-virginica</v>
      </c>
      <c r="I141" s="4">
        <v>140</v>
      </c>
      <c r="J141" s="1">
        <v>7.2</v>
      </c>
      <c r="K141" s="1">
        <v>3.8</v>
      </c>
      <c r="L141" s="1">
        <v>6</v>
      </c>
      <c r="M141" s="1">
        <v>2.2999999999999998</v>
      </c>
    </row>
    <row r="142" spans="1:13" x14ac:dyDescent="0.55000000000000004">
      <c r="A142" s="5">
        <v>141</v>
      </c>
      <c r="B142" t="s">
        <v>138</v>
      </c>
      <c r="C142" s="8">
        <v>6.7</v>
      </c>
      <c r="D142" s="8">
        <v>3.1</v>
      </c>
      <c r="E142" s="8">
        <v>5.6</v>
      </c>
      <c r="F142" s="8">
        <v>2.4</v>
      </c>
      <c r="G142" t="str">
        <f t="shared" si="3"/>
        <v>Iris-virginica</v>
      </c>
      <c r="I142" s="4">
        <v>141</v>
      </c>
      <c r="J142" s="1">
        <v>7.2</v>
      </c>
      <c r="K142" s="1">
        <v>3.8</v>
      </c>
      <c r="L142" s="1">
        <v>6</v>
      </c>
      <c r="M142" s="1">
        <v>2.2999999999999998</v>
      </c>
    </row>
    <row r="143" spans="1:13" x14ac:dyDescent="0.55000000000000004">
      <c r="A143" s="5">
        <v>142</v>
      </c>
      <c r="B143" t="s">
        <v>139</v>
      </c>
      <c r="C143" s="8">
        <v>6.9</v>
      </c>
      <c r="D143" s="8">
        <v>3.1</v>
      </c>
      <c r="E143" s="8">
        <v>5.0999999999999996</v>
      </c>
      <c r="F143" s="8">
        <v>2.2999999999999998</v>
      </c>
      <c r="G143" t="str">
        <f t="shared" si="3"/>
        <v>Iris-virginica</v>
      </c>
      <c r="I143" s="4">
        <v>142</v>
      </c>
      <c r="J143" s="1">
        <v>7.2</v>
      </c>
      <c r="K143" s="1">
        <v>3.8</v>
      </c>
      <c r="L143" s="1">
        <v>6.1</v>
      </c>
      <c r="M143" s="1">
        <v>2.2999999999999998</v>
      </c>
    </row>
    <row r="144" spans="1:13" x14ac:dyDescent="0.55000000000000004">
      <c r="A144" s="5">
        <v>143</v>
      </c>
      <c r="B144" t="s">
        <v>99</v>
      </c>
      <c r="C144" s="8">
        <v>5.8</v>
      </c>
      <c r="D144" s="8">
        <v>2.7</v>
      </c>
      <c r="E144" s="8">
        <v>5.0999999999999996</v>
      </c>
      <c r="F144" s="8">
        <v>1.9</v>
      </c>
      <c r="G144" t="str">
        <f t="shared" si="3"/>
        <v>Iris-virginica</v>
      </c>
      <c r="I144" s="4">
        <v>143</v>
      </c>
      <c r="J144" s="1">
        <v>7.3</v>
      </c>
      <c r="K144" s="1">
        <v>3.8</v>
      </c>
      <c r="L144" s="1">
        <v>6.1</v>
      </c>
      <c r="M144" s="1">
        <v>2.2999999999999998</v>
      </c>
    </row>
    <row r="145" spans="1:13" x14ac:dyDescent="0.55000000000000004">
      <c r="A145" s="5">
        <v>144</v>
      </c>
      <c r="B145" t="s">
        <v>140</v>
      </c>
      <c r="C145" s="8">
        <v>6.8</v>
      </c>
      <c r="D145" s="8">
        <v>3.2</v>
      </c>
      <c r="E145" s="8">
        <v>5.9</v>
      </c>
      <c r="F145" s="8">
        <v>2.2999999999999998</v>
      </c>
      <c r="G145" t="str">
        <f t="shared" si="3"/>
        <v>Iris-virginica</v>
      </c>
      <c r="I145" s="4">
        <v>144</v>
      </c>
      <c r="J145" s="1">
        <v>7.4</v>
      </c>
      <c r="K145" s="1">
        <v>3.8</v>
      </c>
      <c r="L145" s="1">
        <v>6.1</v>
      </c>
      <c r="M145" s="1">
        <v>2.2999999999999998</v>
      </c>
    </row>
    <row r="146" spans="1:13" x14ac:dyDescent="0.55000000000000004">
      <c r="A146" s="5">
        <v>145</v>
      </c>
      <c r="B146" t="s">
        <v>141</v>
      </c>
      <c r="C146" s="8">
        <v>6.7</v>
      </c>
      <c r="D146" s="8">
        <v>3.3</v>
      </c>
      <c r="E146" s="8">
        <v>5.7</v>
      </c>
      <c r="F146" s="8">
        <v>2.5</v>
      </c>
      <c r="G146" t="str">
        <f t="shared" si="3"/>
        <v>Iris-virginica</v>
      </c>
      <c r="I146" s="4">
        <v>145</v>
      </c>
      <c r="J146" s="1">
        <v>7.6</v>
      </c>
      <c r="K146" s="1">
        <v>3.9</v>
      </c>
      <c r="L146" s="1">
        <v>6.3</v>
      </c>
      <c r="M146" s="1">
        <v>2.4</v>
      </c>
    </row>
    <row r="147" spans="1:13" x14ac:dyDescent="0.55000000000000004">
      <c r="A147" s="5">
        <v>146</v>
      </c>
      <c r="B147" t="s">
        <v>142</v>
      </c>
      <c r="C147" s="8">
        <v>6.7</v>
      </c>
      <c r="D147" s="8">
        <v>3</v>
      </c>
      <c r="E147" s="8">
        <v>5.2</v>
      </c>
      <c r="F147" s="8">
        <v>2.2999999999999998</v>
      </c>
      <c r="G147" t="str">
        <f t="shared" si="3"/>
        <v>Iris-virginica</v>
      </c>
      <c r="I147" s="4">
        <v>146</v>
      </c>
      <c r="J147" s="1">
        <v>7.7</v>
      </c>
      <c r="K147" s="1">
        <v>3.9</v>
      </c>
      <c r="L147" s="1">
        <v>6.4</v>
      </c>
      <c r="M147" s="1">
        <v>2.4</v>
      </c>
    </row>
    <row r="148" spans="1:13" x14ac:dyDescent="0.55000000000000004">
      <c r="A148" s="5">
        <v>147</v>
      </c>
      <c r="B148" t="s">
        <v>143</v>
      </c>
      <c r="C148" s="8">
        <v>6.3</v>
      </c>
      <c r="D148" s="8">
        <v>2.5</v>
      </c>
      <c r="E148" s="8">
        <v>5</v>
      </c>
      <c r="F148" s="8">
        <v>1.9</v>
      </c>
      <c r="G148" t="str">
        <f t="shared" si="3"/>
        <v>Iris-virginica</v>
      </c>
      <c r="I148" s="4">
        <v>147</v>
      </c>
      <c r="J148" s="1">
        <v>7.7</v>
      </c>
      <c r="K148" s="1">
        <v>4</v>
      </c>
      <c r="L148" s="1">
        <v>6.6</v>
      </c>
      <c r="M148" s="1">
        <v>2.4</v>
      </c>
    </row>
    <row r="149" spans="1:13" x14ac:dyDescent="0.55000000000000004">
      <c r="A149" s="5">
        <v>148</v>
      </c>
      <c r="B149" t="s">
        <v>144</v>
      </c>
      <c r="C149" s="8">
        <v>6.5</v>
      </c>
      <c r="D149" s="8">
        <v>3</v>
      </c>
      <c r="E149" s="8">
        <v>5.2</v>
      </c>
      <c r="F149" s="8">
        <v>2</v>
      </c>
      <c r="G149" t="str">
        <f t="shared" si="3"/>
        <v>Iris-virginica</v>
      </c>
      <c r="I149" s="4">
        <v>148</v>
      </c>
      <c r="J149" s="1">
        <v>7.7</v>
      </c>
      <c r="K149" s="1">
        <v>4.0999999999999996</v>
      </c>
      <c r="L149" s="1">
        <v>6.7</v>
      </c>
      <c r="M149" s="1">
        <v>2.5</v>
      </c>
    </row>
    <row r="150" spans="1:13" x14ac:dyDescent="0.55000000000000004">
      <c r="A150" s="5">
        <v>149</v>
      </c>
      <c r="B150" t="s">
        <v>145</v>
      </c>
      <c r="C150" s="8">
        <v>6.2</v>
      </c>
      <c r="D150" s="8">
        <v>3.4</v>
      </c>
      <c r="E150" s="8">
        <v>5.4</v>
      </c>
      <c r="F150" s="8">
        <v>2.2999999999999998</v>
      </c>
      <c r="G150" t="str">
        <f t="shared" si="3"/>
        <v>Iris-virginica</v>
      </c>
      <c r="I150" s="4">
        <v>149</v>
      </c>
      <c r="J150" s="1">
        <v>7.7</v>
      </c>
      <c r="K150" s="1">
        <v>4.2</v>
      </c>
      <c r="L150" s="1">
        <v>6.7</v>
      </c>
      <c r="M150" s="1">
        <v>2.5</v>
      </c>
    </row>
    <row r="151" spans="1:13" x14ac:dyDescent="0.55000000000000004">
      <c r="A151" s="5">
        <v>150</v>
      </c>
      <c r="B151" t="s">
        <v>146</v>
      </c>
      <c r="C151" s="8">
        <v>5.9</v>
      </c>
      <c r="D151" s="8">
        <v>3</v>
      </c>
      <c r="E151" s="8">
        <v>5.0999999999999996</v>
      </c>
      <c r="F151" s="8">
        <v>1.8</v>
      </c>
      <c r="G151" t="str">
        <f t="shared" si="3"/>
        <v>Iris-virginica</v>
      </c>
      <c r="I151" s="4">
        <v>150</v>
      </c>
      <c r="J151" s="1">
        <v>7.9</v>
      </c>
      <c r="K151" s="1">
        <v>4.4000000000000004</v>
      </c>
      <c r="L151" s="1">
        <v>6.9</v>
      </c>
      <c r="M151" s="1">
        <v>2.5</v>
      </c>
    </row>
  </sheetData>
  <sortState xmlns:xlrd2="http://schemas.microsoft.com/office/spreadsheetml/2017/richdata2" ref="M2:M151">
    <sortCondition ref="M2"/>
  </sortState>
  <mergeCells count="3">
    <mergeCell ref="J1:M1"/>
    <mergeCell ref="O2:S2"/>
    <mergeCell ref="O8:S8"/>
  </mergeCells>
  <conditionalFormatting sqref="C2:C151">
    <cfRule type="cellIs" dxfId="11" priority="10" operator="between">
      <formula>5.5</formula>
      <formula>6.2</formula>
    </cfRule>
    <cfRule type="cellIs" dxfId="10" priority="11" operator="lessThan">
      <formula>5.5</formula>
    </cfRule>
    <cfRule type="cellIs" dxfId="9" priority="12" operator="greaterThan">
      <formula>6.2</formula>
    </cfRule>
  </conditionalFormatting>
  <conditionalFormatting sqref="D2:D151">
    <cfRule type="cellIs" dxfId="8" priority="7" operator="between">
      <formula>2.9</formula>
      <formula>3.1</formula>
    </cfRule>
    <cfRule type="cellIs" dxfId="7" priority="8" operator="lessThan">
      <formula>2.9</formula>
    </cfRule>
    <cfRule type="cellIs" dxfId="6" priority="9" operator="greaterThan">
      <formula>3.1</formula>
    </cfRule>
  </conditionalFormatting>
  <conditionalFormatting sqref="E2:E151">
    <cfRule type="cellIs" dxfId="5" priority="4" operator="between">
      <formula>3</formula>
      <formula>4.8</formula>
    </cfRule>
    <cfRule type="cellIs" dxfId="4" priority="5" operator="lessThan">
      <formula>3</formula>
    </cfRule>
    <cfRule type="cellIs" dxfId="3" priority="6" operator="greaterThan">
      <formula>4.8</formula>
    </cfRule>
  </conditionalFormatting>
  <conditionalFormatting sqref="F2:F151">
    <cfRule type="cellIs" dxfId="2" priority="1" operator="between">
      <formula>1</formula>
      <formula>1.6</formula>
    </cfRule>
    <cfRule type="cellIs" dxfId="1" priority="2" operator="greaterThan">
      <formula>1.5</formula>
    </cfRule>
    <cfRule type="cellIs" dxfId="0" priority="3" operator="lessThan">
      <formula>1</formula>
    </cfRule>
  </conditionalFormatting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Kanha</dc:creator>
  <cp:lastModifiedBy>Kabir Kanha</cp:lastModifiedBy>
  <dcterms:created xsi:type="dcterms:W3CDTF">2020-02-23T14:00:24Z</dcterms:created>
  <dcterms:modified xsi:type="dcterms:W3CDTF">2020-02-23T15:05:04Z</dcterms:modified>
</cp:coreProperties>
</file>