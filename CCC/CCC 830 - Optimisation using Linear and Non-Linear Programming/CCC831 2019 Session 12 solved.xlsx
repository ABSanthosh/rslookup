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7650"/>
  </bookViews>
  <sheets>
    <sheet name="Q1" sheetId="1" r:id="rId1"/>
  </sheets>
  <definedNames>
    <definedName name="solver_adj" localSheetId="0" hidden="1">'Q1'!$E$6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'Q1'!$E$6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'Q1'!$C$89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hs1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52511"/>
</workbook>
</file>

<file path=xl/calcChain.xml><?xml version="1.0" encoding="utf-8"?>
<calcChain xmlns="http://schemas.openxmlformats.org/spreadsheetml/2006/main">
  <c r="C89" i="1" l="1"/>
  <c r="C7" i="1" l="1"/>
  <c r="B8" i="1"/>
  <c r="C8" i="1" s="1"/>
  <c r="B9" i="1" l="1"/>
  <c r="B10" i="1" l="1"/>
  <c r="C9" i="1"/>
  <c r="B11" i="1" l="1"/>
  <c r="C10" i="1"/>
  <c r="C11" i="1" l="1"/>
  <c r="B12" i="1"/>
  <c r="B13" i="1" l="1"/>
  <c r="C12" i="1"/>
  <c r="B14" i="1" l="1"/>
  <c r="C13" i="1"/>
  <c r="B15" i="1" l="1"/>
  <c r="C14" i="1"/>
  <c r="B16" i="1" l="1"/>
  <c r="C15" i="1"/>
  <c r="B17" i="1" l="1"/>
  <c r="C16" i="1"/>
  <c r="B18" i="1" l="1"/>
  <c r="C17" i="1"/>
  <c r="B19" i="1" l="1"/>
  <c r="C18" i="1"/>
  <c r="B20" i="1" l="1"/>
  <c r="C19" i="1"/>
  <c r="B21" i="1" l="1"/>
  <c r="C20" i="1"/>
  <c r="B22" i="1" l="1"/>
  <c r="C21" i="1"/>
  <c r="B23" i="1" l="1"/>
  <c r="C22" i="1"/>
  <c r="B24" i="1" l="1"/>
  <c r="C23" i="1"/>
  <c r="B25" i="1" l="1"/>
  <c r="C24" i="1"/>
  <c r="B26" i="1" l="1"/>
  <c r="C25" i="1"/>
  <c r="B27" i="1" l="1"/>
  <c r="C26" i="1"/>
  <c r="B28" i="1" l="1"/>
  <c r="C27" i="1"/>
  <c r="B29" i="1" l="1"/>
  <c r="C28" i="1"/>
  <c r="B30" i="1" l="1"/>
  <c r="C29" i="1"/>
  <c r="B31" i="1" l="1"/>
  <c r="C30" i="1"/>
  <c r="B32" i="1" l="1"/>
  <c r="C31" i="1"/>
  <c r="B33" i="1" l="1"/>
  <c r="C32" i="1"/>
  <c r="B34" i="1" l="1"/>
  <c r="C33" i="1"/>
  <c r="B35" i="1" l="1"/>
  <c r="C34" i="1"/>
  <c r="B36" i="1" l="1"/>
  <c r="C35" i="1"/>
  <c r="B37" i="1" l="1"/>
  <c r="C36" i="1"/>
  <c r="B38" i="1" l="1"/>
  <c r="C37" i="1"/>
  <c r="B39" i="1" l="1"/>
  <c r="C38" i="1"/>
  <c r="B40" i="1" l="1"/>
  <c r="C39" i="1"/>
  <c r="B41" i="1" l="1"/>
  <c r="C40" i="1"/>
  <c r="B42" i="1" l="1"/>
  <c r="C41" i="1"/>
  <c r="B43" i="1" l="1"/>
  <c r="C42" i="1"/>
  <c r="B44" i="1" l="1"/>
  <c r="C43" i="1"/>
  <c r="B45" i="1" l="1"/>
  <c r="C44" i="1"/>
  <c r="B46" i="1" l="1"/>
  <c r="C45" i="1"/>
  <c r="B47" i="1" l="1"/>
  <c r="C46" i="1"/>
  <c r="B48" i="1" l="1"/>
  <c r="C47" i="1"/>
  <c r="B49" i="1" l="1"/>
  <c r="C48" i="1"/>
  <c r="B50" i="1" l="1"/>
  <c r="C49" i="1"/>
  <c r="B51" i="1" l="1"/>
  <c r="C50" i="1"/>
  <c r="B52" i="1" l="1"/>
  <c r="C51" i="1"/>
  <c r="B53" i="1" l="1"/>
  <c r="C52" i="1"/>
  <c r="B54" i="1" l="1"/>
  <c r="C53" i="1"/>
  <c r="B55" i="1" l="1"/>
  <c r="C54" i="1"/>
  <c r="B56" i="1" l="1"/>
  <c r="C55" i="1"/>
  <c r="B57" i="1" l="1"/>
  <c r="C56" i="1"/>
  <c r="B58" i="1" l="1"/>
  <c r="C57" i="1"/>
  <c r="B59" i="1" l="1"/>
  <c r="C58" i="1"/>
  <c r="B60" i="1" l="1"/>
  <c r="C59" i="1"/>
  <c r="B61" i="1" l="1"/>
  <c r="C60" i="1"/>
  <c r="B62" i="1" l="1"/>
  <c r="C61" i="1"/>
  <c r="B63" i="1" l="1"/>
  <c r="C62" i="1"/>
  <c r="B64" i="1" l="1"/>
  <c r="C63" i="1"/>
  <c r="B65" i="1" l="1"/>
  <c r="C64" i="1"/>
  <c r="B66" i="1" l="1"/>
  <c r="C65" i="1"/>
  <c r="B67" i="1" l="1"/>
  <c r="C66" i="1"/>
  <c r="B68" i="1" l="1"/>
  <c r="C67" i="1"/>
  <c r="B69" i="1" l="1"/>
  <c r="C68" i="1"/>
  <c r="B70" i="1" l="1"/>
  <c r="C69" i="1"/>
  <c r="B71" i="1" l="1"/>
  <c r="C70" i="1"/>
  <c r="B72" i="1" l="1"/>
  <c r="C71" i="1"/>
  <c r="B73" i="1" l="1"/>
  <c r="C72" i="1"/>
  <c r="B74" i="1" l="1"/>
  <c r="C73" i="1"/>
  <c r="B75" i="1" l="1"/>
  <c r="C74" i="1"/>
  <c r="B76" i="1" l="1"/>
  <c r="C75" i="1"/>
  <c r="B77" i="1" l="1"/>
  <c r="C76" i="1"/>
  <c r="B78" i="1" l="1"/>
  <c r="C77" i="1"/>
  <c r="B79" i="1" l="1"/>
  <c r="C78" i="1"/>
  <c r="B80" i="1" l="1"/>
  <c r="C79" i="1"/>
  <c r="B81" i="1" l="1"/>
  <c r="C80" i="1"/>
  <c r="B82" i="1" l="1"/>
  <c r="C81" i="1"/>
  <c r="B83" i="1" l="1"/>
  <c r="C82" i="1"/>
  <c r="B84" i="1" l="1"/>
  <c r="C83" i="1"/>
  <c r="B85" i="1" l="1"/>
  <c r="C84" i="1"/>
  <c r="B86" i="1" l="1"/>
  <c r="C85" i="1"/>
  <c r="B87" i="1" l="1"/>
  <c r="C86" i="1"/>
  <c r="B88" i="1" l="1"/>
  <c r="C88" i="1" s="1"/>
  <c r="C87" i="1"/>
</calcChain>
</file>

<file path=xl/sharedStrings.xml><?xml version="1.0" encoding="utf-8"?>
<sst xmlns="http://schemas.openxmlformats.org/spreadsheetml/2006/main" count="9" uniqueCount="9">
  <si>
    <t>Finding weights using NLP</t>
  </si>
  <si>
    <t>y(t)</t>
  </si>
  <si>
    <t xml:space="preserve">In the following data, the prediction for the next time period yhat(t+1) = w*(y(t))+(1-w)(yhat(t)). </t>
  </si>
  <si>
    <t>Find the best possible w using the data for several time periods given below. 0&lt;=w&lt;=1.</t>
  </si>
  <si>
    <t>yhat(t)</t>
  </si>
  <si>
    <t>w=</t>
  </si>
  <si>
    <t>((y(t)-yhat(t))^2</t>
  </si>
  <si>
    <t>Objective: Min SSE=</t>
  </si>
  <si>
    <t>Note that a good fit will minimize the sum square of error SUM(((y(t)-yhat(t))^2). Assume yhat(1)=70.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</si>
</sst>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9"/>
  <sheetViews>
    <sheetView tabSelected="1" zoomScale="172" zoomScaleNormal="172" workbookViewId="0">
      <selection activeCell="C1" sqref="C1"/>
    </sheetView>
  </sheetViews>
  <sheetFormatPr defaultRowHeight="15" x14ac:dyDescent="0.25"/>
  <cols>
    <col min="3" max="3" width="14.7109375" customWidth="1"/>
  </cols>
  <sheetData>
    <row r="1" spans="1:5" x14ac:dyDescent="0.25">
      <c r="A1" t="s">
        <v>0</v>
      </c>
    </row>
    <row r="2" spans="1:5" x14ac:dyDescent="0.25">
      <c r="A2" t="s">
        <v>2</v>
      </c>
    </row>
    <row r="3" spans="1:5" x14ac:dyDescent="0.25">
      <c r="A3" t="s">
        <v>3</v>
      </c>
    </row>
    <row r="4" spans="1:5" x14ac:dyDescent="0.25">
      <c r="A4" t="s">
        <v>8</v>
      </c>
    </row>
    <row r="6" spans="1:5" x14ac:dyDescent="0.25">
      <c r="A6" t="s">
        <v>1</v>
      </c>
      <c r="B6" t="s">
        <v>4</v>
      </c>
      <c r="C6" t="s">
        <v>6</v>
      </c>
      <c r="D6" t="s">
        <v>5</v>
      </c>
      <c r="E6">
        <v>0.95592869990072793</v>
      </c>
    </row>
    <row r="7" spans="1:5" x14ac:dyDescent="0.25">
      <c r="A7">
        <v>75</v>
      </c>
      <c r="B7">
        <v>70</v>
      </c>
      <c r="C7">
        <f>(A7-B7)^2</f>
        <v>25</v>
      </c>
    </row>
    <row r="8" spans="1:5" x14ac:dyDescent="0.25">
      <c r="A8">
        <v>79.5</v>
      </c>
      <c r="B8">
        <f>$E$6*A7+(1-$E$6)*B7</f>
        <v>74.779643499503635</v>
      </c>
      <c r="C8">
        <f t="shared" ref="C8:C71" si="0">(A8-B8)^2</f>
        <v>22.281765491778291</v>
      </c>
    </row>
    <row r="9" spans="1:5" x14ac:dyDescent="0.25">
      <c r="A9">
        <v>82.7</v>
      </c>
      <c r="B9">
        <f t="shared" ref="B9:B72" si="1">$E$6*A8+(1-$E$6)*B8</f>
        <v>79.291967752091082</v>
      </c>
      <c r="C9">
        <f t="shared" si="0"/>
        <v>11.614683802787129</v>
      </c>
    </row>
    <row r="10" spans="1:5" x14ac:dyDescent="0.25">
      <c r="A10">
        <v>86</v>
      </c>
      <c r="B10">
        <f t="shared" si="1"/>
        <v>82.549803588054417</v>
      </c>
      <c r="C10">
        <f t="shared" si="0"/>
        <v>11.903855281002178</v>
      </c>
    </row>
    <row r="11" spans="1:5" x14ac:dyDescent="0.25">
      <c r="A11">
        <v>88.6</v>
      </c>
      <c r="B11">
        <f t="shared" si="1"/>
        <v>85.84794535852771</v>
      </c>
      <c r="C11">
        <f t="shared" si="0"/>
        <v>7.5738047496491436</v>
      </c>
    </row>
    <row r="12" spans="1:5" x14ac:dyDescent="0.25">
      <c r="A12">
        <v>88.6</v>
      </c>
      <c r="B12">
        <f t="shared" si="1"/>
        <v>88.478713374006077</v>
      </c>
      <c r="C12">
        <f t="shared" si="0"/>
        <v>1.4710445644988447E-2</v>
      </c>
    </row>
    <row r="13" spans="1:5" x14ac:dyDescent="0.25">
      <c r="A13">
        <v>91.3</v>
      </c>
      <c r="B13">
        <f t="shared" si="1"/>
        <v>88.594654740707796</v>
      </c>
      <c r="C13">
        <f t="shared" si="0"/>
        <v>7.3188929719747886</v>
      </c>
    </row>
    <row r="14" spans="1:5" x14ac:dyDescent="0.25">
      <c r="A14">
        <v>88.6</v>
      </c>
      <c r="B14">
        <f t="shared" si="1"/>
        <v>91.18077191720559</v>
      </c>
      <c r="C14">
        <f t="shared" si="0"/>
        <v>6.6603836886370447</v>
      </c>
    </row>
    <row r="15" spans="1:5" x14ac:dyDescent="0.25">
      <c r="A15">
        <v>93</v>
      </c>
      <c r="B15">
        <f t="shared" si="1"/>
        <v>88.713737973650936</v>
      </c>
      <c r="C15">
        <f t="shared" si="0"/>
        <v>18.372042158521985</v>
      </c>
    </row>
    <row r="16" spans="1:5" x14ac:dyDescent="0.25">
      <c r="A16">
        <v>98.6</v>
      </c>
      <c r="B16">
        <f t="shared" si="1"/>
        <v>92.811098859932656</v>
      </c>
      <c r="C16">
        <f t="shared" si="0"/>
        <v>33.511376409472931</v>
      </c>
    </row>
    <row r="17" spans="1:3" x14ac:dyDescent="0.25">
      <c r="A17">
        <v>99.6</v>
      </c>
      <c r="B17">
        <f t="shared" si="1"/>
        <v>98.344875600611061</v>
      </c>
      <c r="C17">
        <f t="shared" si="0"/>
        <v>1.5753372579414298</v>
      </c>
    </row>
    <row r="18" spans="1:3" x14ac:dyDescent="0.25">
      <c r="A18">
        <v>94.6</v>
      </c>
      <c r="B18">
        <f t="shared" si="1"/>
        <v>99.544685035932616</v>
      </c>
      <c r="C18">
        <f t="shared" si="0"/>
        <v>24.449910104575995</v>
      </c>
    </row>
    <row r="19" spans="1:3" x14ac:dyDescent="0.25">
      <c r="A19">
        <v>94.6</v>
      </c>
      <c r="B19">
        <f t="shared" si="1"/>
        <v>94.817918698114951</v>
      </c>
      <c r="C19">
        <f t="shared" si="0"/>
        <v>4.7488558988117768E-2</v>
      </c>
    </row>
    <row r="20" spans="1:3" x14ac:dyDescent="0.25">
      <c r="A20">
        <v>95.5</v>
      </c>
      <c r="B20">
        <f t="shared" si="1"/>
        <v>94.609603960341857</v>
      </c>
      <c r="C20">
        <f t="shared" si="0"/>
        <v>0.79280510743890453</v>
      </c>
    </row>
    <row r="21" spans="1:3" x14ac:dyDescent="0.25">
      <c r="A21">
        <v>90.7</v>
      </c>
      <c r="B21">
        <f t="shared" si="1"/>
        <v>95.460759088929024</v>
      </c>
      <c r="C21">
        <f t="shared" si="0"/>
        <v>22.664827102820279</v>
      </c>
    </row>
    <row r="22" spans="1:3" x14ac:dyDescent="0.25">
      <c r="A22">
        <v>96.1</v>
      </c>
      <c r="B22">
        <f t="shared" si="1"/>
        <v>90.909812842508529</v>
      </c>
      <c r="C22">
        <f t="shared" si="0"/>
        <v>26.938042729789334</v>
      </c>
    </row>
    <row r="23" spans="1:3" x14ac:dyDescent="0.25">
      <c r="A23">
        <v>101.9</v>
      </c>
      <c r="B23">
        <f t="shared" si="1"/>
        <v>95.871261704210795</v>
      </c>
      <c r="C23">
        <f t="shared" si="0"/>
        <v>36.345685439115393</v>
      </c>
    </row>
    <row r="24" spans="1:3" x14ac:dyDescent="0.25">
      <c r="A24">
        <v>101.9</v>
      </c>
      <c r="B24">
        <f t="shared" si="1"/>
        <v>101.6343056653463</v>
      </c>
      <c r="C24">
        <f t="shared" si="0"/>
        <v>7.0593479467073367E-2</v>
      </c>
    </row>
    <row r="25" spans="1:3" x14ac:dyDescent="0.25">
      <c r="A25">
        <v>103.9</v>
      </c>
      <c r="B25">
        <f t="shared" si="1"/>
        <v>101.88829050524281</v>
      </c>
      <c r="C25">
        <f t="shared" si="0"/>
        <v>4.0469750912962628</v>
      </c>
    </row>
    <row r="26" spans="1:3" x14ac:dyDescent="0.25">
      <c r="A26">
        <v>106</v>
      </c>
      <c r="B26">
        <f t="shared" si="1"/>
        <v>103.81134134714401</v>
      </c>
      <c r="C26">
        <f t="shared" si="0"/>
        <v>4.7902266987214048</v>
      </c>
    </row>
    <row r="27" spans="1:3" x14ac:dyDescent="0.25">
      <c r="A27">
        <v>103.9</v>
      </c>
      <c r="B27">
        <f t="shared" si="1"/>
        <v>105.90354296769512</v>
      </c>
      <c r="C27">
        <f t="shared" si="0"/>
        <v>4.0141844234005326</v>
      </c>
    </row>
    <row r="28" spans="1:3" x14ac:dyDescent="0.25">
      <c r="A28">
        <v>102.9</v>
      </c>
      <c r="B28">
        <f t="shared" si="1"/>
        <v>103.98829874339108</v>
      </c>
      <c r="C28">
        <f t="shared" si="0"/>
        <v>1.1843941548666004</v>
      </c>
    </row>
    <row r="29" spans="1:3" x14ac:dyDescent="0.25">
      <c r="A29">
        <v>109.1</v>
      </c>
      <c r="B29">
        <f t="shared" si="1"/>
        <v>102.94796274051765</v>
      </c>
      <c r="C29">
        <f t="shared" si="0"/>
        <v>37.847562442058994</v>
      </c>
    </row>
    <row r="30" spans="1:3" x14ac:dyDescent="0.25">
      <c r="A30">
        <v>109.1</v>
      </c>
      <c r="B30">
        <f t="shared" si="1"/>
        <v>108.82887171971545</v>
      </c>
      <c r="C30">
        <f t="shared" si="0"/>
        <v>7.3510544370053804E-2</v>
      </c>
    </row>
    <row r="31" spans="1:3" x14ac:dyDescent="0.25">
      <c r="A31">
        <v>115.6</v>
      </c>
      <c r="B31">
        <f t="shared" si="1"/>
        <v>109.08805102419419</v>
      </c>
      <c r="C31">
        <f t="shared" si="0"/>
        <v>42.40547946349831</v>
      </c>
    </row>
    <row r="32" spans="1:3" x14ac:dyDescent="0.25">
      <c r="A32">
        <v>120.2</v>
      </c>
      <c r="B32">
        <f t="shared" si="1"/>
        <v>115.31300994245611</v>
      </c>
      <c r="C32">
        <f t="shared" si="0"/>
        <v>23.882671822532906</v>
      </c>
    </row>
    <row r="33" spans="1:3" x14ac:dyDescent="0.25">
      <c r="A33">
        <v>123.8</v>
      </c>
      <c r="B33">
        <f t="shared" si="1"/>
        <v>119.98462399459183</v>
      </c>
      <c r="C33">
        <f t="shared" si="0"/>
        <v>14.557094062644394</v>
      </c>
    </row>
    <row r="34" spans="1:3" x14ac:dyDescent="0.25">
      <c r="A34">
        <v>130</v>
      </c>
      <c r="B34">
        <f t="shared" si="1"/>
        <v>123.63185141907408</v>
      </c>
      <c r="C34">
        <f t="shared" si="0"/>
        <v>40.553316348748794</v>
      </c>
    </row>
    <row r="35" spans="1:3" x14ac:dyDescent="0.25">
      <c r="A35">
        <v>127.4</v>
      </c>
      <c r="B35">
        <f t="shared" si="1"/>
        <v>129.71934741281328</v>
      </c>
      <c r="C35">
        <f t="shared" si="0"/>
        <v>5.3793724213236187</v>
      </c>
    </row>
    <row r="36" spans="1:3" x14ac:dyDescent="0.25">
      <c r="A36">
        <v>129.9</v>
      </c>
      <c r="B36">
        <f t="shared" si="1"/>
        <v>127.50221665586457</v>
      </c>
      <c r="C36">
        <f t="shared" si="0"/>
        <v>5.749364965413303</v>
      </c>
    </row>
    <row r="37" spans="1:3" x14ac:dyDescent="0.25">
      <c r="A37">
        <v>124.7</v>
      </c>
      <c r="B37">
        <f t="shared" si="1"/>
        <v>129.79432657066758</v>
      </c>
      <c r="C37">
        <f t="shared" si="0"/>
        <v>25.952163208609665</v>
      </c>
    </row>
    <row r="38" spans="1:3" x14ac:dyDescent="0.25">
      <c r="A38">
        <v>125.9</v>
      </c>
      <c r="B38">
        <f t="shared" si="1"/>
        <v>124.92451359509958</v>
      </c>
      <c r="C38">
        <f t="shared" si="0"/>
        <v>0.95157372614555125</v>
      </c>
    </row>
    <row r="39" spans="1:3" x14ac:dyDescent="0.25">
      <c r="A39">
        <v>119.6</v>
      </c>
      <c r="B39">
        <f t="shared" si="1"/>
        <v>125.85700904590688</v>
      </c>
      <c r="C39">
        <f t="shared" si="0"/>
        <v>39.150162200560573</v>
      </c>
    </row>
    <row r="40" spans="1:3" x14ac:dyDescent="0.25">
      <c r="A40">
        <v>116</v>
      </c>
      <c r="B40">
        <f t="shared" si="1"/>
        <v>119.87575452338602</v>
      </c>
      <c r="C40">
        <f t="shared" si="0"/>
        <v>15.021473125547205</v>
      </c>
    </row>
    <row r="41" spans="1:3" x14ac:dyDescent="0.25">
      <c r="A41">
        <v>120.6</v>
      </c>
      <c r="B41">
        <f t="shared" si="1"/>
        <v>116.17080954071126</v>
      </c>
      <c r="C41">
        <f t="shared" si="0"/>
        <v>19.617728124654342</v>
      </c>
    </row>
    <row r="42" spans="1:3" x14ac:dyDescent="0.25">
      <c r="A42">
        <v>119.4</v>
      </c>
      <c r="B42">
        <f t="shared" si="1"/>
        <v>120.40479981807185</v>
      </c>
      <c r="C42">
        <f t="shared" si="0"/>
        <v>1.0096226743972132</v>
      </c>
    </row>
    <row r="43" spans="1:3" x14ac:dyDescent="0.25">
      <c r="A43">
        <v>117</v>
      </c>
      <c r="B43">
        <f t="shared" si="1"/>
        <v>119.44428283432194</v>
      </c>
      <c r="C43">
        <f t="shared" si="0"/>
        <v>5.974518574160891</v>
      </c>
    </row>
    <row r="44" spans="1:3" x14ac:dyDescent="0.25">
      <c r="A44">
        <v>112.3</v>
      </c>
      <c r="B44">
        <f t="shared" si="1"/>
        <v>117.1077227223189</v>
      </c>
      <c r="C44">
        <f t="shared" si="0"/>
        <v>23.114197774701452</v>
      </c>
    </row>
    <row r="45" spans="1:3" x14ac:dyDescent="0.25">
      <c r="A45">
        <v>113.4</v>
      </c>
      <c r="B45">
        <f t="shared" si="1"/>
        <v>112.5118825908894</v>
      </c>
      <c r="C45">
        <f t="shared" si="0"/>
        <v>0.78875253236533571</v>
      </c>
    </row>
    <row r="46" spans="1:3" x14ac:dyDescent="0.25">
      <c r="A46">
        <v>108.9</v>
      </c>
      <c r="B46">
        <f t="shared" si="1"/>
        <v>113.36085951113971</v>
      </c>
      <c r="C46">
        <f t="shared" si="0"/>
        <v>19.899267578125542</v>
      </c>
    </row>
    <row r="47" spans="1:3" x14ac:dyDescent="0.25">
      <c r="A47">
        <v>106.7</v>
      </c>
      <c r="B47">
        <f t="shared" si="1"/>
        <v>109.09659587821614</v>
      </c>
      <c r="C47">
        <f t="shared" si="0"/>
        <v>5.7436718034825542</v>
      </c>
    </row>
    <row r="48" spans="1:3" x14ac:dyDescent="0.25">
      <c r="A48">
        <v>101.4</v>
      </c>
      <c r="B48">
        <f t="shared" si="1"/>
        <v>106.80562109616554</v>
      </c>
      <c r="C48">
        <f t="shared" si="0"/>
        <v>29.220739435309852</v>
      </c>
    </row>
    <row r="49" spans="1:3" x14ac:dyDescent="0.25">
      <c r="A49">
        <v>96.3</v>
      </c>
      <c r="B49">
        <f t="shared" si="1"/>
        <v>101.63823274955207</v>
      </c>
      <c r="C49">
        <f t="shared" si="0"/>
        <v>28.496728888390326</v>
      </c>
    </row>
    <row r="50" spans="1:3" x14ac:dyDescent="0.25">
      <c r="A50">
        <v>95.3</v>
      </c>
      <c r="B50">
        <f t="shared" si="1"/>
        <v>96.535262857505273</v>
      </c>
      <c r="C50">
        <f t="shared" si="0"/>
        <v>1.5258743271321002</v>
      </c>
    </row>
    <row r="51" spans="1:3" x14ac:dyDescent="0.25">
      <c r="A51">
        <v>91.5</v>
      </c>
      <c r="B51">
        <f t="shared" si="1"/>
        <v>95.354439640094597</v>
      </c>
      <c r="C51">
        <f t="shared" si="0"/>
        <v>14.856704939132566</v>
      </c>
    </row>
    <row r="52" spans="1:3" x14ac:dyDescent="0.25">
      <c r="A52">
        <v>96.1</v>
      </c>
      <c r="B52">
        <f t="shared" si="1"/>
        <v>91.669870166093148</v>
      </c>
      <c r="C52">
        <f t="shared" si="0"/>
        <v>19.626050345271505</v>
      </c>
    </row>
    <row r="53" spans="1:3" x14ac:dyDescent="0.25">
      <c r="A53">
        <v>99</v>
      </c>
      <c r="B53">
        <f t="shared" si="1"/>
        <v>95.904758418611138</v>
      </c>
      <c r="C53">
        <f t="shared" si="0"/>
        <v>9.5805204471586229</v>
      </c>
    </row>
    <row r="54" spans="1:3" x14ac:dyDescent="0.25">
      <c r="A54">
        <v>101</v>
      </c>
      <c r="B54">
        <f t="shared" si="1"/>
        <v>98.863588679386865</v>
      </c>
      <c r="C54">
        <f t="shared" si="0"/>
        <v>4.5642533308439592</v>
      </c>
    </row>
    <row r="55" spans="1:3" x14ac:dyDescent="0.25">
      <c r="A55">
        <v>102</v>
      </c>
      <c r="B55">
        <f t="shared" si="1"/>
        <v>100.90584557555378</v>
      </c>
      <c r="C55">
        <f t="shared" si="0"/>
        <v>1.1971739045352312</v>
      </c>
    </row>
    <row r="56" spans="1:3" x14ac:dyDescent="0.25">
      <c r="A56">
        <v>108.1</v>
      </c>
      <c r="B56">
        <f t="shared" si="1"/>
        <v>101.95177919200529</v>
      </c>
      <c r="C56">
        <f t="shared" si="0"/>
        <v>37.800619103859056</v>
      </c>
    </row>
    <row r="57" spans="1:3" x14ac:dyDescent="0.25">
      <c r="A57">
        <v>104.9</v>
      </c>
      <c r="B57">
        <f t="shared" si="1"/>
        <v>107.82903991569427</v>
      </c>
      <c r="C57">
        <f t="shared" si="0"/>
        <v>8.5792748277302451</v>
      </c>
    </row>
    <row r="58" spans="1:3" x14ac:dyDescent="0.25">
      <c r="A58">
        <v>103.9</v>
      </c>
      <c r="B58">
        <f t="shared" si="1"/>
        <v>105.02908659712732</v>
      </c>
      <c r="C58">
        <f t="shared" si="0"/>
        <v>1.2748365438125331</v>
      </c>
    </row>
    <row r="59" spans="1:3" x14ac:dyDescent="0.25">
      <c r="A59">
        <v>98.7</v>
      </c>
      <c r="B59">
        <f t="shared" si="1"/>
        <v>103.94976031426008</v>
      </c>
      <c r="C59">
        <f t="shared" si="0"/>
        <v>27.559983357180013</v>
      </c>
    </row>
    <row r="60" spans="1:3" x14ac:dyDescent="0.25">
      <c r="A60">
        <v>101.7</v>
      </c>
      <c r="B60">
        <f t="shared" si="1"/>
        <v>98.931363762259011</v>
      </c>
      <c r="C60">
        <f t="shared" si="0"/>
        <v>7.6653466169325952</v>
      </c>
    </row>
    <row r="61" spans="1:3" x14ac:dyDescent="0.25">
      <c r="A61">
        <v>102.7</v>
      </c>
      <c r="B61">
        <f t="shared" si="1"/>
        <v>101.57798260150081</v>
      </c>
      <c r="C61">
        <f t="shared" si="0"/>
        <v>1.2589230425349034</v>
      </c>
    </row>
    <row r="62" spans="1:3" x14ac:dyDescent="0.25">
      <c r="A62">
        <v>99.6</v>
      </c>
      <c r="B62">
        <f t="shared" si="1"/>
        <v>102.65055123451414</v>
      </c>
      <c r="C62">
        <f t="shared" si="0"/>
        <v>9.3058628343957768</v>
      </c>
    </row>
    <row r="63" spans="1:3" x14ac:dyDescent="0.25">
      <c r="A63">
        <v>102.6</v>
      </c>
      <c r="B63">
        <f t="shared" si="1"/>
        <v>99.734441758924476</v>
      </c>
      <c r="C63">
        <f t="shared" si="0"/>
        <v>8.2114240329958204</v>
      </c>
    </row>
    <row r="64" spans="1:3" x14ac:dyDescent="0.25">
      <c r="A64">
        <v>99.5</v>
      </c>
      <c r="B64">
        <f t="shared" si="1"/>
        <v>102.47371112280561</v>
      </c>
      <c r="C64">
        <f t="shared" si="0"/>
        <v>8.8429578418978068</v>
      </c>
    </row>
    <row r="65" spans="1:3" x14ac:dyDescent="0.25">
      <c r="A65">
        <v>105.5</v>
      </c>
      <c r="B65">
        <f t="shared" si="1"/>
        <v>99.631055315301708</v>
      </c>
      <c r="C65">
        <f t="shared" si="0"/>
        <v>34.444511712048332</v>
      </c>
    </row>
    <row r="66" spans="1:3" x14ac:dyDescent="0.25">
      <c r="A66">
        <v>104.4</v>
      </c>
      <c r="B66">
        <f t="shared" si="1"/>
        <v>105.24134797753464</v>
      </c>
      <c r="C66">
        <f t="shared" si="0"/>
        <v>0.70786641930162719</v>
      </c>
    </row>
    <row r="67" spans="1:3" x14ac:dyDescent="0.25">
      <c r="A67">
        <v>110.7</v>
      </c>
      <c r="B67">
        <f t="shared" si="1"/>
        <v>104.43707929920586</v>
      </c>
      <c r="C67">
        <f t="shared" si="0"/>
        <v>39.224175704435766</v>
      </c>
    </row>
    <row r="68" spans="1:3" x14ac:dyDescent="0.25">
      <c r="A68">
        <v>114</v>
      </c>
      <c r="B68">
        <f t="shared" si="1"/>
        <v>110.42398494229735</v>
      </c>
      <c r="C68">
        <f t="shared" si="0"/>
        <v>12.787883692916072</v>
      </c>
    </row>
    <row r="69" spans="1:3" x14ac:dyDescent="0.25">
      <c r="A69">
        <v>120.8</v>
      </c>
      <c r="B69">
        <f t="shared" si="1"/>
        <v>113.84240036723247</v>
      </c>
      <c r="C69">
        <f t="shared" si="0"/>
        <v>48.408192649886807</v>
      </c>
    </row>
    <row r="70" spans="1:3" x14ac:dyDescent="0.25">
      <c r="A70">
        <v>118.4</v>
      </c>
      <c r="B70">
        <f t="shared" si="1"/>
        <v>120.49336953861372</v>
      </c>
      <c r="C70">
        <f t="shared" si="0"/>
        <v>4.3821960251957961</v>
      </c>
    </row>
    <row r="71" spans="1:3" x14ac:dyDescent="0.25">
      <c r="A71">
        <v>112.5</v>
      </c>
      <c r="B71">
        <f t="shared" si="1"/>
        <v>118.49225751715493</v>
      </c>
      <c r="C71">
        <f t="shared" si="0"/>
        <v>35.907150151899714</v>
      </c>
    </row>
    <row r="72" spans="1:3" x14ac:dyDescent="0.25">
      <c r="A72">
        <v>119.3</v>
      </c>
      <c r="B72">
        <f t="shared" si="1"/>
        <v>112.76408657931064</v>
      </c>
      <c r="C72">
        <f t="shared" ref="C72:C88" si="2">(A72-B72)^2</f>
        <v>42.718164242747214</v>
      </c>
    </row>
    <row r="73" spans="1:3" x14ac:dyDescent="0.25">
      <c r="A73">
        <v>121.7</v>
      </c>
      <c r="B73">
        <f t="shared" ref="B73:B88" si="3">$E$6*A72+(1-$E$6)*B72</f>
        <v>119.01195379821394</v>
      </c>
      <c r="C73">
        <f t="shared" si="2"/>
        <v>7.2255923829364912</v>
      </c>
    </row>
    <row r="74" spans="1:3" x14ac:dyDescent="0.25">
      <c r="A74">
        <v>119.3</v>
      </c>
      <c r="B74">
        <f t="shared" si="3"/>
        <v>121.58153430916038</v>
      </c>
      <c r="C74">
        <f t="shared" si="2"/>
        <v>5.2053988038759229</v>
      </c>
    </row>
    <row r="75" spans="1:3" x14ac:dyDescent="0.25">
      <c r="A75">
        <v>126.5</v>
      </c>
      <c r="B75">
        <f t="shared" si="3"/>
        <v>119.40055018322579</v>
      </c>
      <c r="C75">
        <f t="shared" si="2"/>
        <v>50.402187700895375</v>
      </c>
    </row>
    <row r="76" spans="1:3" x14ac:dyDescent="0.25">
      <c r="A76">
        <v>124</v>
      </c>
      <c r="B76">
        <f t="shared" si="3"/>
        <v>126.18711801658522</v>
      </c>
      <c r="C76">
        <f t="shared" si="2"/>
        <v>4.7834852184716521</v>
      </c>
    </row>
    <row r="77" spans="1:3" x14ac:dyDescent="0.25">
      <c r="A77">
        <v>129</v>
      </c>
      <c r="B77">
        <f t="shared" si="3"/>
        <v>124.09638913446145</v>
      </c>
      <c r="C77">
        <f t="shared" si="2"/>
        <v>24.045399520627761</v>
      </c>
    </row>
    <row r="78" spans="1:3" x14ac:dyDescent="0.25">
      <c r="A78">
        <v>123.8</v>
      </c>
      <c r="B78">
        <f t="shared" si="3"/>
        <v>128.78389149397481</v>
      </c>
      <c r="C78">
        <f t="shared" si="2"/>
        <v>24.839174423714457</v>
      </c>
    </row>
    <row r="79" spans="1:3" x14ac:dyDescent="0.25">
      <c r="A79">
        <v>122.6</v>
      </c>
      <c r="B79">
        <f t="shared" si="3"/>
        <v>124.01964657769317</v>
      </c>
      <c r="C79">
        <f t="shared" si="2"/>
        <v>2.0153964055559346</v>
      </c>
    </row>
    <row r="80" spans="1:3" x14ac:dyDescent="0.25">
      <c r="A80">
        <v>120.1</v>
      </c>
      <c r="B80">
        <f t="shared" si="3"/>
        <v>122.66256567036042</v>
      </c>
      <c r="C80">
        <f t="shared" si="2"/>
        <v>6.5667428149097891</v>
      </c>
    </row>
    <row r="81" spans="1:3" x14ac:dyDescent="0.25">
      <c r="A81">
        <v>127.3</v>
      </c>
      <c r="B81">
        <f t="shared" si="3"/>
        <v>120.21293560068254</v>
      </c>
      <c r="C81">
        <f t="shared" si="2"/>
        <v>50.226481800072882</v>
      </c>
    </row>
    <row r="82" spans="1:3" x14ac:dyDescent="0.25">
      <c r="A82">
        <v>129.80000000000001</v>
      </c>
      <c r="B82">
        <f t="shared" si="3"/>
        <v>126.98766385803481</v>
      </c>
      <c r="C82">
        <f t="shared" si="2"/>
        <v>7.9092345754037297</v>
      </c>
    </row>
    <row r="83" spans="1:3" x14ac:dyDescent="0.25">
      <c r="A83">
        <v>125.9</v>
      </c>
      <c r="B83">
        <f t="shared" si="3"/>
        <v>129.67605668990743</v>
      </c>
      <c r="C83">
        <f t="shared" si="2"/>
        <v>14.258604125394585</v>
      </c>
    </row>
    <row r="84" spans="1:3" x14ac:dyDescent="0.25">
      <c r="A84">
        <v>133.5</v>
      </c>
      <c r="B84">
        <f t="shared" si="3"/>
        <v>126.06641572757279</v>
      </c>
      <c r="C84">
        <f t="shared" si="2"/>
        <v>55.258175135277192</v>
      </c>
    </row>
    <row r="85" spans="1:3" x14ac:dyDescent="0.25">
      <c r="A85">
        <v>130.80000000000001</v>
      </c>
      <c r="B85">
        <f t="shared" si="3"/>
        <v>133.17239227671664</v>
      </c>
      <c r="C85">
        <f t="shared" si="2"/>
        <v>5.6282451146246881</v>
      </c>
    </row>
    <row r="86" spans="1:3" x14ac:dyDescent="0.25">
      <c r="A86">
        <v>137.30000000000001</v>
      </c>
      <c r="B86">
        <f t="shared" si="3"/>
        <v>130.90455441198037</v>
      </c>
      <c r="C86">
        <f t="shared" si="2"/>
        <v>40.901724269319885</v>
      </c>
    </row>
    <row r="87" spans="1:3" x14ac:dyDescent="0.25">
      <c r="A87">
        <v>134.6</v>
      </c>
      <c r="B87">
        <f t="shared" si="3"/>
        <v>137.01814439822184</v>
      </c>
      <c r="C87">
        <f t="shared" si="2"/>
        <v>5.8474223306516704</v>
      </c>
    </row>
    <row r="88" spans="1:3" x14ac:dyDescent="0.25">
      <c r="A88">
        <v>140</v>
      </c>
      <c r="B88">
        <f t="shared" si="3"/>
        <v>134.70657076745741</v>
      </c>
      <c r="C88">
        <f t="shared" si="2"/>
        <v>28.020393039936465</v>
      </c>
    </row>
    <row r="89" spans="1:3" x14ac:dyDescent="0.25">
      <c r="A89" s="1" t="s">
        <v>7</v>
      </c>
      <c r="C89">
        <f>SUM(C7:C88)</f>
        <v>1370.1245606204432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2019-11-19T05:09:24Z</dcterms:modified>
</cp:coreProperties>
</file>