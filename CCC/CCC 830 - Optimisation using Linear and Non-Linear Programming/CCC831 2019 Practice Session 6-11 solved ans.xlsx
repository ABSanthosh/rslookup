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972"/>
  </bookViews>
  <sheets>
    <sheet name="Sheet1" sheetId="3" r:id="rId1"/>
  </sheets>
  <definedNames>
    <definedName name="solver_adj" localSheetId="0" hidden="1">Sheet1!$C$42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Sheet1!$C$28</definedName>
    <definedName name="solver_lhs2" localSheetId="0" hidden="1">Sheet1!$E$15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Sheet1!$B$51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Sheet1!$C$29</definedName>
    <definedName name="solver_rhs2" localSheetId="0" hidden="1">1500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5" i="3" l="1"/>
  <c r="B49" i="3"/>
  <c r="B44" i="3"/>
  <c r="K33" i="3"/>
  <c r="C35" i="3"/>
  <c r="C29" i="3"/>
  <c r="C28" i="3"/>
  <c r="C34" i="3" s="1"/>
  <c r="C20" i="3"/>
  <c r="F13" i="3"/>
  <c r="G13" i="3" s="1"/>
  <c r="F14" i="3"/>
  <c r="G14" i="3" s="1"/>
  <c r="F12" i="3"/>
  <c r="G12" i="3" s="1"/>
  <c r="C15" i="3"/>
  <c r="D15" i="3"/>
  <c r="B15" i="3"/>
  <c r="E13" i="3"/>
  <c r="E14" i="3"/>
  <c r="E12" i="3"/>
  <c r="C21" i="3" l="1"/>
  <c r="C22" i="3" s="1"/>
  <c r="B48" i="3"/>
  <c r="B50" i="3" s="1"/>
  <c r="B51" i="3" s="1"/>
  <c r="C33" i="3"/>
  <c r="C37" i="3" s="1"/>
  <c r="E15" i="3"/>
</calcChain>
</file>

<file path=xl/sharedStrings.xml><?xml version="1.0" encoding="utf-8"?>
<sst xmlns="http://schemas.openxmlformats.org/spreadsheetml/2006/main" count="28" uniqueCount="19">
  <si>
    <t>a</t>
  </si>
  <si>
    <t>b</t>
  </si>
  <si>
    <t>c</t>
  </si>
  <si>
    <t>demand</t>
  </si>
  <si>
    <t>supply</t>
  </si>
  <si>
    <t>cp</t>
  </si>
  <si>
    <t>column total</t>
  </si>
  <si>
    <t>row total</t>
  </si>
  <si>
    <t xml:space="preserve">transport </t>
  </si>
  <si>
    <t>pr unit cost</t>
  </si>
  <si>
    <t>workers</t>
  </si>
  <si>
    <t>items</t>
  </si>
  <si>
    <t>y</t>
  </si>
  <si>
    <t>per unit cost</t>
  </si>
  <si>
    <t>income</t>
  </si>
  <si>
    <t>per n</t>
  </si>
  <si>
    <t>profit</t>
  </si>
  <si>
    <t>no of pssengers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</si>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</sst>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H21" sqref="H21"/>
    </sheetView>
  </sheetViews>
  <sheetFormatPr defaultColWidth="11.5546875" defaultRowHeight="14.4" x14ac:dyDescent="0.3"/>
  <sheetData>
    <row r="1" spans="1:7" x14ac:dyDescent="0.3">
      <c r="A1">
        <v>1</v>
      </c>
    </row>
    <row r="2" spans="1:7" x14ac:dyDescent="0.3">
      <c r="B2" t="s">
        <v>0</v>
      </c>
      <c r="C2" t="s">
        <v>1</v>
      </c>
      <c r="D2" t="s">
        <v>2</v>
      </c>
    </row>
    <row r="3" spans="1:7" x14ac:dyDescent="0.3">
      <c r="A3">
        <v>1</v>
      </c>
      <c r="B3">
        <v>33</v>
      </c>
      <c r="C3">
        <v>59</v>
      </c>
      <c r="D3">
        <v>34</v>
      </c>
    </row>
    <row r="4" spans="1:7" x14ac:dyDescent="0.3">
      <c r="A4">
        <v>2</v>
      </c>
      <c r="B4">
        <v>51</v>
      </c>
      <c r="C4">
        <v>39</v>
      </c>
      <c r="D4">
        <v>33</v>
      </c>
    </row>
    <row r="5" spans="1:7" x14ac:dyDescent="0.3">
      <c r="A5">
        <v>3</v>
      </c>
      <c r="B5">
        <v>53</v>
      </c>
      <c r="C5">
        <v>46</v>
      </c>
      <c r="D5">
        <v>45</v>
      </c>
    </row>
    <row r="7" spans="1:7" x14ac:dyDescent="0.3">
      <c r="A7" t="s">
        <v>3</v>
      </c>
      <c r="B7">
        <v>600</v>
      </c>
      <c r="C7">
        <v>400</v>
      </c>
      <c r="D7">
        <v>500</v>
      </c>
    </row>
    <row r="11" spans="1:7" x14ac:dyDescent="0.3">
      <c r="B11" t="s">
        <v>0</v>
      </c>
      <c r="C11" t="s">
        <v>1</v>
      </c>
      <c r="D11" t="s">
        <v>2</v>
      </c>
      <c r="E11" t="s">
        <v>6</v>
      </c>
      <c r="F11" t="s">
        <v>4</v>
      </c>
      <c r="G11" t="s">
        <v>5</v>
      </c>
    </row>
    <row r="12" spans="1:7" x14ac:dyDescent="0.3">
      <c r="A12">
        <v>1</v>
      </c>
      <c r="B12">
        <v>505.40359337530401</v>
      </c>
      <c r="C12">
        <v>0</v>
      </c>
      <c r="D12">
        <v>0</v>
      </c>
      <c r="E12">
        <f>SUM(B12:D12)</f>
        <v>505.40359337530401</v>
      </c>
      <c r="F12">
        <f>SUM(B12:D12)</f>
        <v>505.40359337530401</v>
      </c>
      <c r="G12">
        <f>0.01*((400-F12)^2)+300</f>
        <v>411.09917496426431</v>
      </c>
    </row>
    <row r="13" spans="1:7" x14ac:dyDescent="0.3">
      <c r="A13">
        <v>2</v>
      </c>
      <c r="B13">
        <v>0</v>
      </c>
      <c r="C13">
        <v>78.068538024562699</v>
      </c>
      <c r="D13">
        <v>499.99999999999989</v>
      </c>
      <c r="E13">
        <f t="shared" ref="E13:E14" si="0">SUM(B13:D13)</f>
        <v>578.0685380245626</v>
      </c>
      <c r="F13">
        <f t="shared" ref="F13:F14" si="1">SUM(B13:D13)</f>
        <v>578.0685380245626</v>
      </c>
      <c r="G13">
        <f>0.01*((500-F13)^2)+500</f>
        <v>560.94696629292571</v>
      </c>
    </row>
    <row r="14" spans="1:7" x14ac:dyDescent="0.3">
      <c r="A14">
        <v>3</v>
      </c>
      <c r="B14">
        <v>94.596406624695987</v>
      </c>
      <c r="C14">
        <v>321.93146197543723</v>
      </c>
      <c r="D14">
        <v>0</v>
      </c>
      <c r="E14">
        <f t="shared" si="0"/>
        <v>416.52786860013322</v>
      </c>
      <c r="F14">
        <f t="shared" si="1"/>
        <v>416.52786860013322</v>
      </c>
      <c r="G14">
        <f>0.01*((300-F14)^2)+350</f>
        <v>485.78744160489913</v>
      </c>
    </row>
    <row r="15" spans="1:7" x14ac:dyDescent="0.3">
      <c r="A15" t="s">
        <v>7</v>
      </c>
      <c r="B15">
        <f>SUM(B12:B14)</f>
        <v>600</v>
      </c>
      <c r="C15">
        <f t="shared" ref="C15:D15" si="2">SUM(C12:C14)</f>
        <v>399.99999999999994</v>
      </c>
      <c r="D15">
        <f t="shared" si="2"/>
        <v>499.99999999999989</v>
      </c>
      <c r="E15">
        <f>SUM(E12:E14)</f>
        <v>1499.9999999999998</v>
      </c>
    </row>
    <row r="16" spans="1:7" x14ac:dyDescent="0.3">
      <c r="A16" t="s">
        <v>3</v>
      </c>
      <c r="B16">
        <v>600</v>
      </c>
      <c r="C16">
        <v>400</v>
      </c>
      <c r="D16">
        <v>500</v>
      </c>
    </row>
    <row r="20" spans="1:3" x14ac:dyDescent="0.3">
      <c r="B20" t="s">
        <v>8</v>
      </c>
      <c r="C20">
        <f>SUMPRODUCT(B3:D5,B12:D14)</f>
        <v>56045.448366321973</v>
      </c>
    </row>
    <row r="21" spans="1:3" x14ac:dyDescent="0.3">
      <c r="B21" t="s">
        <v>9</v>
      </c>
      <c r="C21">
        <f>SUMPRODUCT(E12:E14,G12:G14)</f>
        <v>734380.80061922746</v>
      </c>
    </row>
    <row r="22" spans="1:3" x14ac:dyDescent="0.3">
      <c r="C22">
        <f>C20+C21</f>
        <v>790426.24898554944</v>
      </c>
    </row>
    <row r="26" spans="1:3" x14ac:dyDescent="0.3">
      <c r="A26">
        <v>2</v>
      </c>
      <c r="B26" t="s">
        <v>12</v>
      </c>
      <c r="C26">
        <v>398.56535164604986</v>
      </c>
    </row>
    <row r="27" spans="1:3" x14ac:dyDescent="0.3">
      <c r="B27" t="s">
        <v>10</v>
      </c>
      <c r="C27">
        <v>6.2719373322686307</v>
      </c>
    </row>
    <row r="28" spans="1:3" x14ac:dyDescent="0.3">
      <c r="B28" t="s">
        <v>11</v>
      </c>
      <c r="C28">
        <f>50*C27^0.8</f>
        <v>217.21578024744286</v>
      </c>
    </row>
    <row r="29" spans="1:3" x14ac:dyDescent="0.3">
      <c r="B29" t="s">
        <v>3</v>
      </c>
      <c r="C29">
        <f>(5000-12*C26)</f>
        <v>217.2157802474012</v>
      </c>
    </row>
    <row r="30" spans="1:3" x14ac:dyDescent="0.3">
      <c r="B30" t="s">
        <v>13</v>
      </c>
      <c r="C30">
        <v>200</v>
      </c>
    </row>
    <row r="31" spans="1:3" x14ac:dyDescent="0.3">
      <c r="B31" t="s">
        <v>10</v>
      </c>
      <c r="C31">
        <v>5000</v>
      </c>
    </row>
    <row r="33" spans="1:11" x14ac:dyDescent="0.3">
      <c r="B33" t="s">
        <v>14</v>
      </c>
      <c r="C33">
        <f>C28*C26</f>
        <v>86574.683837393153</v>
      </c>
      <c r="K33">
        <f>5000/12</f>
        <v>416.66666666666669</v>
      </c>
    </row>
    <row r="34" spans="1:11" x14ac:dyDescent="0.3">
      <c r="B34" t="s">
        <v>15</v>
      </c>
      <c r="C34">
        <f>C30*C28</f>
        <v>43443.156049488571</v>
      </c>
    </row>
    <row r="35" spans="1:11" x14ac:dyDescent="0.3">
      <c r="B35" t="s">
        <v>10</v>
      </c>
      <c r="C35">
        <f>C27*C31</f>
        <v>31359.686661343152</v>
      </c>
    </row>
    <row r="37" spans="1:11" x14ac:dyDescent="0.3">
      <c r="B37" t="s">
        <v>16</v>
      </c>
      <c r="C37">
        <f>C33-(C34+C35)</f>
        <v>11771.841126561427</v>
      </c>
    </row>
    <row r="42" spans="1:11" x14ac:dyDescent="0.3">
      <c r="A42">
        <v>3</v>
      </c>
      <c r="B42" t="s">
        <v>5</v>
      </c>
      <c r="C42">
        <v>2038.4615281857596</v>
      </c>
    </row>
    <row r="44" spans="1:11" x14ac:dyDescent="0.3">
      <c r="A44" t="s">
        <v>17</v>
      </c>
      <c r="B44">
        <f>20000-6.5*C42</f>
        <v>6750.0000667925633</v>
      </c>
    </row>
    <row r="45" spans="1:11" x14ac:dyDescent="0.3">
      <c r="B45">
        <v>1000</v>
      </c>
      <c r="K45">
        <f>20000/6.5</f>
        <v>3076.9230769230771</v>
      </c>
    </row>
    <row r="46" spans="1:11" x14ac:dyDescent="0.3">
      <c r="B46">
        <v>5000000</v>
      </c>
    </row>
    <row r="48" spans="1:11" x14ac:dyDescent="0.3">
      <c r="A48" t="s">
        <v>18</v>
      </c>
      <c r="B48">
        <f>B44*B45</f>
        <v>6750000.0667925635</v>
      </c>
    </row>
    <row r="49" spans="1:2" x14ac:dyDescent="0.3">
      <c r="B49">
        <f>B46</f>
        <v>5000000</v>
      </c>
    </row>
    <row r="50" spans="1:2" x14ac:dyDescent="0.3">
      <c r="B50">
        <f>SUM(B48:B49)</f>
        <v>11750000.066792563</v>
      </c>
    </row>
    <row r="51" spans="1:2" x14ac:dyDescent="0.3">
      <c r="A51" t="s">
        <v>16</v>
      </c>
      <c r="B51">
        <f>B44*C42-B50</f>
        <v>2009615.3846153859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2019-11-14T04:41:42Z</dcterms:modified>
</cp:coreProperties>
</file>