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7256" windowHeight="6384" firstSheet="3" activeTab="5"/>
  </bookViews>
  <sheets>
    <sheet name="Sensitivity Report 1" sheetId="5" r:id="rId1"/>
    <sheet name="Q1" sheetId="4" r:id="rId2"/>
    <sheet name="Q2" sheetId="2" r:id="rId3"/>
    <sheet name="Q3" sheetId="3" r:id="rId4"/>
    <sheet name="EndSem Q2" sheetId="8" r:id="rId5"/>
    <sheet name="Endsem q3" sheetId="11" r:id="rId6"/>
    <sheet name="Endsem Q1" sheetId="12" r:id="rId7"/>
  </sheets>
  <externalReferences>
    <externalReference r:id="rId8"/>
  </externalReferences>
  <definedNames>
    <definedName name="intercept">[1]COMPUTE!$M$2</definedName>
    <definedName name="slope">[1]COMPUTE!$L$2</definedName>
    <definedName name="solver_adj" localSheetId="6" hidden="1">'Endsem Q1'!$C$3:$C$5</definedName>
    <definedName name="solver_adj" localSheetId="4" hidden="1">'EndSem Q2'!$L$6:$Q$10</definedName>
    <definedName name="solver_adj" localSheetId="5" hidden="1">'Endsem q3'!$F$4,'Endsem q3'!$F$11</definedName>
    <definedName name="solver_adj" localSheetId="1" hidden="1">'Q1'!$D$5:$F$5</definedName>
    <definedName name="solver_adj" localSheetId="2" hidden="1">'Q2'!$N$8:$P$11</definedName>
    <definedName name="solver_adj" localSheetId="3" hidden="1">'Q3'!$J$6:$P$12</definedName>
    <definedName name="solver_cvg" localSheetId="6" hidden="1">0.0001</definedName>
    <definedName name="solver_cvg" localSheetId="4" hidden="1">0.0001</definedName>
    <definedName name="solver_cvg" localSheetId="5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6" hidden="1">2</definedName>
    <definedName name="solver_drv" localSheetId="4" hidden="1">1</definedName>
    <definedName name="solver_drv" localSheetId="5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6" hidden="1">1</definedName>
    <definedName name="solver_eng" localSheetId="4" hidden="1">2</definedName>
    <definedName name="solver_eng" localSheetId="5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6" hidden="1">1</definedName>
    <definedName name="solver_est" localSheetId="4" hidden="1">1</definedName>
    <definedName name="solver_est" localSheetId="5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6" hidden="1">2147483647</definedName>
    <definedName name="solver_itr" localSheetId="4" hidden="1">2147483647</definedName>
    <definedName name="solver_itr" localSheetId="5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6" hidden="1">'Endsem Q1'!$C$11:$C$13</definedName>
    <definedName name="solver_lhs1" localSheetId="4" hidden="1">'EndSem Q2'!$L$11:$Q$11</definedName>
    <definedName name="solver_lhs1" localSheetId="5" hidden="1">'Endsem q3'!$F$11</definedName>
    <definedName name="solver_lhs1" localSheetId="1" hidden="1">'Q1'!$H$9:$H$12</definedName>
    <definedName name="solver_lhs1" localSheetId="2" hidden="1">'Q2'!$N$12:$P$12</definedName>
    <definedName name="solver_lhs1" localSheetId="3" hidden="1">'Q3'!$J$14:$P$14</definedName>
    <definedName name="solver_lhs2" localSheetId="6" hidden="1">'Endsem Q1'!$C$15</definedName>
    <definedName name="solver_lhs2" localSheetId="4" hidden="1">'EndSem Q2'!$L$6:$Q$10</definedName>
    <definedName name="solver_lhs2" localSheetId="5" hidden="1">'Endsem q3'!$F$11</definedName>
    <definedName name="solver_lhs2" localSheetId="2" hidden="1">'Q2'!$N$12:$P$12</definedName>
    <definedName name="solver_lhs2" localSheetId="3" hidden="1">'Q3'!$R$6:$R$12</definedName>
    <definedName name="solver_lhs3" localSheetId="6" hidden="1">'Endsem Q1'!$C$3:$C$5</definedName>
    <definedName name="solver_lhs3" localSheetId="4" hidden="1">'EndSem Q2'!$R$6:$R$10</definedName>
    <definedName name="solver_lhs3" localSheetId="5" hidden="1">'Endsem q3'!$F$4</definedName>
    <definedName name="solver_lhs3" localSheetId="2" hidden="1">'Q2'!$Q$8:$Q$11</definedName>
    <definedName name="solver_lhs4" localSheetId="6" hidden="1">'Endsem Q1'!$C$3:$C$5</definedName>
    <definedName name="solver_lhs4" localSheetId="4" hidden="1">'EndSem Q2'!$R$6:$R$10</definedName>
    <definedName name="solver_lhs4" localSheetId="5" hidden="1">'Endsem q3'!$F$4</definedName>
    <definedName name="solver_mip" localSheetId="6" hidden="1">2147483647</definedName>
    <definedName name="solver_mip" localSheetId="4" hidden="1">2147483647</definedName>
    <definedName name="solver_mip" localSheetId="5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6" hidden="1">30</definedName>
    <definedName name="solver_mni" localSheetId="4" hidden="1">30</definedName>
    <definedName name="solver_mni" localSheetId="5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6" hidden="1">0.075</definedName>
    <definedName name="solver_mrt" localSheetId="4" hidden="1">0.075</definedName>
    <definedName name="solver_mrt" localSheetId="5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6" hidden="1">1</definedName>
    <definedName name="solver_msl" localSheetId="4" hidden="1">2</definedName>
    <definedName name="solver_msl" localSheetId="5" hidden="1">1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6" hidden="1">1</definedName>
    <definedName name="solver_neg" localSheetId="4" hidden="1">1</definedName>
    <definedName name="solver_neg" localSheetId="5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6" hidden="1">2147483647</definedName>
    <definedName name="solver_nod" localSheetId="4" hidden="1">2147483647</definedName>
    <definedName name="solver_nod" localSheetId="5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6" hidden="1">4</definedName>
    <definedName name="solver_num" localSheetId="4" hidden="1">4</definedName>
    <definedName name="solver_num" localSheetId="5" hidden="1">4</definedName>
    <definedName name="solver_num" localSheetId="1" hidden="1">1</definedName>
    <definedName name="solver_num" localSheetId="2" hidden="1">3</definedName>
    <definedName name="solver_num" localSheetId="3" hidden="1">2</definedName>
    <definedName name="solver_nwt" localSheetId="6" hidden="1">1</definedName>
    <definedName name="solver_nwt" localSheetId="4" hidden="1">1</definedName>
    <definedName name="solver_nwt" localSheetId="5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6" hidden="1">'Endsem Q1'!$C$18</definedName>
    <definedName name="solver_opt" localSheetId="4" hidden="1">'EndSem Q2'!$G$15</definedName>
    <definedName name="solver_opt" localSheetId="5" hidden="1">'Endsem q3'!$C$18</definedName>
    <definedName name="solver_opt" localSheetId="1" hidden="1">'Q1'!$H$7</definedName>
    <definedName name="solver_opt" localSheetId="2" hidden="1">'Q2'!$M$15</definedName>
    <definedName name="solver_opt" localSheetId="3" hidden="1">'Q3'!$H$16</definedName>
    <definedName name="solver_pre" localSheetId="6" hidden="1">0.000001</definedName>
    <definedName name="solver_pre" localSheetId="4" hidden="1">0.000001</definedName>
    <definedName name="solver_pre" localSheetId="5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6" hidden="1">1</definedName>
    <definedName name="solver_rbv" localSheetId="4" hidden="1">1</definedName>
    <definedName name="solver_rbv" localSheetId="5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6" hidden="1">3</definedName>
    <definedName name="solver_rel1" localSheetId="4" hidden="1">2</definedName>
    <definedName name="solver_rel1" localSheetId="5" hidden="1">1</definedName>
    <definedName name="solver_rel1" localSheetId="1" hidden="1">1</definedName>
    <definedName name="solver_rel1" localSheetId="2" hidden="1">1</definedName>
    <definedName name="solver_rel1" localSheetId="3" hidden="1">2</definedName>
    <definedName name="solver_rel2" localSheetId="6" hidden="1">1</definedName>
    <definedName name="solver_rel2" localSheetId="4" hidden="1">3</definedName>
    <definedName name="solver_rel2" localSheetId="5" hidden="1">3</definedName>
    <definedName name="solver_rel2" localSheetId="2" hidden="1">3</definedName>
    <definedName name="solver_rel2" localSheetId="3" hidden="1">2</definedName>
    <definedName name="solver_rel3" localSheetId="6" hidden="1">1</definedName>
    <definedName name="solver_rel3" localSheetId="4" hidden="1">1</definedName>
    <definedName name="solver_rel3" localSheetId="5" hidden="1">1</definedName>
    <definedName name="solver_rel3" localSheetId="2" hidden="1">2</definedName>
    <definedName name="solver_rel4" localSheetId="6" hidden="1">3</definedName>
    <definedName name="solver_rel4" localSheetId="4" hidden="1">3</definedName>
    <definedName name="solver_rel4" localSheetId="5" hidden="1">3</definedName>
    <definedName name="solver_rhs1" localSheetId="6" hidden="1">'Endsem Q1'!$E$11:$E$13</definedName>
    <definedName name="solver_rhs1" localSheetId="4" hidden="1">4</definedName>
    <definedName name="solver_rhs1" localSheetId="5" hidden="1">150</definedName>
    <definedName name="solver_rhs1" localSheetId="1" hidden="1">'Q1'!$J$9:$J$12</definedName>
    <definedName name="solver_rhs1" localSheetId="2" hidden="1">'Q2'!$N$13:$P$13</definedName>
    <definedName name="solver_rhs1" localSheetId="3" hidden="1">1</definedName>
    <definedName name="solver_rhs2" localSheetId="6" hidden="1">'Endsem Q1'!$E$15</definedName>
    <definedName name="solver_rhs2" localSheetId="4" hidden="1">0</definedName>
    <definedName name="solver_rhs2" localSheetId="5" hidden="1">0</definedName>
    <definedName name="solver_rhs2" localSheetId="2" hidden="1">200</definedName>
    <definedName name="solver_rhs2" localSheetId="3" hidden="1">1</definedName>
    <definedName name="solver_rhs3" localSheetId="6" hidden="1">'Endsem Q1'!$E$3:$E$5</definedName>
    <definedName name="solver_rhs3" localSheetId="4" hidden="1">6</definedName>
    <definedName name="solver_rhs3" localSheetId="5" hidden="1">30000</definedName>
    <definedName name="solver_rhs3" localSheetId="2" hidden="1">'Q2'!$R$8:$R$11</definedName>
    <definedName name="solver_rhs4" localSheetId="6" hidden="1">'Endsem Q1'!$H$3:$H$5</definedName>
    <definedName name="solver_rhs4" localSheetId="4" hidden="1">2</definedName>
    <definedName name="solver_rhs4" localSheetId="5" hidden="1">1</definedName>
    <definedName name="solver_rlx" localSheetId="6" hidden="1">2</definedName>
    <definedName name="solver_rlx" localSheetId="4" hidden="1">2</definedName>
    <definedName name="solver_rlx" localSheetId="5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6" hidden="1">0</definedName>
    <definedName name="solver_rsd" localSheetId="4" hidden="1">0</definedName>
    <definedName name="solver_rsd" localSheetId="5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6" hidden="1">2</definedName>
    <definedName name="solver_scl" localSheetId="4" hidden="1">1</definedName>
    <definedName name="solver_scl" localSheetId="5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6" hidden="1">2</definedName>
    <definedName name="solver_sho" localSheetId="4" hidden="1">2</definedName>
    <definedName name="solver_sho" localSheetId="5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6" hidden="1">100</definedName>
    <definedName name="solver_ssz" localSheetId="4" hidden="1">100</definedName>
    <definedName name="solver_ssz" localSheetId="5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6" hidden="1">2147483647</definedName>
    <definedName name="solver_tim" localSheetId="4" hidden="1">2147483647</definedName>
    <definedName name="solver_tim" localSheetId="5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6" hidden="1">0.01</definedName>
    <definedName name="solver_tol" localSheetId="4" hidden="1">0.01</definedName>
    <definedName name="solver_tol" localSheetId="5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6" hidden="1">1</definedName>
    <definedName name="solver_typ" localSheetId="4" hidden="1">2</definedName>
    <definedName name="solver_typ" localSheetId="5" hidden="1">1</definedName>
    <definedName name="solver_typ" localSheetId="1" hidden="1">1</definedName>
    <definedName name="solver_typ" localSheetId="2" hidden="1">2</definedName>
    <definedName name="solver_typ" localSheetId="3" hidden="1">2</definedName>
    <definedName name="solver_val" localSheetId="6" hidden="1">0</definedName>
    <definedName name="solver_val" localSheetId="4" hidden="1">0</definedName>
    <definedName name="solver_val" localSheetId="5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6" hidden="1">3</definedName>
    <definedName name="solver_ver" localSheetId="4" hidden="1">3</definedName>
    <definedName name="solver_ver" localSheetId="5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52511"/>
</workbook>
</file>

<file path=xl/calcChain.xml><?xml version="1.0" encoding="utf-8"?>
<calcChain xmlns="http://schemas.openxmlformats.org/spreadsheetml/2006/main">
  <c r="G15" i="8" l="1"/>
  <c r="C15" i="12" l="1"/>
  <c r="F5" i="12" l="1"/>
  <c r="F3" i="12"/>
  <c r="E4" i="12"/>
  <c r="E5" i="12"/>
  <c r="E3" i="12"/>
  <c r="C13" i="12"/>
  <c r="C12" i="12"/>
  <c r="C11" i="12"/>
  <c r="F8" i="11"/>
  <c r="F7" i="11"/>
  <c r="F12" i="11"/>
  <c r="C16" i="12" l="1"/>
  <c r="F14" i="11"/>
  <c r="C18" i="12" l="1"/>
  <c r="F5" i="11" l="1"/>
  <c r="F15" i="11" s="1"/>
  <c r="C18" i="11" s="1"/>
  <c r="F9" i="11" l="1"/>
  <c r="H16" i="3" l="1"/>
  <c r="R7" i="8"/>
  <c r="R8" i="8"/>
  <c r="R9" i="8"/>
  <c r="R10" i="8"/>
  <c r="R6" i="8"/>
  <c r="M11" i="8"/>
  <c r="N11" i="8"/>
  <c r="O11" i="8"/>
  <c r="P11" i="8"/>
  <c r="Q11" i="8"/>
  <c r="L11" i="8"/>
  <c r="H9" i="4" l="1"/>
  <c r="H10" i="4"/>
  <c r="H11" i="4"/>
  <c r="H12" i="4"/>
  <c r="H7" i="4"/>
  <c r="P14" i="3"/>
  <c r="O14" i="3"/>
  <c r="N14" i="3"/>
  <c r="M14" i="3"/>
  <c r="L14" i="3"/>
  <c r="K14" i="3"/>
  <c r="J14" i="3"/>
  <c r="R12" i="3"/>
  <c r="R11" i="3"/>
  <c r="R10" i="3"/>
  <c r="R9" i="3"/>
  <c r="R8" i="3"/>
  <c r="R7" i="3"/>
  <c r="R6" i="3"/>
  <c r="M15" i="2"/>
  <c r="P12" i="2"/>
  <c r="O12" i="2"/>
  <c r="N12" i="2"/>
  <c r="Q11" i="2"/>
  <c r="Q10" i="2"/>
  <c r="Q9" i="2"/>
  <c r="Q8" i="2"/>
</calcChain>
</file>

<file path=xl/sharedStrings.xml><?xml version="1.0" encoding="utf-8"?>
<sst xmlns="http://schemas.openxmlformats.org/spreadsheetml/2006/main" count="137" uniqueCount="103">
  <si>
    <t>Cost matrix:</t>
  </si>
  <si>
    <t>Transport matrix:</t>
  </si>
  <si>
    <t>Row tot.</t>
  </si>
  <si>
    <t>Supply</t>
  </si>
  <si>
    <t>Col tot.</t>
  </si>
  <si>
    <t>Demand</t>
  </si>
  <si>
    <t>Total transport cost</t>
  </si>
  <si>
    <t>Cost matrix</t>
  </si>
  <si>
    <t>Assignment matrix</t>
  </si>
  <si>
    <t>Plant 1</t>
  </si>
  <si>
    <t>Plant 2</t>
  </si>
  <si>
    <t>Plant 3</t>
  </si>
  <si>
    <t>Plant 4</t>
  </si>
  <si>
    <t>Plant 5</t>
  </si>
  <si>
    <t>Plant 6</t>
  </si>
  <si>
    <t>Plant 7</t>
  </si>
  <si>
    <t>Row tot</t>
  </si>
  <si>
    <t>Job 1</t>
  </si>
  <si>
    <t>Job 2</t>
  </si>
  <si>
    <t>Job 3</t>
  </si>
  <si>
    <t>Job 4</t>
  </si>
  <si>
    <t>Job 5</t>
  </si>
  <si>
    <t>Dummy 1</t>
  </si>
  <si>
    <t>Dummy 2</t>
  </si>
  <si>
    <t>Col tot</t>
  </si>
  <si>
    <t>Cost=</t>
  </si>
  <si>
    <t>x</t>
  </si>
  <si>
    <t>y</t>
  </si>
  <si>
    <t>z</t>
  </si>
  <si>
    <t>Variable</t>
  </si>
  <si>
    <t>max.</t>
  </si>
  <si>
    <t>=</t>
  </si>
  <si>
    <t>Constraints</t>
  </si>
  <si>
    <t>&lt;=</t>
  </si>
  <si>
    <t>Microsoft Excel 15.0 Sensitivity Report</t>
  </si>
  <si>
    <t>Worksheet: [CCC831 2019 Practice Session 1-5 solved.xlsx]Q1</t>
  </si>
  <si>
    <t>Report Created: 10/15/2019 12:18:04 PM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</si>
  <si>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</si>
  <si>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</si>
  <si>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</si>
  <si>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</si>
  <si>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</si>
  <si>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</si>
  <si>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</si>
  <si>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</si>
  <si>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</si>
  <si>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</si>
  <si>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</si>
  <si>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</si>
  <si>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</si>
  <si>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</si>
  <si>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</si>
  <si>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</si>
  <si>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$D$5</t>
  </si>
  <si>
    <t>Variable x</t>
  </si>
  <si>
    <t>$E$5</t>
  </si>
  <si>
    <t>Variable y</t>
  </si>
  <si>
    <t>$F$5</t>
  </si>
  <si>
    <t>Variable z</t>
  </si>
  <si>
    <t>$H$9</t>
  </si>
  <si>
    <t>$H$10</t>
  </si>
  <si>
    <t>$H$11</t>
  </si>
  <si>
    <t>$H$12</t>
  </si>
  <si>
    <t>$D$5:$F$5</t>
  </si>
  <si>
    <t>$H$9:$H$12 &lt;= $J$9:$J$12</t>
  </si>
  <si>
    <t>&gt;=</t>
  </si>
  <si>
    <t>EMP</t>
  </si>
  <si>
    <t>a</t>
  </si>
  <si>
    <t>b</t>
  </si>
  <si>
    <t>c</t>
  </si>
  <si>
    <t>d</t>
  </si>
  <si>
    <t>e</t>
  </si>
  <si>
    <t>f</t>
  </si>
  <si>
    <t>Col total</t>
  </si>
  <si>
    <t>Row total</t>
  </si>
  <si>
    <t xml:space="preserve">Cost = </t>
  </si>
  <si>
    <t>Probability of winning the contract=</t>
  </si>
  <si>
    <t>Amount spent x =</t>
  </si>
  <si>
    <t xml:space="preserve">Other costs if developed = </t>
  </si>
  <si>
    <t>Amount sold / Demand =</t>
  </si>
  <si>
    <t>Money spent on success</t>
  </si>
  <si>
    <t>money spent when lost</t>
  </si>
  <si>
    <t>Expected spending on development</t>
  </si>
  <si>
    <t xml:space="preserve">Profit = </t>
  </si>
  <si>
    <t xml:space="preserve">Selling price y = </t>
  </si>
  <si>
    <t xml:space="preserve">SP A = </t>
  </si>
  <si>
    <t>SP B =</t>
  </si>
  <si>
    <t xml:space="preserve">SP C = </t>
  </si>
  <si>
    <t xml:space="preserve">CP A = </t>
  </si>
  <si>
    <t xml:space="preserve">Cp B= </t>
  </si>
  <si>
    <t xml:space="preserve">CP C = </t>
  </si>
  <si>
    <t xml:space="preserve">Demand A = </t>
  </si>
  <si>
    <t>Dc =</t>
  </si>
  <si>
    <t xml:space="preserve">DB = </t>
  </si>
  <si>
    <t xml:space="preserve">Total Manufacturing cost = </t>
  </si>
  <si>
    <t>Total Revenue =</t>
  </si>
  <si>
    <t xml:space="preserve">&gt;= </t>
  </si>
  <si>
    <t xml:space="preserve">Amount manufactured a </t>
  </si>
  <si>
    <t xml:space="preserve">Total cost if successful = </t>
  </si>
  <si>
    <t>Cost if unsuccessful</t>
  </si>
  <si>
    <t xml:space="preserve">Expected Income = </t>
  </si>
  <si>
    <t>Expected Income</t>
  </si>
  <si>
    <t>Expected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</si>
</sst>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Fill="1" applyBorder="1" applyAlignme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rya.majumdar/Desktop/SNU/QTM-1%202014/Quizzes/QTM-I%202014%20End-term%20Set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Data3"/>
      <sheetName val="COMPUTE4"/>
      <sheetName val="MRData2"/>
      <sheetName val="COMPUTE3"/>
      <sheetName val="MRData"/>
      <sheetName val="COMPUTE2"/>
      <sheetName val="CIEandPI"/>
      <sheetName val="Durbin_Watson"/>
      <sheetName val="Residuals"/>
      <sheetName val="SLRData"/>
      <sheetName val="COMPUTE"/>
      <sheetName val="Hypothesis"/>
      <sheetName val="Q6."/>
      <sheetName val="Q7."/>
      <sheetName val="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L2">
            <v>0.15073991047986507</v>
          </cell>
          <cell r="M2">
            <v>-8.2523083660779708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workbookViewId="0"/>
  </sheetViews>
  <sheetFormatPr defaultRowHeight="14.4" outlineLevelRow="1" x14ac:dyDescent="0.3"/>
  <cols>
    <col min="1" max="1" width="2.33203125" customWidth="1"/>
    <col min="2" max="2" width="6.33203125" bestFit="1" customWidth="1"/>
    <col min="3" max="3" width="9.88671875" bestFit="1" customWidth="1"/>
    <col min="4" max="4" width="12.6640625" bestFit="1" customWidth="1"/>
    <col min="5" max="5" width="8.6640625" bestFit="1" customWidth="1"/>
    <col min="6" max="6" width="10.88671875" bestFit="1" customWidth="1"/>
    <col min="7" max="8" width="12" bestFit="1" customWidth="1"/>
  </cols>
  <sheetData>
    <row r="1" spans="1:8" x14ac:dyDescent="0.3">
      <c r="A1" s="2" t="s">
        <v>34</v>
      </c>
    </row>
    <row r="2" spans="1:8" x14ac:dyDescent="0.3">
      <c r="A2" s="2" t="s">
        <v>35</v>
      </c>
    </row>
    <row r="3" spans="1:8" x14ac:dyDescent="0.3">
      <c r="A3" s="2" t="s">
        <v>36</v>
      </c>
    </row>
    <row r="6" spans="1:8" ht="15" thickBot="1" x14ac:dyDescent="0.35">
      <c r="A6" t="s">
        <v>37</v>
      </c>
    </row>
    <row r="7" spans="1:8" x14ac:dyDescent="0.3">
      <c r="B7" s="6"/>
      <c r="C7" s="6"/>
      <c r="D7" s="6" t="s">
        <v>40</v>
      </c>
      <c r="E7" s="6" t="s">
        <v>42</v>
      </c>
      <c r="F7" s="6" t="s">
        <v>44</v>
      </c>
      <c r="G7" s="6" t="s">
        <v>46</v>
      </c>
      <c r="H7" s="6" t="s">
        <v>46</v>
      </c>
    </row>
    <row r="8" spans="1:8" ht="15" thickBot="1" x14ac:dyDescent="0.35">
      <c r="B8" s="7" t="s">
        <v>38</v>
      </c>
      <c r="C8" s="7" t="s">
        <v>39</v>
      </c>
      <c r="D8" s="7" t="s">
        <v>41</v>
      </c>
      <c r="E8" s="7" t="s">
        <v>43</v>
      </c>
      <c r="F8" s="7" t="s">
        <v>45</v>
      </c>
      <c r="G8" s="7" t="s">
        <v>47</v>
      </c>
      <c r="H8" s="7" t="s">
        <v>48</v>
      </c>
    </row>
    <row r="9" spans="1:8" x14ac:dyDescent="0.3">
      <c r="B9" s="9" t="s">
        <v>63</v>
      </c>
      <c r="C9" s="8"/>
      <c r="D9" s="8"/>
      <c r="E9" s="8"/>
      <c r="F9" s="8"/>
      <c r="G9" s="8"/>
      <c r="H9" s="8"/>
    </row>
    <row r="10" spans="1:8" outlineLevel="1" x14ac:dyDescent="0.3">
      <c r="B10" s="4" t="s">
        <v>53</v>
      </c>
      <c r="C10" s="4" t="s">
        <v>54</v>
      </c>
      <c r="D10" s="4">
        <v>68.571428571428584</v>
      </c>
      <c r="E10" s="4">
        <v>0</v>
      </c>
      <c r="F10" s="4">
        <v>10</v>
      </c>
      <c r="G10" s="4">
        <v>1E+30</v>
      </c>
      <c r="H10" s="4">
        <v>2.333333333333333</v>
      </c>
    </row>
    <row r="11" spans="1:8" outlineLevel="1" x14ac:dyDescent="0.3">
      <c r="B11" s="4" t="s">
        <v>55</v>
      </c>
      <c r="C11" s="4" t="s">
        <v>56</v>
      </c>
      <c r="D11" s="4">
        <v>22.857142857142861</v>
      </c>
      <c r="E11" s="4">
        <v>0</v>
      </c>
      <c r="F11" s="4">
        <v>-15</v>
      </c>
      <c r="G11" s="4">
        <v>63</v>
      </c>
      <c r="H11" s="4">
        <v>7</v>
      </c>
    </row>
    <row r="12" spans="1:8" ht="15" outlineLevel="1" thickBot="1" x14ac:dyDescent="0.35">
      <c r="B12" s="5" t="s">
        <v>57</v>
      </c>
      <c r="C12" s="5" t="s">
        <v>58</v>
      </c>
      <c r="D12" s="5">
        <v>17.142857142857146</v>
      </c>
      <c r="E12" s="5">
        <v>0</v>
      </c>
      <c r="F12" s="5">
        <v>8</v>
      </c>
      <c r="G12" s="5">
        <v>7</v>
      </c>
      <c r="H12" s="5">
        <v>27.999999999999996</v>
      </c>
    </row>
    <row r="13" spans="1:8" x14ac:dyDescent="0.3">
      <c r="B13" s="3"/>
      <c r="C13" s="3"/>
      <c r="D13" s="3"/>
      <c r="E13" s="3"/>
      <c r="F13" s="3"/>
      <c r="G13" s="3"/>
      <c r="H13" s="3"/>
    </row>
    <row r="15" spans="1:8" ht="15" thickBot="1" x14ac:dyDescent="0.35">
      <c r="A15" t="s">
        <v>32</v>
      </c>
    </row>
    <row r="16" spans="1:8" x14ac:dyDescent="0.3">
      <c r="B16" s="6"/>
      <c r="C16" s="6"/>
      <c r="D16" s="6" t="s">
        <v>40</v>
      </c>
      <c r="E16" s="6" t="s">
        <v>49</v>
      </c>
      <c r="F16" s="6" t="s">
        <v>51</v>
      </c>
      <c r="G16" s="6" t="s">
        <v>46</v>
      </c>
      <c r="H16" s="6" t="s">
        <v>46</v>
      </c>
    </row>
    <row r="17" spans="2:8" ht="15" thickBot="1" x14ac:dyDescent="0.35">
      <c r="B17" s="7" t="s">
        <v>38</v>
      </c>
      <c r="C17" s="7" t="s">
        <v>39</v>
      </c>
      <c r="D17" s="7" t="s">
        <v>41</v>
      </c>
      <c r="E17" s="7" t="s">
        <v>50</v>
      </c>
      <c r="F17" s="7" t="s">
        <v>52</v>
      </c>
      <c r="G17" s="7" t="s">
        <v>47</v>
      </c>
      <c r="H17" s="7" t="s">
        <v>48</v>
      </c>
    </row>
    <row r="18" spans="2:8" x14ac:dyDescent="0.3">
      <c r="B18" s="9" t="s">
        <v>64</v>
      </c>
      <c r="C18" s="8"/>
      <c r="D18" s="8"/>
      <c r="E18" s="8"/>
      <c r="F18" s="8"/>
      <c r="G18" s="8"/>
      <c r="H18" s="8"/>
    </row>
    <row r="19" spans="2:8" outlineLevel="1" x14ac:dyDescent="0.3">
      <c r="B19" s="4" t="s">
        <v>59</v>
      </c>
      <c r="C19" s="4" t="s">
        <v>31</v>
      </c>
      <c r="D19" s="4">
        <v>-28.571428571428577</v>
      </c>
      <c r="E19" s="4">
        <v>0</v>
      </c>
      <c r="F19" s="4">
        <v>0</v>
      </c>
      <c r="G19" s="4">
        <v>1E+30</v>
      </c>
      <c r="H19" s="4">
        <v>28.571428571428573</v>
      </c>
    </row>
    <row r="20" spans="2:8" outlineLevel="1" x14ac:dyDescent="0.3">
      <c r="B20" s="4" t="s">
        <v>60</v>
      </c>
      <c r="C20" s="4" t="s">
        <v>31</v>
      </c>
      <c r="D20" s="4">
        <v>0</v>
      </c>
      <c r="E20" s="4">
        <v>1</v>
      </c>
      <c r="F20" s="4">
        <v>0</v>
      </c>
      <c r="G20" s="4">
        <v>120.00000000000003</v>
      </c>
      <c r="H20" s="4">
        <v>66.666666666666671</v>
      </c>
    </row>
    <row r="21" spans="2:8" outlineLevel="1" x14ac:dyDescent="0.3">
      <c r="B21" s="4" t="s">
        <v>61</v>
      </c>
      <c r="C21" s="4" t="s">
        <v>31</v>
      </c>
      <c r="D21" s="4">
        <v>0</v>
      </c>
      <c r="E21" s="4">
        <v>9</v>
      </c>
      <c r="F21" s="4">
        <v>0</v>
      </c>
      <c r="G21" s="4">
        <v>66.666666666666671</v>
      </c>
      <c r="H21" s="4">
        <v>120.00000000000003</v>
      </c>
    </row>
    <row r="22" spans="2:8" ht="15" outlineLevel="1" thickBot="1" x14ac:dyDescent="0.35">
      <c r="B22" s="5" t="s">
        <v>62</v>
      </c>
      <c r="C22" s="5" t="s">
        <v>31</v>
      </c>
      <c r="D22" s="5">
        <v>40.000000000000007</v>
      </c>
      <c r="E22" s="5">
        <v>12</v>
      </c>
      <c r="F22" s="5">
        <v>40</v>
      </c>
      <c r="G22" s="5">
        <v>1E+30</v>
      </c>
      <c r="H22" s="5">
        <v>40</v>
      </c>
    </row>
    <row r="23" spans="2:8" x14ac:dyDescent="0.3">
      <c r="B23" s="3"/>
      <c r="C23" s="3"/>
      <c r="D23" s="3"/>
      <c r="E23" s="3"/>
      <c r="F23" s="3"/>
      <c r="G23" s="3"/>
      <c r="H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12"/>
  <sheetViews>
    <sheetView workbookViewId="0">
      <selection activeCell="B4" sqref="B4:J12"/>
    </sheetView>
  </sheetViews>
  <sheetFormatPr defaultRowHeight="14.4" x14ac:dyDescent="0.3"/>
  <sheetData>
    <row r="4" spans="2:10" x14ac:dyDescent="0.3">
      <c r="D4" t="s">
        <v>26</v>
      </c>
      <c r="E4" t="s">
        <v>27</v>
      </c>
      <c r="F4" t="s">
        <v>28</v>
      </c>
    </row>
    <row r="5" spans="2:10" x14ac:dyDescent="0.3">
      <c r="C5" t="s">
        <v>29</v>
      </c>
      <c r="D5">
        <v>68.571428571428584</v>
      </c>
      <c r="E5">
        <v>22.857142857142861</v>
      </c>
      <c r="F5">
        <v>17.142857142857146</v>
      </c>
    </row>
    <row r="7" spans="2:10" x14ac:dyDescent="0.3">
      <c r="C7" t="s">
        <v>30</v>
      </c>
      <c r="D7">
        <v>10</v>
      </c>
      <c r="E7">
        <v>-15</v>
      </c>
      <c r="F7">
        <v>8</v>
      </c>
      <c r="G7" s="1" t="s">
        <v>31</v>
      </c>
      <c r="H7">
        <f>SUMPRODUCT(D7:F7,$D$5:$F$5)</f>
        <v>480.00000000000006</v>
      </c>
    </row>
    <row r="9" spans="2:10" x14ac:dyDescent="0.3">
      <c r="B9" t="s">
        <v>32</v>
      </c>
      <c r="D9">
        <v>0</v>
      </c>
      <c r="E9">
        <v>-2</v>
      </c>
      <c r="F9">
        <v>1</v>
      </c>
      <c r="G9" s="1" t="s">
        <v>31</v>
      </c>
      <c r="H9">
        <f t="shared" ref="H9:H12" si="0">SUMPRODUCT(D9:F9,$D$5:$F$5)</f>
        <v>-28.571428571428577</v>
      </c>
      <c r="I9" t="s">
        <v>33</v>
      </c>
      <c r="J9">
        <v>0</v>
      </c>
    </row>
    <row r="10" spans="2:10" x14ac:dyDescent="0.3">
      <c r="D10">
        <v>1</v>
      </c>
      <c r="E10">
        <v>0</v>
      </c>
      <c r="F10">
        <v>-4</v>
      </c>
      <c r="G10" s="1" t="s">
        <v>31</v>
      </c>
      <c r="H10">
        <f t="shared" si="0"/>
        <v>0</v>
      </c>
      <c r="I10" t="s">
        <v>33</v>
      </c>
      <c r="J10">
        <v>0</v>
      </c>
    </row>
    <row r="11" spans="2:10" x14ac:dyDescent="0.3">
      <c r="D11">
        <v>1</v>
      </c>
      <c r="E11">
        <v>-3</v>
      </c>
      <c r="F11">
        <v>0</v>
      </c>
      <c r="G11" s="1" t="s">
        <v>31</v>
      </c>
      <c r="H11">
        <f t="shared" si="0"/>
        <v>0</v>
      </c>
      <c r="I11" t="s">
        <v>33</v>
      </c>
      <c r="J11">
        <v>0</v>
      </c>
    </row>
    <row r="12" spans="2:10" x14ac:dyDescent="0.3">
      <c r="D12">
        <v>0</v>
      </c>
      <c r="E12">
        <v>1</v>
      </c>
      <c r="F12">
        <v>1</v>
      </c>
      <c r="G12" s="1" t="s">
        <v>31</v>
      </c>
      <c r="H12">
        <f t="shared" si="0"/>
        <v>40.000000000000007</v>
      </c>
      <c r="I12" t="s">
        <v>33</v>
      </c>
      <c r="J12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6:R15"/>
  <sheetViews>
    <sheetView topLeftCell="F1" workbookViewId="0">
      <selection activeCell="S11" sqref="S11"/>
    </sheetView>
  </sheetViews>
  <sheetFormatPr defaultRowHeight="14.4" x14ac:dyDescent="0.3"/>
  <sheetData>
    <row r="6" spans="8:18" x14ac:dyDescent="0.3">
      <c r="H6" t="s">
        <v>0</v>
      </c>
      <c r="N6" t="s">
        <v>1</v>
      </c>
    </row>
    <row r="7" spans="8:18" x14ac:dyDescent="0.3">
      <c r="Q7" t="s">
        <v>2</v>
      </c>
      <c r="R7" t="s">
        <v>3</v>
      </c>
    </row>
    <row r="8" spans="8:18" x14ac:dyDescent="0.3">
      <c r="I8">
        <v>10</v>
      </c>
      <c r="J8">
        <v>5</v>
      </c>
      <c r="K8">
        <v>11</v>
      </c>
      <c r="N8">
        <v>0</v>
      </c>
      <c r="O8">
        <v>300</v>
      </c>
      <c r="P8">
        <v>0</v>
      </c>
      <c r="Q8">
        <f>SUM(N8:P8)</f>
        <v>300</v>
      </c>
      <c r="R8">
        <v>300</v>
      </c>
    </row>
    <row r="9" spans="8:18" x14ac:dyDescent="0.3">
      <c r="I9">
        <v>14</v>
      </c>
      <c r="J9">
        <v>5</v>
      </c>
      <c r="K9">
        <v>8</v>
      </c>
      <c r="N9">
        <v>0</v>
      </c>
      <c r="O9">
        <v>400</v>
      </c>
      <c r="P9">
        <v>0</v>
      </c>
      <c r="Q9">
        <f t="shared" ref="Q9:Q11" si="0">SUM(N9:P9)</f>
        <v>400</v>
      </c>
      <c r="R9">
        <v>400</v>
      </c>
    </row>
    <row r="10" spans="8:18" x14ac:dyDescent="0.3">
      <c r="I10">
        <v>14</v>
      </c>
      <c r="J10">
        <v>11</v>
      </c>
      <c r="K10">
        <v>6</v>
      </c>
      <c r="N10">
        <v>0</v>
      </c>
      <c r="O10">
        <v>0</v>
      </c>
      <c r="P10">
        <v>500</v>
      </c>
      <c r="Q10">
        <f t="shared" si="0"/>
        <v>500</v>
      </c>
      <c r="R10">
        <v>500</v>
      </c>
    </row>
    <row r="11" spans="8:18" x14ac:dyDescent="0.3">
      <c r="I11">
        <v>11</v>
      </c>
      <c r="J11">
        <v>10</v>
      </c>
      <c r="K11">
        <v>13</v>
      </c>
      <c r="N11">
        <v>200</v>
      </c>
      <c r="O11">
        <v>200</v>
      </c>
      <c r="P11">
        <v>0</v>
      </c>
      <c r="Q11">
        <f t="shared" si="0"/>
        <v>400</v>
      </c>
      <c r="R11">
        <v>400</v>
      </c>
    </row>
    <row r="12" spans="8:18" x14ac:dyDescent="0.3">
      <c r="M12" t="s">
        <v>4</v>
      </c>
      <c r="N12">
        <f>SUM(N8:N11)</f>
        <v>200</v>
      </c>
      <c r="O12">
        <f t="shared" ref="O12:P12" si="1">SUM(O8:O11)</f>
        <v>900</v>
      </c>
      <c r="P12">
        <f t="shared" si="1"/>
        <v>500</v>
      </c>
    </row>
    <row r="13" spans="8:18" x14ac:dyDescent="0.3">
      <c r="M13" t="s">
        <v>5</v>
      </c>
      <c r="N13">
        <v>800</v>
      </c>
      <c r="O13">
        <v>900</v>
      </c>
      <c r="P13">
        <v>1000</v>
      </c>
    </row>
    <row r="15" spans="8:18" x14ac:dyDescent="0.3">
      <c r="K15" t="s">
        <v>6</v>
      </c>
      <c r="M15">
        <f>SUMPRODUCT(I8:K11,N8:P11)</f>
        <v>10700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16"/>
  <sheetViews>
    <sheetView workbookViewId="0">
      <selection activeCell="J12" sqref="J12"/>
    </sheetView>
  </sheetViews>
  <sheetFormatPr defaultRowHeight="14.4" x14ac:dyDescent="0.3"/>
  <sheetData>
    <row r="4" spans="1:18" x14ac:dyDescent="0.3">
      <c r="B4" t="s">
        <v>7</v>
      </c>
      <c r="J4" t="s">
        <v>8</v>
      </c>
    </row>
    <row r="5" spans="1:18" x14ac:dyDescent="0.3"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R5" t="s">
        <v>16</v>
      </c>
    </row>
    <row r="6" spans="1:18" x14ac:dyDescent="0.3">
      <c r="A6" t="s">
        <v>17</v>
      </c>
      <c r="B6">
        <v>62</v>
      </c>
      <c r="C6">
        <v>84</v>
      </c>
      <c r="D6">
        <v>100</v>
      </c>
      <c r="E6">
        <v>85</v>
      </c>
      <c r="F6">
        <v>51</v>
      </c>
      <c r="G6">
        <v>80</v>
      </c>
      <c r="H6">
        <v>90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R6">
        <f>SUM(J6:P6)</f>
        <v>1</v>
      </c>
    </row>
    <row r="7" spans="1:18" x14ac:dyDescent="0.3">
      <c r="A7" t="s">
        <v>18</v>
      </c>
      <c r="B7">
        <v>76</v>
      </c>
      <c r="C7">
        <v>59</v>
      </c>
      <c r="D7">
        <v>51</v>
      </c>
      <c r="E7">
        <v>75</v>
      </c>
      <c r="F7">
        <v>63</v>
      </c>
      <c r="G7">
        <v>59</v>
      </c>
      <c r="H7">
        <v>77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R7">
        <f t="shared" ref="R7:R12" si="0">SUM(J7:P7)</f>
        <v>1</v>
      </c>
    </row>
    <row r="8" spans="1:18" x14ac:dyDescent="0.3">
      <c r="A8" t="s">
        <v>19</v>
      </c>
      <c r="B8">
        <v>93</v>
      </c>
      <c r="C8">
        <v>58</v>
      </c>
      <c r="D8">
        <v>66</v>
      </c>
      <c r="E8">
        <v>96</v>
      </c>
      <c r="F8">
        <v>82</v>
      </c>
      <c r="G8">
        <v>95</v>
      </c>
      <c r="H8">
        <v>100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R8">
        <f t="shared" si="0"/>
        <v>1</v>
      </c>
    </row>
    <row r="9" spans="1:18" x14ac:dyDescent="0.3">
      <c r="A9" t="s">
        <v>20</v>
      </c>
      <c r="B9">
        <v>56</v>
      </c>
      <c r="C9">
        <v>61</v>
      </c>
      <c r="D9">
        <v>110</v>
      </c>
      <c r="E9">
        <v>88</v>
      </c>
      <c r="F9">
        <v>81</v>
      </c>
      <c r="G9">
        <v>87</v>
      </c>
      <c r="H9">
        <v>88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f t="shared" si="0"/>
        <v>1</v>
      </c>
    </row>
    <row r="10" spans="1:18" x14ac:dyDescent="0.3">
      <c r="A10" t="s">
        <v>21</v>
      </c>
      <c r="B10">
        <v>74</v>
      </c>
      <c r="C10">
        <v>82</v>
      </c>
      <c r="D10">
        <v>75</v>
      </c>
      <c r="E10">
        <v>55</v>
      </c>
      <c r="F10">
        <v>86</v>
      </c>
      <c r="G10">
        <v>71</v>
      </c>
      <c r="H10">
        <v>91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R10">
        <f t="shared" si="0"/>
        <v>1</v>
      </c>
    </row>
    <row r="11" spans="1:18" x14ac:dyDescent="0.3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R11">
        <f t="shared" si="0"/>
        <v>1</v>
      </c>
    </row>
    <row r="12" spans="1:18" x14ac:dyDescent="0.3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R12">
        <f t="shared" si="0"/>
        <v>1</v>
      </c>
    </row>
    <row r="14" spans="1:18" x14ac:dyDescent="0.3">
      <c r="I14" t="s">
        <v>24</v>
      </c>
      <c r="J14">
        <f>SUM(J6:J12)</f>
        <v>1</v>
      </c>
      <c r="K14">
        <f t="shared" ref="K14:P14" si="1">SUM(K6:K12)</f>
        <v>1</v>
      </c>
      <c r="L14">
        <f t="shared" si="1"/>
        <v>1</v>
      </c>
      <c r="M14">
        <f t="shared" si="1"/>
        <v>1</v>
      </c>
      <c r="N14">
        <f t="shared" si="1"/>
        <v>1</v>
      </c>
      <c r="O14">
        <f t="shared" si="1"/>
        <v>1</v>
      </c>
      <c r="P14">
        <f t="shared" si="1"/>
        <v>1</v>
      </c>
    </row>
    <row r="16" spans="1:18" x14ac:dyDescent="0.3">
      <c r="G16" t="s">
        <v>25</v>
      </c>
      <c r="H16">
        <f>SUMPRODUCT(B6:H12,J6:P12)</f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15"/>
  <sheetViews>
    <sheetView workbookViewId="0">
      <selection activeCell="Q8" sqref="Q8"/>
    </sheetView>
  </sheetViews>
  <sheetFormatPr defaultRowHeight="14.4" x14ac:dyDescent="0.3"/>
  <sheetData>
    <row r="4" spans="2:18" x14ac:dyDescent="0.3">
      <c r="C4" t="s">
        <v>7</v>
      </c>
      <c r="L4" t="s">
        <v>8</v>
      </c>
    </row>
    <row r="5" spans="2:18" x14ac:dyDescent="0.3"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R5" t="s">
        <v>74</v>
      </c>
    </row>
    <row r="6" spans="2:18" x14ac:dyDescent="0.3">
      <c r="B6">
        <v>1</v>
      </c>
      <c r="C6">
        <v>42</v>
      </c>
      <c r="D6">
        <v>69</v>
      </c>
      <c r="E6">
        <v>66</v>
      </c>
      <c r="F6">
        <v>61</v>
      </c>
      <c r="G6">
        <v>53</v>
      </c>
      <c r="H6">
        <v>69</v>
      </c>
      <c r="L6" s="10">
        <v>4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f>SUM(L6:Q6)</f>
        <v>4</v>
      </c>
    </row>
    <row r="7" spans="2:18" x14ac:dyDescent="0.3">
      <c r="B7">
        <v>2</v>
      </c>
      <c r="C7">
        <v>66</v>
      </c>
      <c r="D7">
        <v>68</v>
      </c>
      <c r="E7">
        <v>44</v>
      </c>
      <c r="F7">
        <v>66</v>
      </c>
      <c r="G7">
        <v>64</v>
      </c>
      <c r="H7">
        <v>64</v>
      </c>
      <c r="L7" s="10">
        <v>0</v>
      </c>
      <c r="M7" s="10">
        <v>0</v>
      </c>
      <c r="N7" s="10">
        <v>4</v>
      </c>
      <c r="O7" s="10">
        <v>0</v>
      </c>
      <c r="P7" s="10">
        <v>0</v>
      </c>
      <c r="Q7" s="10">
        <v>0</v>
      </c>
      <c r="R7" s="10">
        <f t="shared" ref="R7:R10" si="0">SUM(L7:Q7)</f>
        <v>4</v>
      </c>
    </row>
    <row r="8" spans="2:18" x14ac:dyDescent="0.3">
      <c r="B8">
        <v>3</v>
      </c>
      <c r="C8">
        <v>53</v>
      </c>
      <c r="D8">
        <v>62</v>
      </c>
      <c r="E8">
        <v>51</v>
      </c>
      <c r="F8">
        <v>68</v>
      </c>
      <c r="G8">
        <v>64</v>
      </c>
      <c r="H8">
        <v>46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4</v>
      </c>
      <c r="R8" s="10">
        <f t="shared" si="0"/>
        <v>4</v>
      </c>
    </row>
    <row r="9" spans="2:18" x14ac:dyDescent="0.3">
      <c r="B9">
        <v>4</v>
      </c>
      <c r="C9">
        <v>69</v>
      </c>
      <c r="D9">
        <v>43</v>
      </c>
      <c r="E9">
        <v>65</v>
      </c>
      <c r="F9">
        <v>49</v>
      </c>
      <c r="G9">
        <v>41</v>
      </c>
      <c r="H9">
        <v>47</v>
      </c>
      <c r="L9" s="10">
        <v>0</v>
      </c>
      <c r="M9" s="10">
        <v>4</v>
      </c>
      <c r="N9" s="10">
        <v>0</v>
      </c>
      <c r="O9" s="10">
        <v>2</v>
      </c>
      <c r="P9" s="10">
        <v>0</v>
      </c>
      <c r="Q9" s="10">
        <v>0</v>
      </c>
      <c r="R9" s="10">
        <f t="shared" si="0"/>
        <v>6</v>
      </c>
    </row>
    <row r="10" spans="2:18" x14ac:dyDescent="0.3">
      <c r="B10">
        <v>5</v>
      </c>
      <c r="C10">
        <v>59</v>
      </c>
      <c r="D10">
        <v>57</v>
      </c>
      <c r="E10">
        <v>61</v>
      </c>
      <c r="F10">
        <v>61</v>
      </c>
      <c r="G10">
        <v>51</v>
      </c>
      <c r="H10">
        <v>48</v>
      </c>
      <c r="L10" s="10">
        <v>0</v>
      </c>
      <c r="M10" s="10">
        <v>0</v>
      </c>
      <c r="N10" s="10">
        <v>0</v>
      </c>
      <c r="O10" s="10">
        <v>2</v>
      </c>
      <c r="P10" s="10">
        <v>4</v>
      </c>
      <c r="Q10" s="10">
        <v>0</v>
      </c>
      <c r="R10" s="10">
        <f t="shared" si="0"/>
        <v>6</v>
      </c>
    </row>
    <row r="11" spans="2:18" x14ac:dyDescent="0.3">
      <c r="K11" t="s">
        <v>73</v>
      </c>
      <c r="L11" s="10">
        <f t="shared" ref="L11:Q11" si="1">SUM(L6:L10)</f>
        <v>4</v>
      </c>
      <c r="M11" s="10">
        <f t="shared" si="1"/>
        <v>4</v>
      </c>
      <c r="N11" s="10">
        <f t="shared" si="1"/>
        <v>4</v>
      </c>
      <c r="O11" s="10">
        <f t="shared" si="1"/>
        <v>4</v>
      </c>
      <c r="P11" s="10">
        <f t="shared" si="1"/>
        <v>4</v>
      </c>
      <c r="Q11" s="10">
        <f t="shared" si="1"/>
        <v>4</v>
      </c>
      <c r="R11" s="10"/>
    </row>
    <row r="15" spans="2:18" x14ac:dyDescent="0.3">
      <c r="F15" t="s">
        <v>75</v>
      </c>
      <c r="G15">
        <f>SUMPRODUCT(C6:H10,L6:Q10)</f>
        <v>1124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22"/>
  <sheetViews>
    <sheetView tabSelected="1" workbookViewId="0">
      <selection activeCell="G14" sqref="G14"/>
    </sheetView>
  </sheetViews>
  <sheetFormatPr defaultRowHeight="14.4" x14ac:dyDescent="0.3"/>
  <cols>
    <col min="2" max="2" width="30.5546875" bestFit="1" customWidth="1"/>
  </cols>
  <sheetData>
    <row r="4" spans="2:6" x14ac:dyDescent="0.3">
      <c r="B4" t="s">
        <v>77</v>
      </c>
      <c r="F4">
        <v>15407</v>
      </c>
    </row>
    <row r="5" spans="2:6" x14ac:dyDescent="0.3">
      <c r="B5" t="s">
        <v>76</v>
      </c>
      <c r="F5">
        <f>_xlfn.NORM.DIST(F4,10000,4000,1)</f>
        <v>0.91177234796096696</v>
      </c>
    </row>
    <row r="6" spans="2:6" x14ac:dyDescent="0.3">
      <c r="B6" s="2"/>
    </row>
    <row r="7" spans="2:6" x14ac:dyDescent="0.3">
      <c r="B7" t="s">
        <v>80</v>
      </c>
      <c r="F7">
        <f xml:space="preserve"> F4</f>
        <v>15407</v>
      </c>
    </row>
    <row r="8" spans="2:6" x14ac:dyDescent="0.3">
      <c r="B8" t="s">
        <v>81</v>
      </c>
      <c r="F8">
        <f xml:space="preserve"> F4</f>
        <v>15407</v>
      </c>
    </row>
    <row r="9" spans="2:6" x14ac:dyDescent="0.3">
      <c r="B9" t="s">
        <v>82</v>
      </c>
      <c r="F9">
        <f>F5 * F7 + ( 1 - F5) * F8</f>
        <v>15407</v>
      </c>
    </row>
    <row r="10" spans="2:6" x14ac:dyDescent="0.3">
      <c r="B10" t="s">
        <v>78</v>
      </c>
      <c r="F10">
        <v>50</v>
      </c>
    </row>
    <row r="11" spans="2:6" x14ac:dyDescent="0.3">
      <c r="B11" t="s">
        <v>84</v>
      </c>
      <c r="F11">
        <v>100</v>
      </c>
    </row>
    <row r="12" spans="2:6" x14ac:dyDescent="0.3">
      <c r="B12" t="s">
        <v>79</v>
      </c>
      <c r="F12">
        <f>1500 - 10 * F11</f>
        <v>500</v>
      </c>
    </row>
    <row r="14" spans="2:6" x14ac:dyDescent="0.3">
      <c r="B14" t="s">
        <v>101</v>
      </c>
      <c r="F14">
        <f xml:space="preserve"> F12 * F11</f>
        <v>50000</v>
      </c>
    </row>
    <row r="15" spans="2:6" x14ac:dyDescent="0.3">
      <c r="B15" t="s">
        <v>102</v>
      </c>
      <c r="F15">
        <f xml:space="preserve"> F4 * ( 1 - F5) + F5 * (F4 + F10 *F12)</f>
        <v>38201.308699024172</v>
      </c>
    </row>
    <row r="16" spans="2:6" ht="19.2" customHeight="1" x14ac:dyDescent="0.3">
      <c r="B16" t="s">
        <v>98</v>
      </c>
    </row>
    <row r="17" spans="2:3" x14ac:dyDescent="0.3">
      <c r="B17" t="s">
        <v>99</v>
      </c>
    </row>
    <row r="18" spans="2:3" x14ac:dyDescent="0.3">
      <c r="B18" t="s">
        <v>83</v>
      </c>
      <c r="C18">
        <f>F14 - F15</f>
        <v>11798.691300975828</v>
      </c>
    </row>
    <row r="22" spans="2:3" x14ac:dyDescent="0.3">
      <c r="B2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2"/>
  <sheetViews>
    <sheetView workbookViewId="0">
      <selection activeCell="C16" sqref="C16"/>
    </sheetView>
  </sheetViews>
  <sheetFormatPr defaultRowHeight="14.4" x14ac:dyDescent="0.3"/>
  <cols>
    <col min="2" max="2" width="23.6640625" bestFit="1" customWidth="1"/>
    <col min="3" max="3" width="9.6640625" bestFit="1" customWidth="1"/>
  </cols>
  <sheetData>
    <row r="3" spans="2:8" x14ac:dyDescent="0.3">
      <c r="B3" t="s">
        <v>85</v>
      </c>
      <c r="C3">
        <v>590.3562959937168</v>
      </c>
      <c r="D3" t="s">
        <v>33</v>
      </c>
      <c r="E3">
        <f xml:space="preserve"> 2.5 * C7</f>
        <v>750</v>
      </c>
      <c r="F3">
        <f>5000/6</f>
        <v>833.33333333333337</v>
      </c>
      <c r="G3" t="s">
        <v>96</v>
      </c>
      <c r="H3">
        <v>0</v>
      </c>
    </row>
    <row r="4" spans="2:8" x14ac:dyDescent="0.3">
      <c r="B4" t="s">
        <v>86</v>
      </c>
      <c r="C4">
        <v>296.80956980572307</v>
      </c>
      <c r="D4" t="s">
        <v>33</v>
      </c>
      <c r="E4">
        <f t="shared" ref="E4:E5" si="0" xml:space="preserve"> 2.5 * C8</f>
        <v>625</v>
      </c>
      <c r="G4" t="s">
        <v>96</v>
      </c>
      <c r="H4">
        <v>0</v>
      </c>
    </row>
    <row r="5" spans="2:8" x14ac:dyDescent="0.3">
      <c r="B5" t="s">
        <v>87</v>
      </c>
      <c r="C5">
        <v>898.25284594984782</v>
      </c>
      <c r="D5" t="s">
        <v>33</v>
      </c>
      <c r="E5">
        <f t="shared" si="0"/>
        <v>1000</v>
      </c>
      <c r="F5">
        <f>2000 / 1.5</f>
        <v>1333.3333333333333</v>
      </c>
      <c r="G5" t="s">
        <v>96</v>
      </c>
      <c r="H5">
        <v>0</v>
      </c>
    </row>
    <row r="7" spans="2:8" x14ac:dyDescent="0.3">
      <c r="B7" t="s">
        <v>88</v>
      </c>
      <c r="C7">
        <v>300</v>
      </c>
    </row>
    <row r="8" spans="2:8" x14ac:dyDescent="0.3">
      <c r="B8" t="s">
        <v>89</v>
      </c>
      <c r="C8">
        <v>250</v>
      </c>
    </row>
    <row r="9" spans="2:8" x14ac:dyDescent="0.3">
      <c r="B9" t="s">
        <v>90</v>
      </c>
      <c r="C9">
        <v>400</v>
      </c>
    </row>
    <row r="11" spans="2:8" x14ac:dyDescent="0.3">
      <c r="B11" t="s">
        <v>91</v>
      </c>
      <c r="C11">
        <f>5000 - 6  *C3</f>
        <v>1457.862224037699</v>
      </c>
      <c r="D11" t="s">
        <v>65</v>
      </c>
      <c r="E11">
        <v>200</v>
      </c>
    </row>
    <row r="12" spans="2:8" x14ac:dyDescent="0.3">
      <c r="B12" t="s">
        <v>93</v>
      </c>
      <c r="C12">
        <f xml:space="preserve"> 45000 + 156 * C4 - C4 ^ 2</f>
        <v>3206.3721614343958</v>
      </c>
      <c r="D12" t="s">
        <v>65</v>
      </c>
      <c r="E12">
        <v>200</v>
      </c>
    </row>
    <row r="13" spans="2:8" x14ac:dyDescent="0.3">
      <c r="B13" t="s">
        <v>92</v>
      </c>
      <c r="C13">
        <f xml:space="preserve"> 2000 - 1.5 * C5</f>
        <v>652.62073107522838</v>
      </c>
      <c r="D13" t="s">
        <v>96</v>
      </c>
      <c r="E13">
        <v>200</v>
      </c>
    </row>
    <row r="15" spans="2:8" x14ac:dyDescent="0.3">
      <c r="B15" t="s">
        <v>94</v>
      </c>
      <c r="C15">
        <f xml:space="preserve"> SUMPRODUCT(C7:C9,C11:C13)</f>
        <v>1500000</v>
      </c>
      <c r="D15" t="s">
        <v>33</v>
      </c>
      <c r="E15">
        <v>1500000</v>
      </c>
    </row>
    <row r="16" spans="2:8" x14ac:dyDescent="0.3">
      <c r="B16" t="s">
        <v>95</v>
      </c>
      <c r="C16">
        <f>SUMPRODUCT(C3:C5,C11:C13)</f>
        <v>2398558.5135386419</v>
      </c>
    </row>
    <row r="18" spans="2:3" x14ac:dyDescent="0.3">
      <c r="B18" t="s">
        <v>83</v>
      </c>
      <c r="C18">
        <f>C16-C15</f>
        <v>898558.51353864186</v>
      </c>
    </row>
    <row r="20" spans="2:3" x14ac:dyDescent="0.3">
      <c r="B20" t="s">
        <v>97</v>
      </c>
    </row>
    <row r="21" spans="2:3" x14ac:dyDescent="0.3">
      <c r="B21" t="s">
        <v>68</v>
      </c>
    </row>
    <row r="22" spans="2:3" x14ac:dyDescent="0.3">
      <c r="B2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Sensitivity Report 1</vt:lpstr>
      <vt:lpstr>Q1</vt:lpstr>
      <vt:lpstr>Q2</vt:lpstr>
      <vt:lpstr>Q3</vt:lpstr>
      <vt:lpstr>EndSem Q2</vt:lpstr>
      <vt:lpstr>Endsem q3</vt:lpstr>
      <vt:lpstr>Endsem Q1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2019-11-26T05:36:19Z</dcterms:modified>
</cp:coreProperties>
</file>