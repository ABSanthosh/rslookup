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972" activeTab="1"/>
  </bookViews>
  <sheets>
    <sheet name="Sheet1" sheetId="1" r:id="rId1"/>
    <sheet name="Sensitivity Report 1" sheetId="3" r:id="rId2"/>
    <sheet name="Sheet2" sheetId="2" r:id="rId3"/>
  </sheets>
  <definedNames>
    <definedName name="solver_adj" localSheetId="2" hidden="1">Sheet2!$C$4:$E$4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Sheet2!$G$10</definedName>
    <definedName name="solver_lhs2" localSheetId="2" hidden="1">Sheet2!$G$11</definedName>
    <definedName name="solver_lhs3" localSheetId="2" hidden="1">Sheet2!$G$12</definedName>
    <definedName name="solver_lhs4" localSheetId="2" hidden="1">Sheet2!$G$9</definedName>
    <definedName name="solver_lhs5" localSheetId="2" hidden="1">Sheet2!$G$9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Sheet2!$G$5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hs1" localSheetId="2" hidden="1">Sheet2!$I$10</definedName>
    <definedName name="solver_rhs2" localSheetId="2" hidden="1">Sheet2!$I$11</definedName>
    <definedName name="solver_rhs3" localSheetId="2" hidden="1">Sheet2!$I$12</definedName>
    <definedName name="solver_rhs4" localSheetId="2" hidden="1">Sheet2!$I$9</definedName>
    <definedName name="solver_rhs5" localSheetId="2" hidden="1">Sheet2!$I$9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52511" calcMode="manual"/>
</workbook>
</file>

<file path=xl/calcChain.xml><?xml version="1.0" encoding="utf-8"?>
<calcChain xmlns="http://schemas.openxmlformats.org/spreadsheetml/2006/main">
  <c r="C19" i="3" l="1"/>
  <c r="C18" i="3"/>
  <c r="C17" i="3"/>
  <c r="C16" i="3"/>
  <c r="G5" i="2"/>
  <c r="G10" i="2"/>
  <c r="G11" i="2"/>
  <c r="G12" i="2"/>
  <c r="G9" i="2"/>
  <c r="G29" i="1" l="1"/>
  <c r="F29" i="1"/>
  <c r="H31" i="1"/>
  <c r="G31" i="1"/>
  <c r="F31" i="1"/>
  <c r="H30" i="1"/>
  <c r="F30" i="1"/>
  <c r="H21" i="1"/>
  <c r="F21" i="1"/>
  <c r="H19" i="1"/>
  <c r="F19" i="1"/>
</calcChain>
</file>

<file path=xl/sharedStrings.xml><?xml version="1.0" encoding="utf-8"?>
<sst xmlns="http://schemas.openxmlformats.org/spreadsheetml/2006/main" count="119" uniqueCount="76">
  <si>
    <t>P=3x+5y</t>
  </si>
  <si>
    <t>x&lt;=4</t>
  </si>
  <si>
    <t>2y&lt;=12</t>
  </si>
  <si>
    <t>3x+2y&lt;=18</t>
  </si>
  <si>
    <t>x,y&gt;=0</t>
  </si>
  <si>
    <t>=&gt;</t>
  </si>
  <si>
    <t>P-3x-5y =0</t>
  </si>
  <si>
    <t>x+a=4</t>
  </si>
  <si>
    <t>2y+b=12</t>
  </si>
  <si>
    <t>3x+2y+c=18</t>
  </si>
  <si>
    <t>Simplex Table</t>
  </si>
  <si>
    <t>P</t>
  </si>
  <si>
    <t>x</t>
  </si>
  <si>
    <t>y</t>
  </si>
  <si>
    <t>a</t>
  </si>
  <si>
    <t>b</t>
  </si>
  <si>
    <t>c</t>
  </si>
  <si>
    <t>RHS</t>
  </si>
  <si>
    <t>Basic Var</t>
  </si>
  <si>
    <r>
      <t>NBV:</t>
    </r>
    <r>
      <rPr>
        <sz val="11"/>
        <color theme="1"/>
        <rFont val="Calibri"/>
        <family val="2"/>
        <scheme val="minor"/>
      </rPr>
      <t xml:space="preserve"> x, y</t>
    </r>
  </si>
  <si>
    <t>RHS/y</t>
  </si>
  <si>
    <t>Infinity</t>
  </si>
  <si>
    <t>Entering BV: y (Top row coeff. of -5 which is lowest negative)</t>
  </si>
  <si>
    <t>Leaving BV: b (RHS/y-coefficient ratio of 6, which is lowest positive)</t>
  </si>
  <si>
    <t>To turn y into a BV, its coefficient needs to be 1 in its row, and zero otherwise.</t>
  </si>
  <si>
    <t>Row 1 -&gt; Row 1 + (5/2)*Row 3; Row 4 -&gt; Row 4 - Row 3; Row 3 -&gt; 0.5*Row 3</t>
  </si>
  <si>
    <t>Next table: NBVs are x, b</t>
  </si>
  <si>
    <t>Entering BV: x (Top row coeff. of -3)</t>
  </si>
  <si>
    <t>RHS/x</t>
  </si>
  <si>
    <t>Leaving BV: c (ratio of 2)</t>
  </si>
  <si>
    <t>Row 1-&gt; Row 1 + Row 4; Row 4 -&gt; (1/3)*Row 4; Row 2 -&gt; Row 2 - Row 4</t>
  </si>
  <si>
    <t>Next table: NBVs are b, c</t>
  </si>
  <si>
    <t>NBV coefficients in top row are non-negative, optimality condition reached</t>
  </si>
  <si>
    <t>P =</t>
  </si>
  <si>
    <t>x=</t>
  </si>
  <si>
    <t>y=</t>
  </si>
  <si>
    <t>a=</t>
  </si>
  <si>
    <t>Decision Variable</t>
  </si>
  <si>
    <t>Contribution</t>
  </si>
  <si>
    <t>z</t>
  </si>
  <si>
    <t xml:space="preserve">CONSTRAINTS </t>
  </si>
  <si>
    <t>=</t>
  </si>
  <si>
    <t>SUMPRODUCT</t>
  </si>
  <si>
    <t xml:space="preserve">&lt;= </t>
  </si>
  <si>
    <t>&lt;=</t>
  </si>
  <si>
    <t>(Target Cell)</t>
  </si>
  <si>
    <t>Microsoft Excel 15.0 Sensitivity Report</t>
  </si>
  <si>
    <t>Worksheet: [CCC831 2019 Session 1.xlsx]Sheet2</t>
  </si>
  <si>
    <t>Report Created: 23-10-2019 20:12:57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</si>
  <si>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</si>
  <si>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</si>
  <si>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</si>
  <si>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</si>
  <si>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</si>
  <si>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</si>
  <si>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</si>
  <si>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</si>
  <si>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</si>
  <si>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</si>
  <si>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</si>
  <si>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</si>
  <si>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</si>
  <si>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</si>
  <si>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</si>
  <si>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</si>
  <si>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</si>
  <si>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$C$4</t>
  </si>
  <si>
    <t>Decision Variable x</t>
  </si>
  <si>
    <t>$D$4</t>
  </si>
  <si>
    <t>Decision Variable y</t>
  </si>
  <si>
    <t>$E$4</t>
  </si>
  <si>
    <t>Decision Variable z</t>
  </si>
  <si>
    <t>$G$10</t>
  </si>
  <si>
    <t>$G$11</t>
  </si>
  <si>
    <t>$G$12</t>
  </si>
  <si>
    <t>$G$9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</si>
</sst>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quotePrefix="1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2" borderId="0" xfId="0" applyFont="1" applyFill="1"/>
    <xf numFmtId="0" fontId="0" fillId="0" borderId="1" xfId="0" applyFill="1" applyBorder="1"/>
    <xf numFmtId="0" fontId="0" fillId="0" borderId="0" xfId="0" applyFill="1"/>
    <xf numFmtId="0" fontId="3" fillId="0" borderId="0" xfId="0" applyFont="1" applyFill="1"/>
    <xf numFmtId="0" fontId="0" fillId="0" borderId="0" xfId="0" applyNumberFormat="1"/>
    <xf numFmtId="0" fontId="2" fillId="0" borderId="0" xfId="0" applyNumberFormat="1" applyFont="1"/>
    <xf numFmtId="0" fontId="0" fillId="0" borderId="1" xfId="0" applyNumberFormat="1" applyBorder="1"/>
    <xf numFmtId="0" fontId="3" fillId="0" borderId="1" xfId="0" applyNumberFormat="1" applyFont="1" applyFill="1" applyBorder="1"/>
    <xf numFmtId="0" fontId="3" fillId="0" borderId="0" xfId="0" applyNumberFormat="1" applyFont="1" applyFill="1"/>
    <xf numFmtId="0" fontId="1" fillId="0" borderId="0" xfId="0" applyFont="1"/>
    <xf numFmtId="0" fontId="0" fillId="0" borderId="0" xfId="0" quotePrefix="1"/>
    <xf numFmtId="0" fontId="0" fillId="0" borderId="4" xfId="0" applyFill="1" applyBorder="1" applyAlignment="1"/>
    <xf numFmtId="0" fontId="0" fillId="0" borderId="5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172" zoomScaleNormal="172" workbookViewId="0">
      <selection activeCell="F36" sqref="F36"/>
    </sheetView>
  </sheetViews>
  <sheetFormatPr defaultRowHeight="14.4" x14ac:dyDescent="0.3"/>
  <sheetData>
    <row r="1" spans="1:9" x14ac:dyDescent="0.3">
      <c r="A1" t="s">
        <v>0</v>
      </c>
      <c r="D1" t="s">
        <v>6</v>
      </c>
    </row>
    <row r="2" spans="1:9" x14ac:dyDescent="0.3">
      <c r="A2" t="s">
        <v>1</v>
      </c>
      <c r="D2" t="s">
        <v>7</v>
      </c>
    </row>
    <row r="3" spans="1:9" x14ac:dyDescent="0.3">
      <c r="A3" t="s">
        <v>2</v>
      </c>
      <c r="C3" s="1" t="s">
        <v>5</v>
      </c>
      <c r="D3" t="s">
        <v>8</v>
      </c>
    </row>
    <row r="4" spans="1:9" x14ac:dyDescent="0.3">
      <c r="A4" t="s">
        <v>3</v>
      </c>
      <c r="D4" t="s">
        <v>9</v>
      </c>
    </row>
    <row r="5" spans="1:9" x14ac:dyDescent="0.3">
      <c r="A5" t="s">
        <v>4</v>
      </c>
    </row>
    <row r="6" spans="1:9" x14ac:dyDescent="0.3">
      <c r="C6" s="2" t="s">
        <v>10</v>
      </c>
    </row>
    <row r="7" spans="1:9" x14ac:dyDescent="0.3"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20</v>
      </c>
    </row>
    <row r="8" spans="1:9" x14ac:dyDescent="0.3">
      <c r="A8" s="2" t="s">
        <v>18</v>
      </c>
      <c r="B8" s="3">
        <v>1</v>
      </c>
      <c r="C8" s="3">
        <v>-3</v>
      </c>
      <c r="D8" s="4">
        <v>-5</v>
      </c>
      <c r="E8" s="3">
        <v>0</v>
      </c>
      <c r="F8" s="3">
        <v>0</v>
      </c>
      <c r="G8" s="3">
        <v>0</v>
      </c>
      <c r="H8" s="3">
        <v>0</v>
      </c>
    </row>
    <row r="9" spans="1:9" x14ac:dyDescent="0.3">
      <c r="A9" t="s">
        <v>14</v>
      </c>
      <c r="B9">
        <v>0</v>
      </c>
      <c r="C9">
        <v>1</v>
      </c>
      <c r="D9" s="5">
        <v>0</v>
      </c>
      <c r="E9">
        <v>1</v>
      </c>
      <c r="F9">
        <v>0</v>
      </c>
      <c r="G9">
        <v>0</v>
      </c>
      <c r="H9">
        <v>4</v>
      </c>
      <c r="I9" t="s">
        <v>21</v>
      </c>
    </row>
    <row r="10" spans="1:9" x14ac:dyDescent="0.3">
      <c r="A10" t="s">
        <v>15</v>
      </c>
      <c r="B10">
        <v>0</v>
      </c>
      <c r="C10">
        <v>0</v>
      </c>
      <c r="D10" s="6">
        <v>2</v>
      </c>
      <c r="E10">
        <v>0</v>
      </c>
      <c r="F10">
        <v>1</v>
      </c>
      <c r="G10">
        <v>0</v>
      </c>
      <c r="H10">
        <v>12</v>
      </c>
      <c r="I10">
        <v>6</v>
      </c>
    </row>
    <row r="11" spans="1:9" x14ac:dyDescent="0.3">
      <c r="A11" t="s">
        <v>16</v>
      </c>
      <c r="B11">
        <v>0</v>
      </c>
      <c r="C11">
        <v>3</v>
      </c>
      <c r="D11" s="5">
        <v>2</v>
      </c>
      <c r="E11">
        <v>0</v>
      </c>
      <c r="F11">
        <v>0</v>
      </c>
      <c r="G11">
        <v>1</v>
      </c>
      <c r="H11">
        <v>18</v>
      </c>
      <c r="I11">
        <v>9</v>
      </c>
    </row>
    <row r="12" spans="1:9" x14ac:dyDescent="0.3">
      <c r="B12" s="2" t="s">
        <v>19</v>
      </c>
    </row>
    <row r="13" spans="1:9" x14ac:dyDescent="0.3">
      <c r="B13" t="s">
        <v>22</v>
      </c>
    </row>
    <row r="14" spans="1:9" x14ac:dyDescent="0.3">
      <c r="B14" t="s">
        <v>23</v>
      </c>
    </row>
    <row r="15" spans="1:9" x14ac:dyDescent="0.3">
      <c r="A15" t="s">
        <v>24</v>
      </c>
    </row>
    <row r="16" spans="1:9" x14ac:dyDescent="0.3">
      <c r="A16" t="s">
        <v>25</v>
      </c>
    </row>
    <row r="17" spans="1:9" x14ac:dyDescent="0.3">
      <c r="A17" t="s">
        <v>26</v>
      </c>
    </row>
    <row r="18" spans="1:9" x14ac:dyDescent="0.3"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28</v>
      </c>
    </row>
    <row r="19" spans="1:9" x14ac:dyDescent="0.3">
      <c r="A19" s="2" t="s">
        <v>18</v>
      </c>
      <c r="B19" s="3">
        <v>1</v>
      </c>
      <c r="C19" s="4">
        <v>-3</v>
      </c>
      <c r="D19" s="7">
        <v>0</v>
      </c>
      <c r="E19" s="3">
        <v>0</v>
      </c>
      <c r="F19" s="3">
        <f>5/2</f>
        <v>2.5</v>
      </c>
      <c r="G19" s="3">
        <v>0</v>
      </c>
      <c r="H19" s="3">
        <f>12*5/2</f>
        <v>30</v>
      </c>
    </row>
    <row r="20" spans="1:9" x14ac:dyDescent="0.3">
      <c r="A20" t="s">
        <v>14</v>
      </c>
      <c r="B20">
        <v>0</v>
      </c>
      <c r="C20" s="5">
        <v>1</v>
      </c>
      <c r="D20" s="8">
        <v>0</v>
      </c>
      <c r="E20">
        <v>1</v>
      </c>
      <c r="F20">
        <v>0</v>
      </c>
      <c r="G20">
        <v>0</v>
      </c>
      <c r="H20">
        <v>4</v>
      </c>
      <c r="I20">
        <v>4</v>
      </c>
    </row>
    <row r="21" spans="1:9" x14ac:dyDescent="0.3">
      <c r="A21" t="s">
        <v>13</v>
      </c>
      <c r="B21">
        <v>0</v>
      </c>
      <c r="C21" s="5">
        <v>0</v>
      </c>
      <c r="D21" s="9">
        <v>1</v>
      </c>
      <c r="E21">
        <v>0</v>
      </c>
      <c r="F21">
        <f>1/2</f>
        <v>0.5</v>
      </c>
      <c r="G21">
        <v>0</v>
      </c>
      <c r="H21">
        <f>12/2</f>
        <v>6</v>
      </c>
      <c r="I21" t="s">
        <v>21</v>
      </c>
    </row>
    <row r="22" spans="1:9" x14ac:dyDescent="0.3">
      <c r="A22" t="s">
        <v>16</v>
      </c>
      <c r="B22">
        <v>0</v>
      </c>
      <c r="C22" s="6">
        <v>3</v>
      </c>
      <c r="D22" s="8">
        <v>0</v>
      </c>
      <c r="E22">
        <v>0</v>
      </c>
      <c r="F22">
        <v>-1</v>
      </c>
      <c r="G22">
        <v>1</v>
      </c>
      <c r="H22">
        <v>6</v>
      </c>
      <c r="I22">
        <v>2</v>
      </c>
    </row>
    <row r="23" spans="1:9" x14ac:dyDescent="0.3">
      <c r="B23" t="s">
        <v>27</v>
      </c>
    </row>
    <row r="24" spans="1:9" x14ac:dyDescent="0.3">
      <c r="B24" t="s">
        <v>29</v>
      </c>
    </row>
    <row r="25" spans="1:9" x14ac:dyDescent="0.3">
      <c r="A25" t="s">
        <v>30</v>
      </c>
    </row>
    <row r="26" spans="1:9" x14ac:dyDescent="0.3">
      <c r="A26" t="s">
        <v>31</v>
      </c>
    </row>
    <row r="27" spans="1:9" x14ac:dyDescent="0.3">
      <c r="A27" s="10"/>
      <c r="B27" s="10" t="s">
        <v>11</v>
      </c>
      <c r="C27" s="10" t="s">
        <v>12</v>
      </c>
      <c r="D27" s="10" t="s">
        <v>13</v>
      </c>
      <c r="E27" s="10" t="s">
        <v>14</v>
      </c>
      <c r="F27" s="10" t="s">
        <v>15</v>
      </c>
      <c r="G27" s="10" t="s">
        <v>16</v>
      </c>
      <c r="H27" s="10" t="s">
        <v>17</v>
      </c>
      <c r="I27" s="10"/>
    </row>
    <row r="28" spans="1:9" x14ac:dyDescent="0.3">
      <c r="A28" s="11" t="s">
        <v>18</v>
      </c>
      <c r="B28" s="12">
        <v>1</v>
      </c>
      <c r="C28" s="12">
        <v>0</v>
      </c>
      <c r="D28" s="13">
        <v>0</v>
      </c>
      <c r="E28" s="12">
        <v>0</v>
      </c>
      <c r="F28" s="12">
        <v>1.5</v>
      </c>
      <c r="G28" s="12">
        <v>0</v>
      </c>
      <c r="H28" s="12">
        <v>36</v>
      </c>
      <c r="I28" s="10"/>
    </row>
    <row r="29" spans="1:9" x14ac:dyDescent="0.3">
      <c r="A29" s="10" t="s">
        <v>14</v>
      </c>
      <c r="B29" s="10">
        <v>0</v>
      </c>
      <c r="C29" s="10">
        <v>0</v>
      </c>
      <c r="D29" s="14">
        <v>0</v>
      </c>
      <c r="E29" s="10">
        <v>1</v>
      </c>
      <c r="F29" s="10">
        <f>(1/3)</f>
        <v>0.33333333333333331</v>
      </c>
      <c r="G29" s="10">
        <f>-1/3</f>
        <v>-0.33333333333333331</v>
      </c>
      <c r="H29" s="10">
        <v>2</v>
      </c>
      <c r="I29" s="10"/>
    </row>
    <row r="30" spans="1:9" x14ac:dyDescent="0.3">
      <c r="A30" s="10" t="s">
        <v>13</v>
      </c>
      <c r="B30" s="10">
        <v>0</v>
      </c>
      <c r="C30" s="10">
        <v>0</v>
      </c>
      <c r="D30" s="14">
        <v>1</v>
      </c>
      <c r="E30" s="10">
        <v>0</v>
      </c>
      <c r="F30" s="10">
        <f>1/2</f>
        <v>0.5</v>
      </c>
      <c r="G30" s="10">
        <v>0</v>
      </c>
      <c r="H30" s="10">
        <f>12/2</f>
        <v>6</v>
      </c>
      <c r="I30" s="10"/>
    </row>
    <row r="31" spans="1:9" x14ac:dyDescent="0.3">
      <c r="A31" s="10" t="s">
        <v>12</v>
      </c>
      <c r="B31" s="10">
        <v>0</v>
      </c>
      <c r="C31" s="10">
        <v>1</v>
      </c>
      <c r="D31" s="14">
        <v>0</v>
      </c>
      <c r="E31" s="10">
        <v>0</v>
      </c>
      <c r="F31" s="10">
        <f>-1/3</f>
        <v>-0.33333333333333331</v>
      </c>
      <c r="G31" s="10">
        <f>1/3</f>
        <v>0.33333333333333331</v>
      </c>
      <c r="H31" s="10">
        <f>6/3</f>
        <v>2</v>
      </c>
      <c r="I31" s="10"/>
    </row>
    <row r="32" spans="1:9" x14ac:dyDescent="0.3">
      <c r="A32" s="10" t="s">
        <v>32</v>
      </c>
    </row>
    <row r="33" spans="1:6" x14ac:dyDescent="0.3">
      <c r="A33" s="10" t="s">
        <v>33</v>
      </c>
      <c r="B33" s="15">
        <v>36</v>
      </c>
    </row>
    <row r="34" spans="1:6" x14ac:dyDescent="0.3">
      <c r="A34" s="10" t="s">
        <v>34</v>
      </c>
      <c r="B34">
        <v>2</v>
      </c>
      <c r="C34" t="s">
        <v>35</v>
      </c>
      <c r="D34" s="14">
        <v>6</v>
      </c>
      <c r="E34" t="s">
        <v>36</v>
      </c>
      <c r="F34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workbookViewId="0">
      <selection activeCell="E18" sqref="E18"/>
    </sheetView>
  </sheetViews>
  <sheetFormatPr defaultRowHeight="14.4" x14ac:dyDescent="0.3"/>
  <cols>
    <col min="1" max="1" width="2.33203125" customWidth="1"/>
    <col min="2" max="2" width="6.21875" bestFit="1" customWidth="1"/>
    <col min="3" max="3" width="16.44140625" bestFit="1" customWidth="1"/>
    <col min="4" max="4" width="12.6640625" bestFit="1" customWidth="1"/>
    <col min="5" max="5" width="8.33203125" bestFit="1" customWidth="1"/>
    <col min="6" max="6" width="10.109375" bestFit="1" customWidth="1"/>
    <col min="7" max="8" width="12" bestFit="1" customWidth="1"/>
  </cols>
  <sheetData>
    <row r="1" spans="1:8" x14ac:dyDescent="0.3">
      <c r="A1" s="2" t="s">
        <v>46</v>
      </c>
    </row>
    <row r="2" spans="1:8" x14ac:dyDescent="0.3">
      <c r="A2" s="2" t="s">
        <v>47</v>
      </c>
    </row>
    <row r="3" spans="1:8" x14ac:dyDescent="0.3">
      <c r="A3" s="2" t="s">
        <v>48</v>
      </c>
    </row>
    <row r="6" spans="1:8" ht="15" thickBot="1" x14ac:dyDescent="0.35">
      <c r="A6" t="s">
        <v>49</v>
      </c>
    </row>
    <row r="7" spans="1:8" x14ac:dyDescent="0.3">
      <c r="B7" s="19"/>
      <c r="C7" s="19"/>
      <c r="D7" s="19" t="s">
        <v>52</v>
      </c>
      <c r="E7" s="19" t="s">
        <v>54</v>
      </c>
      <c r="F7" s="19" t="s">
        <v>56</v>
      </c>
      <c r="G7" s="19" t="s">
        <v>58</v>
      </c>
      <c r="H7" s="19" t="s">
        <v>58</v>
      </c>
    </row>
    <row r="8" spans="1:8" ht="15" thickBot="1" x14ac:dyDescent="0.35">
      <c r="B8" s="20" t="s">
        <v>50</v>
      </c>
      <c r="C8" s="20" t="s">
        <v>51</v>
      </c>
      <c r="D8" s="20" t="s">
        <v>53</v>
      </c>
      <c r="E8" s="20" t="s">
        <v>55</v>
      </c>
      <c r="F8" s="20" t="s">
        <v>57</v>
      </c>
      <c r="G8" s="20" t="s">
        <v>59</v>
      </c>
      <c r="H8" s="20" t="s">
        <v>60</v>
      </c>
    </row>
    <row r="9" spans="1:8" x14ac:dyDescent="0.3">
      <c r="B9" s="17" t="s">
        <v>66</v>
      </c>
      <c r="C9" s="17" t="s">
        <v>67</v>
      </c>
      <c r="D9" s="17">
        <v>68.571428571428584</v>
      </c>
      <c r="E9" s="17">
        <v>0</v>
      </c>
      <c r="F9" s="17">
        <v>10</v>
      </c>
      <c r="G9" s="17">
        <v>1E+30</v>
      </c>
      <c r="H9" s="17">
        <v>2.333333333333333</v>
      </c>
    </row>
    <row r="10" spans="1:8" x14ac:dyDescent="0.3">
      <c r="B10" s="17" t="s">
        <v>68</v>
      </c>
      <c r="C10" s="17" t="s">
        <v>69</v>
      </c>
      <c r="D10" s="17">
        <v>22.857142857142861</v>
      </c>
      <c r="E10" s="17">
        <v>0</v>
      </c>
      <c r="F10" s="17">
        <v>-15</v>
      </c>
      <c r="G10" s="17">
        <v>63</v>
      </c>
      <c r="H10" s="17">
        <v>7</v>
      </c>
    </row>
    <row r="11" spans="1:8" ht="15" thickBot="1" x14ac:dyDescent="0.35">
      <c r="B11" s="18" t="s">
        <v>70</v>
      </c>
      <c r="C11" s="18" t="s">
        <v>71</v>
      </c>
      <c r="D11" s="18">
        <v>17.142857142857146</v>
      </c>
      <c r="E11" s="18">
        <v>0</v>
      </c>
      <c r="F11" s="18">
        <v>8</v>
      </c>
      <c r="G11" s="18">
        <v>7</v>
      </c>
      <c r="H11" s="18">
        <v>27.999999999999996</v>
      </c>
    </row>
    <row r="13" spans="1:8" ht="15" thickBot="1" x14ac:dyDescent="0.35">
      <c r="A13" t="s">
        <v>61</v>
      </c>
    </row>
    <row r="14" spans="1:8" x14ac:dyDescent="0.3">
      <c r="B14" s="19"/>
      <c r="C14" s="19"/>
      <c r="D14" s="19" t="s">
        <v>52</v>
      </c>
      <c r="E14" s="19" t="s">
        <v>62</v>
      </c>
      <c r="F14" s="19" t="s">
        <v>64</v>
      </c>
      <c r="G14" s="19" t="s">
        <v>58</v>
      </c>
      <c r="H14" s="19" t="s">
        <v>58</v>
      </c>
    </row>
    <row r="15" spans="1:8" ht="15" thickBot="1" x14ac:dyDescent="0.35">
      <c r="B15" s="20" t="s">
        <v>50</v>
      </c>
      <c r="C15" s="20" t="s">
        <v>51</v>
      </c>
      <c r="D15" s="20" t="s">
        <v>53</v>
      </c>
      <c r="E15" s="20" t="s">
        <v>63</v>
      </c>
      <c r="F15" s="20" t="s">
        <v>65</v>
      </c>
      <c r="G15" s="20" t="s">
        <v>59</v>
      </c>
      <c r="H15" s="20" t="s">
        <v>60</v>
      </c>
    </row>
    <row r="16" spans="1:8" x14ac:dyDescent="0.3">
      <c r="B16" s="17" t="s">
        <v>72</v>
      </c>
      <c r="C16" s="17" t="e">
        <f xml:space="preserve"> SUMPRODUCT</f>
        <v>#NAME?</v>
      </c>
      <c r="D16" s="17">
        <v>0</v>
      </c>
      <c r="E16" s="17">
        <v>1</v>
      </c>
      <c r="F16" s="17">
        <v>0</v>
      </c>
      <c r="G16" s="17">
        <v>120.00000000000003</v>
      </c>
      <c r="H16" s="17">
        <v>66.666666666666671</v>
      </c>
    </row>
    <row r="17" spans="2:8" x14ac:dyDescent="0.3">
      <c r="B17" s="17" t="s">
        <v>73</v>
      </c>
      <c r="C17" s="17" t="e">
        <f xml:space="preserve"> SUMPRODUCT</f>
        <v>#NAME?</v>
      </c>
      <c r="D17" s="17">
        <v>0</v>
      </c>
      <c r="E17" s="17">
        <v>9</v>
      </c>
      <c r="F17" s="17">
        <v>0</v>
      </c>
      <c r="G17" s="17">
        <v>66.666666666666671</v>
      </c>
      <c r="H17" s="17">
        <v>120.00000000000003</v>
      </c>
    </row>
    <row r="18" spans="2:8" x14ac:dyDescent="0.3">
      <c r="B18" s="17" t="s">
        <v>74</v>
      </c>
      <c r="C18" s="17" t="e">
        <f xml:space="preserve"> SUMPRODUCT</f>
        <v>#NAME?</v>
      </c>
      <c r="D18" s="17">
        <v>40.000000000000007</v>
      </c>
      <c r="E18" s="17">
        <v>12</v>
      </c>
      <c r="F18" s="17">
        <v>40</v>
      </c>
      <c r="G18" s="17">
        <v>1E+30</v>
      </c>
      <c r="H18" s="17">
        <v>40</v>
      </c>
    </row>
    <row r="19" spans="2:8" ht="15" thickBot="1" x14ac:dyDescent="0.35">
      <c r="B19" s="18" t="s">
        <v>75</v>
      </c>
      <c r="C19" s="18" t="e">
        <f xml:space="preserve"> SUMPRODUCT</f>
        <v>#NAME?</v>
      </c>
      <c r="D19" s="18">
        <v>-28.571428571428577</v>
      </c>
      <c r="E19" s="18">
        <v>0</v>
      </c>
      <c r="F19" s="18">
        <v>0</v>
      </c>
      <c r="G19" s="18">
        <v>1E+30</v>
      </c>
      <c r="H19" s="18">
        <v>28.571428571428573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selection activeCell="G23" sqref="G23"/>
    </sheetView>
  </sheetViews>
  <sheetFormatPr defaultRowHeight="14.4" x14ac:dyDescent="0.3"/>
  <cols>
    <col min="2" max="2" width="15.109375" bestFit="1" customWidth="1"/>
    <col min="7" max="7" width="13.109375" bestFit="1" customWidth="1"/>
  </cols>
  <sheetData>
    <row r="2" spans="2:9" x14ac:dyDescent="0.3">
      <c r="G2" t="s">
        <v>42</v>
      </c>
    </row>
    <row r="3" spans="2:9" x14ac:dyDescent="0.3">
      <c r="C3" t="s">
        <v>12</v>
      </c>
      <c r="D3" t="s">
        <v>13</v>
      </c>
      <c r="E3" t="s">
        <v>39</v>
      </c>
    </row>
    <row r="4" spans="2:9" x14ac:dyDescent="0.3">
      <c r="B4" t="s">
        <v>37</v>
      </c>
      <c r="C4">
        <v>68.571428571428584</v>
      </c>
      <c r="D4">
        <v>22.857142857142861</v>
      </c>
      <c r="E4">
        <v>17.142857142857146</v>
      </c>
    </row>
    <row r="5" spans="2:9" x14ac:dyDescent="0.3">
      <c r="B5" t="s">
        <v>38</v>
      </c>
      <c r="C5">
        <v>10</v>
      </c>
      <c r="D5">
        <v>-15</v>
      </c>
      <c r="E5">
        <v>8</v>
      </c>
      <c r="F5" s="16" t="s">
        <v>41</v>
      </c>
      <c r="G5">
        <f>SUMPRODUCT(C5:E5, C4:E4)</f>
        <v>480.00000000000006</v>
      </c>
      <c r="H5" t="s">
        <v>45</v>
      </c>
    </row>
    <row r="7" spans="2:9" x14ac:dyDescent="0.3">
      <c r="B7" t="s">
        <v>40</v>
      </c>
    </row>
    <row r="9" spans="2:9" x14ac:dyDescent="0.3">
      <c r="C9">
        <v>0</v>
      </c>
      <c r="D9">
        <v>-2</v>
      </c>
      <c r="E9">
        <v>1</v>
      </c>
      <c r="F9" s="16" t="s">
        <v>41</v>
      </c>
      <c r="G9">
        <f>SUMPRODUCT(C9:E9, $C$4:$E$4)</f>
        <v>-28.571428571428577</v>
      </c>
      <c r="H9" t="s">
        <v>43</v>
      </c>
      <c r="I9">
        <v>0</v>
      </c>
    </row>
    <row r="10" spans="2:9" x14ac:dyDescent="0.3">
      <c r="C10">
        <v>1</v>
      </c>
      <c r="D10">
        <v>0</v>
      </c>
      <c r="E10">
        <v>-4</v>
      </c>
      <c r="F10" s="16" t="s">
        <v>41</v>
      </c>
      <c r="G10">
        <f t="shared" ref="G10:G12" si="0">SUMPRODUCT(C10:E10, $C$4:$E$4)</f>
        <v>0</v>
      </c>
      <c r="H10" t="s">
        <v>44</v>
      </c>
      <c r="I10">
        <v>0</v>
      </c>
    </row>
    <row r="11" spans="2:9" x14ac:dyDescent="0.3">
      <c r="C11">
        <v>1</v>
      </c>
      <c r="D11">
        <v>-3</v>
      </c>
      <c r="E11">
        <v>0</v>
      </c>
      <c r="F11" s="16" t="s">
        <v>41</v>
      </c>
      <c r="G11">
        <f t="shared" si="0"/>
        <v>0</v>
      </c>
      <c r="H11" t="s">
        <v>44</v>
      </c>
      <c r="I11">
        <v>0</v>
      </c>
    </row>
    <row r="12" spans="2:9" x14ac:dyDescent="0.3">
      <c r="C12">
        <v>0</v>
      </c>
      <c r="D12">
        <v>1</v>
      </c>
      <c r="E12">
        <v>1</v>
      </c>
      <c r="F12" s="16" t="s">
        <v>41</v>
      </c>
      <c r="G12">
        <f t="shared" si="0"/>
        <v>40.000000000000007</v>
      </c>
      <c r="H12" t="s">
        <v>44</v>
      </c>
      <c r="I1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Sensitivity Report 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2019-10-23T18:39:19Z</dcterms:modified>
</cp:coreProperties>
</file>