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 activeTab="1"/>
  </bookViews>
  <sheets>
    <sheet name="Sheet1" sheetId="1" r:id="rId1"/>
    <sheet name="Sheet2" sheetId="2" r:id="rId2"/>
  </sheets>
  <definedNames>
    <definedName name="solver_adj" localSheetId="1" hidden="1">Sheet2!$C$6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Sheet2!$C$16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calcChain.xml><?xml version="1.0" encoding="utf-8"?>
<calcChain xmlns="http://schemas.openxmlformats.org/spreadsheetml/2006/main">
  <c r="C7" i="2" l="1"/>
  <c r="C12" i="2" s="1"/>
  <c r="C20" i="1"/>
  <c r="D16" i="1"/>
  <c r="D15" i="1"/>
  <c r="D14" i="1"/>
  <c r="C7" i="1"/>
  <c r="C8" i="1" s="1"/>
  <c r="D11" i="1"/>
  <c r="C3" i="1"/>
  <c r="C4" i="1"/>
  <c r="C9" i="2" l="1"/>
  <c r="C10" i="2" s="1"/>
  <c r="C13" i="2" s="1"/>
  <c r="C14" i="2" l="1"/>
  <c r="C16" i="2" s="1"/>
</calcChain>
</file>

<file path=xl/sharedStrings.xml><?xml version="1.0" encoding="utf-8"?>
<sst xmlns="http://schemas.openxmlformats.org/spreadsheetml/2006/main" count="31" uniqueCount="31">
  <si>
    <t>Mean of a normal dist is 300, standard deviation is 65.</t>
  </si>
  <si>
    <t>Out of 500 data points, how many are expected to be less than or equal to 280?</t>
  </si>
  <si>
    <t>P(x&lt;=280)=</t>
  </si>
  <si>
    <t>n*P(x&lt;=280)=</t>
  </si>
  <si>
    <t>Out of 500 data points, how many are expected to be less than 280?</t>
  </si>
  <si>
    <t>P(x&lt;280)=</t>
  </si>
  <si>
    <t>n*P(x&lt;280)=</t>
  </si>
  <si>
    <t>What is probality of a random value being above 250?</t>
  </si>
  <si>
    <t xml:space="preserve">P(x&gt;250) = 1 - P(x&lt;=250) = </t>
  </si>
  <si>
    <t>How many data points between 300 and 400 (both values included)?</t>
  </si>
  <si>
    <t>(Assuming whole numbers in distribution, otherwise same as &lt;=280)</t>
  </si>
  <si>
    <t>n*(P(x&lt;=400) - P(x&lt;300))=</t>
  </si>
  <si>
    <t>(assuming whole numbers in curve)</t>
  </si>
  <si>
    <t>(assuming real numbers)</t>
  </si>
  <si>
    <t>(assuming 1 decimal place accuracy on curve)</t>
  </si>
  <si>
    <t>Default assumption: Curve values can take any real number</t>
  </si>
  <si>
    <t>What value on the curve represents cumulative probability of 45%?</t>
  </si>
  <si>
    <t>P(x&lt;=X)=0.45; X=</t>
  </si>
  <si>
    <t>The demand for a product has average 50000 - 12SP, Standard deviation is 6000.</t>
  </si>
  <si>
    <t>The company aims to produce enough to meet 80% of all possible demand.</t>
  </si>
  <si>
    <t>Manufacturing cost is 500, salvage value of unsold product is 125.</t>
  </si>
  <si>
    <t>Find SP that maximizes profit. Assume expected sales is equal to average demand.</t>
  </si>
  <si>
    <t>SP=</t>
  </si>
  <si>
    <t>Average demand</t>
  </si>
  <si>
    <t>Stdev</t>
  </si>
  <si>
    <t>Amount made</t>
  </si>
  <si>
    <t>Expected unsold</t>
  </si>
  <si>
    <t>Sales income</t>
  </si>
  <si>
    <t>Salvage value</t>
  </si>
  <si>
    <t>Manufacturing cost</t>
  </si>
  <si>
    <t>Profit=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</si>
</sst>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opLeftCell="A9" zoomScale="160" zoomScaleNormal="160" workbookViewId="0">
      <selection activeCell="C21" sqref="C21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C3">
        <f>_xlfn.NORM.DIST(280,300,65,1)</f>
        <v>0.3791582367631452</v>
      </c>
    </row>
    <row r="4" spans="1:5" x14ac:dyDescent="0.25">
      <c r="A4" t="s">
        <v>3</v>
      </c>
      <c r="C4">
        <f>500*C3</f>
        <v>189.57911838157258</v>
      </c>
    </row>
    <row r="6" spans="1:5" x14ac:dyDescent="0.25">
      <c r="A6" t="s">
        <v>4</v>
      </c>
    </row>
    <row r="7" spans="1:5" x14ac:dyDescent="0.25">
      <c r="A7" t="s">
        <v>5</v>
      </c>
      <c r="C7">
        <f>_xlfn.NORM.DIST(279,300,65,1)</f>
        <v>0.37331849330713074</v>
      </c>
      <c r="D7" t="s">
        <v>10</v>
      </c>
    </row>
    <row r="8" spans="1:5" x14ac:dyDescent="0.25">
      <c r="A8" t="s">
        <v>6</v>
      </c>
      <c r="C8">
        <f>500*C7</f>
        <v>186.65924665356536</v>
      </c>
    </row>
    <row r="10" spans="1:5" x14ac:dyDescent="0.25">
      <c r="A10" t="s">
        <v>7</v>
      </c>
    </row>
    <row r="11" spans="1:5" x14ac:dyDescent="0.25">
      <c r="A11" t="s">
        <v>8</v>
      </c>
      <c r="D11">
        <f>1-_xlfn.NORM.DIST(250,300,65,1)</f>
        <v>0.77912183628754028</v>
      </c>
    </row>
    <row r="13" spans="1:5" x14ac:dyDescent="0.25">
      <c r="A13" t="s">
        <v>9</v>
      </c>
    </row>
    <row r="14" spans="1:5" x14ac:dyDescent="0.25">
      <c r="A14" t="s">
        <v>11</v>
      </c>
      <c r="D14">
        <f>500*(_xlfn.NORM.DIST(400,300,65,1)-_xlfn.NORM.DIST(299,300,65,1))</f>
        <v>222.08471430175345</v>
      </c>
      <c r="E14" t="s">
        <v>12</v>
      </c>
    </row>
    <row r="15" spans="1:5" x14ac:dyDescent="0.25">
      <c r="D15">
        <f>500*(_xlfn.NORM.DIST(400,300,65,1)-_xlfn.NORM.DIST(300,300,65,1))</f>
        <v>219.0160485818144</v>
      </c>
      <c r="E15" t="s">
        <v>13</v>
      </c>
    </row>
    <row r="16" spans="1:5" x14ac:dyDescent="0.25">
      <c r="D16">
        <f>500*(_xlfn.NORM.DIST(400,300,65,1)-_xlfn.NORM.DIST(299.9,300,65,1))</f>
        <v>219.32292713798969</v>
      </c>
      <c r="E16" t="s">
        <v>14</v>
      </c>
    </row>
    <row r="17" spans="1:3" x14ac:dyDescent="0.25">
      <c r="A17" s="1" t="s">
        <v>15</v>
      </c>
    </row>
    <row r="19" spans="1:3" x14ac:dyDescent="0.25">
      <c r="A19" t="s">
        <v>16</v>
      </c>
    </row>
    <row r="20" spans="1:3" x14ac:dyDescent="0.25">
      <c r="A20" t="s">
        <v>17</v>
      </c>
      <c r="C20">
        <f>_xlfn.NORM.INV(0.45,300,65)</f>
        <v>291.83201245442018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topLeftCell="A8" zoomScale="172" zoomScaleNormal="172" workbookViewId="0">
      <selection activeCell="C20" sqref="C20"/>
    </sheetView>
  </sheetViews>
  <sheetFormatPr defaultRowHeight="15" x14ac:dyDescent="0.25"/>
  <cols>
    <col min="3" max="3" width="11.7109375" bestFit="1" customWidth="1"/>
  </cols>
  <sheetData>
    <row r="1" spans="1:3" x14ac:dyDescent="0.25">
      <c r="A1" t="s">
        <v>18</v>
      </c>
    </row>
    <row r="2" spans="1:3" x14ac:dyDescent="0.25">
      <c r="A2" t="s">
        <v>19</v>
      </c>
    </row>
    <row r="3" spans="1:3" x14ac:dyDescent="0.25">
      <c r="A3" t="s">
        <v>20</v>
      </c>
    </row>
    <row r="4" spans="1:3" x14ac:dyDescent="0.25">
      <c r="A4" t="s">
        <v>21</v>
      </c>
    </row>
    <row r="6" spans="1:3" x14ac:dyDescent="0.25">
      <c r="A6" t="s">
        <v>22</v>
      </c>
      <c r="C6">
        <v>2333.3333278126993</v>
      </c>
    </row>
    <row r="7" spans="1:3" x14ac:dyDescent="0.25">
      <c r="A7" t="s">
        <v>23</v>
      </c>
      <c r="C7">
        <f>50000-12*C6</f>
        <v>22000.000066247609</v>
      </c>
    </row>
    <row r="8" spans="1:3" x14ac:dyDescent="0.25">
      <c r="A8" t="s">
        <v>24</v>
      </c>
      <c r="C8">
        <v>6000</v>
      </c>
    </row>
    <row r="9" spans="1:3" x14ac:dyDescent="0.25">
      <c r="A9" t="s">
        <v>25</v>
      </c>
      <c r="C9">
        <f>_xlfn.NORM.INV(0.8,C7,C8)</f>
        <v>27049.727467685098</v>
      </c>
    </row>
    <row r="10" spans="1:3" x14ac:dyDescent="0.25">
      <c r="A10" t="s">
        <v>26</v>
      </c>
      <c r="C10">
        <f>C9-C7</f>
        <v>5049.7274014374889</v>
      </c>
    </row>
    <row r="12" spans="1:3" x14ac:dyDescent="0.25">
      <c r="A12" t="s">
        <v>27</v>
      </c>
      <c r="C12">
        <f>C7*C6</f>
        <v>51333333.366457134</v>
      </c>
    </row>
    <row r="13" spans="1:3" x14ac:dyDescent="0.25">
      <c r="A13" t="s">
        <v>28</v>
      </c>
      <c r="C13">
        <f>C10*125</f>
        <v>631215.92517968616</v>
      </c>
    </row>
    <row r="14" spans="1:3" x14ac:dyDescent="0.25">
      <c r="A14" t="s">
        <v>29</v>
      </c>
      <c r="C14">
        <f>C9*500</f>
        <v>13524863.733842548</v>
      </c>
    </row>
    <row r="16" spans="1:3" x14ac:dyDescent="0.25">
      <c r="A16" t="s">
        <v>30</v>
      </c>
      <c r="C16">
        <f>C12+C13-C14</f>
        <v>38439685.557794273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2019-11-05T05:12:36Z</dcterms:modified>
</cp:coreProperties>
</file>