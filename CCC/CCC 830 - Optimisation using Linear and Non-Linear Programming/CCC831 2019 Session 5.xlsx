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firstSheet="2" activeTab="3"/>
  </bookViews>
  <sheets>
    <sheet name="Assignment ex. 1" sheetId="1" r:id="rId1"/>
    <sheet name="Assignment ex. 2" sheetId="2" r:id="rId2"/>
    <sheet name="Assignment ex. 3" sheetId="3" r:id="rId3"/>
    <sheet name="Transport &amp; Assign example" sheetId="4" r:id="rId4"/>
  </sheets>
  <definedNames>
    <definedName name="solver_adj" localSheetId="0" hidden="1">'Assignment ex. 1'!$G$2:$K$6</definedName>
    <definedName name="solver_adj" localSheetId="1" hidden="1">'Assignment ex. 2'!$F$2:$I$5</definedName>
    <definedName name="solver_adj" localSheetId="2" hidden="1">'Assignment ex. 3'!$G$4:$J$7</definedName>
    <definedName name="solver_adj" localSheetId="3" hidden="1">'Transport &amp; Assign example'!$F$2:$I$5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'Assignment ex. 1'!$G$8:$K$8</definedName>
    <definedName name="solver_lhs1" localSheetId="1" hidden="1">'Assignment ex. 2'!$F$7:$I$7</definedName>
    <definedName name="solver_lhs1" localSheetId="2" hidden="1">'Assignment ex. 3'!$G$9:$J$9</definedName>
    <definedName name="solver_lhs1" localSheetId="3" hidden="1">'Transport &amp; Assign example'!$F$6:$I$6</definedName>
    <definedName name="solver_lhs2" localSheetId="0" hidden="1">'Assignment ex. 1'!$M$2:$M$6</definedName>
    <definedName name="solver_lhs2" localSheetId="1" hidden="1">'Assignment ex. 2'!$K$2:$K$5</definedName>
    <definedName name="solver_lhs2" localSheetId="2" hidden="1">'Assignment ex. 3'!$J$7</definedName>
    <definedName name="solver_lhs2" localSheetId="3" hidden="1">'Transport &amp; Assign example'!$J$2:$J$5</definedName>
    <definedName name="solver_lhs3" localSheetId="2" hidden="1">'Assignment ex. 3'!$L$4:$L$7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3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'Assignment ex. 1'!$D$9</definedName>
    <definedName name="solver_opt" localSheetId="1" hidden="1">'Assignment ex. 2'!$E$8</definedName>
    <definedName name="solver_opt" localSheetId="2" hidden="1">'Assignment ex. 3'!$F$10</definedName>
    <definedName name="solver_opt" localSheetId="3" hidden="1">'Transport &amp; Assign example'!$C$7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3" localSheetId="2" hidden="1">2</definedName>
    <definedName name="solver_rhs1" localSheetId="0" hidden="1">1</definedName>
    <definedName name="solver_rhs1" localSheetId="1" hidden="1">1</definedName>
    <definedName name="solver_rhs1" localSheetId="2" hidden="1">1</definedName>
    <definedName name="solver_rhs1" localSheetId="3" hidden="1">1</definedName>
    <definedName name="solver_rhs2" localSheetId="0" hidden="1">1</definedName>
    <definedName name="solver_rhs2" localSheetId="1" hidden="1">1</definedName>
    <definedName name="solver_rhs2" localSheetId="2" hidden="1">0</definedName>
    <definedName name="solver_rhs2" localSheetId="3" hidden="1">1</definedName>
    <definedName name="solver_rhs3" localSheetId="2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52511"/>
</workbook>
</file>

<file path=xl/calcChain.xml><?xml version="1.0" encoding="utf-8"?>
<calcChain xmlns="http://schemas.openxmlformats.org/spreadsheetml/2006/main">
  <c r="C7" i="4" l="1"/>
  <c r="J5" i="4"/>
  <c r="I6" i="4"/>
  <c r="H6" i="4"/>
  <c r="G6" i="4"/>
  <c r="F6" i="4"/>
  <c r="N4" i="4"/>
  <c r="O4" i="4"/>
  <c r="P4" i="4"/>
  <c r="M4" i="4"/>
  <c r="N3" i="4"/>
  <c r="O3" i="4"/>
  <c r="P3" i="4"/>
  <c r="M3" i="4"/>
  <c r="N2" i="4"/>
  <c r="O2" i="4"/>
  <c r="P2" i="4"/>
  <c r="M2" i="4"/>
  <c r="J4" i="4"/>
  <c r="J3" i="4"/>
  <c r="J2" i="4"/>
  <c r="F10" i="3"/>
  <c r="J9" i="3"/>
  <c r="I9" i="3"/>
  <c r="H9" i="3"/>
  <c r="G9" i="3"/>
  <c r="L7" i="3"/>
  <c r="L6" i="3"/>
  <c r="L5" i="3"/>
  <c r="L4" i="3"/>
  <c r="E8" i="2"/>
  <c r="G7" i="2"/>
  <c r="H7" i="2"/>
  <c r="I7" i="2"/>
  <c r="F7" i="2"/>
  <c r="K3" i="2"/>
  <c r="K4" i="2"/>
  <c r="K5" i="2"/>
  <c r="K2" i="2"/>
  <c r="H8" i="1" l="1"/>
  <c r="I8" i="1"/>
  <c r="J8" i="1"/>
  <c r="K8" i="1"/>
  <c r="G8" i="1"/>
  <c r="D9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<sst xmlns="http://schemas.openxmlformats.org/spreadsheetml/2006/main" count="44" uniqueCount="33">
  <si>
    <t>Cost minimization problem, cost matrix cij:</t>
  </si>
  <si>
    <t>Assignment matrix xij:</t>
  </si>
  <si>
    <t>Row tot</t>
  </si>
  <si>
    <t>Col tot</t>
  </si>
  <si>
    <t>Total cost=</t>
  </si>
  <si>
    <t>Maximization problem, profit matrix:</t>
  </si>
  <si>
    <t>&lt;--Dummy</t>
  </si>
  <si>
    <t>Assignment matrix</t>
  </si>
  <si>
    <t>Total profit=</t>
  </si>
  <si>
    <t>Constraint: 4th column (J4) cannot be assigned to a dummy</t>
  </si>
  <si>
    <t>J1</t>
  </si>
  <si>
    <t>J2</t>
  </si>
  <si>
    <t xml:space="preserve">J3 </t>
  </si>
  <si>
    <t>J4</t>
  </si>
  <si>
    <t>W1</t>
  </si>
  <si>
    <t>W2</t>
  </si>
  <si>
    <t>W3</t>
  </si>
  <si>
    <t>Dummy</t>
  </si>
  <si>
    <t>Supply</t>
  </si>
  <si>
    <t>Demand</t>
  </si>
  <si>
    <t>Demand and supply constraints are upper limits</t>
  </si>
  <si>
    <t>Overall profit matrix on assignment</t>
  </si>
  <si>
    <t>Dummy-&gt;</t>
  </si>
  <si>
    <t>Once a factory is assigned to a market, the amount it</t>
  </si>
  <si>
    <t>can supply is a fixed value depending on supply and demand constraint.</t>
  </si>
  <si>
    <t>As a result, the amount of profit generated is also fixed for every combination</t>
  </si>
  <si>
    <t>of factory and market, and can be calculated multiplying supply amount with</t>
  </si>
  <si>
    <t>per-unit profit from original profit matrix.</t>
  </si>
  <si>
    <t>Per-unit Profit matrix, maximization problem</t>
  </si>
  <si>
    <t>This is the new profit matrix for an assignment problem.</t>
  </si>
  <si>
    <t>Since there is three factories and four markets, we create a dummy factory</t>
  </si>
  <si>
    <t>with zero total profit.</t>
  </si>
  <si>
    <r>
      <t xml:space="preserve">Constraint: Each market can only receive supply from one factory </t>
    </r>
    <r>
      <rPr>
        <b/>
        <u/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each factory can only supply to one market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</si>
</sst>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opLeftCell="F1" zoomScale="178" zoomScaleNormal="178" workbookViewId="0">
      <selection activeCell="I2" sqref="I2"/>
    </sheetView>
  </sheetViews>
  <sheetFormatPr defaultRowHeight="15" x14ac:dyDescent="0.25"/>
  <sheetData>
    <row r="1" spans="1:13" x14ac:dyDescent="0.25">
      <c r="A1" t="s">
        <v>0</v>
      </c>
      <c r="G1" t="s">
        <v>1</v>
      </c>
      <c r="M1" t="s">
        <v>2</v>
      </c>
    </row>
    <row r="2" spans="1:13" x14ac:dyDescent="0.25">
      <c r="A2">
        <v>10</v>
      </c>
      <c r="B2">
        <v>4</v>
      </c>
      <c r="C2">
        <v>6</v>
      </c>
      <c r="D2">
        <v>10</v>
      </c>
      <c r="E2">
        <v>12</v>
      </c>
      <c r="G2">
        <v>0</v>
      </c>
      <c r="H2">
        <v>0</v>
      </c>
      <c r="I2">
        <v>1</v>
      </c>
      <c r="J2">
        <v>0</v>
      </c>
      <c r="K2">
        <v>0</v>
      </c>
      <c r="M2">
        <f>SUM(G2:K2)</f>
        <v>1</v>
      </c>
    </row>
    <row r="3" spans="1:13" x14ac:dyDescent="0.25">
      <c r="A3">
        <v>11</v>
      </c>
      <c r="B3">
        <v>7</v>
      </c>
      <c r="C3">
        <v>7</v>
      </c>
      <c r="D3">
        <v>9</v>
      </c>
      <c r="E3">
        <v>14</v>
      </c>
      <c r="G3">
        <v>0</v>
      </c>
      <c r="H3">
        <v>0</v>
      </c>
      <c r="I3">
        <v>0</v>
      </c>
      <c r="J3">
        <v>1</v>
      </c>
      <c r="K3">
        <v>0</v>
      </c>
      <c r="M3">
        <f t="shared" ref="M3:M6" si="0">SUM(G3:K3)</f>
        <v>1</v>
      </c>
    </row>
    <row r="4" spans="1:13" x14ac:dyDescent="0.25">
      <c r="A4">
        <v>13</v>
      </c>
      <c r="B4">
        <v>8</v>
      </c>
      <c r="C4">
        <v>12</v>
      </c>
      <c r="D4">
        <v>14</v>
      </c>
      <c r="E4">
        <v>15</v>
      </c>
      <c r="G4">
        <v>0</v>
      </c>
      <c r="H4">
        <v>0</v>
      </c>
      <c r="I4">
        <v>0</v>
      </c>
      <c r="J4">
        <v>0</v>
      </c>
      <c r="K4">
        <v>1</v>
      </c>
      <c r="M4">
        <f t="shared" si="0"/>
        <v>1</v>
      </c>
    </row>
    <row r="5" spans="1:13" x14ac:dyDescent="0.25">
      <c r="A5">
        <v>14</v>
      </c>
      <c r="B5">
        <v>16</v>
      </c>
      <c r="C5">
        <v>13</v>
      </c>
      <c r="D5">
        <v>17</v>
      </c>
      <c r="E5">
        <v>17</v>
      </c>
      <c r="G5">
        <v>1</v>
      </c>
      <c r="H5">
        <v>0</v>
      </c>
      <c r="I5">
        <v>0</v>
      </c>
      <c r="J5">
        <v>0</v>
      </c>
      <c r="K5">
        <v>0</v>
      </c>
      <c r="M5">
        <f t="shared" si="0"/>
        <v>1</v>
      </c>
    </row>
    <row r="6" spans="1:13" x14ac:dyDescent="0.25">
      <c r="A6">
        <v>17</v>
      </c>
      <c r="B6">
        <v>11</v>
      </c>
      <c r="C6">
        <v>17</v>
      </c>
      <c r="D6">
        <v>20</v>
      </c>
      <c r="E6">
        <v>19</v>
      </c>
      <c r="G6">
        <v>0</v>
      </c>
      <c r="H6">
        <v>1</v>
      </c>
      <c r="I6">
        <v>0</v>
      </c>
      <c r="J6">
        <v>0</v>
      </c>
      <c r="K6">
        <v>0</v>
      </c>
      <c r="M6">
        <f t="shared" si="0"/>
        <v>1</v>
      </c>
    </row>
    <row r="8" spans="1:13" x14ac:dyDescent="0.25">
      <c r="F8" t="s">
        <v>3</v>
      </c>
      <c r="G8">
        <f>SUM(G2:G6)</f>
        <v>1</v>
      </c>
      <c r="H8">
        <f t="shared" ref="H8:K8" si="1">SUM(H2:H6)</f>
        <v>1</v>
      </c>
      <c r="I8">
        <f t="shared" si="1"/>
        <v>1</v>
      </c>
      <c r="J8">
        <f t="shared" si="1"/>
        <v>1</v>
      </c>
      <c r="K8">
        <f t="shared" si="1"/>
        <v>1</v>
      </c>
    </row>
    <row r="9" spans="1:13" x14ac:dyDescent="0.25">
      <c r="B9" t="s">
        <v>4</v>
      </c>
      <c r="D9">
        <f>SUMPRODUCT(A2:E6,G2:K6)</f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zoomScale="148" zoomScaleNormal="148" workbookViewId="0">
      <selection activeCell="A2" sqref="A2"/>
    </sheetView>
  </sheetViews>
  <sheetFormatPr defaultRowHeight="15" x14ac:dyDescent="0.25"/>
  <cols>
    <col min="5" max="5" width="10.5703125" customWidth="1"/>
  </cols>
  <sheetData>
    <row r="1" spans="1:11" x14ac:dyDescent="0.25">
      <c r="A1" t="s">
        <v>5</v>
      </c>
      <c r="F1" t="s">
        <v>7</v>
      </c>
      <c r="K1" t="s">
        <v>2</v>
      </c>
    </row>
    <row r="2" spans="1:11" x14ac:dyDescent="0.25">
      <c r="A2">
        <v>67</v>
      </c>
      <c r="B2">
        <v>58</v>
      </c>
      <c r="C2">
        <v>90</v>
      </c>
      <c r="D2">
        <v>55</v>
      </c>
      <c r="F2">
        <v>1</v>
      </c>
      <c r="G2">
        <v>0</v>
      </c>
      <c r="H2">
        <v>0</v>
      </c>
      <c r="I2">
        <v>0</v>
      </c>
      <c r="K2">
        <f>SUM(F2:I2)</f>
        <v>1</v>
      </c>
    </row>
    <row r="3" spans="1:11" x14ac:dyDescent="0.25">
      <c r="A3">
        <v>58</v>
      </c>
      <c r="B3">
        <v>88</v>
      </c>
      <c r="C3">
        <v>89</v>
      </c>
      <c r="D3">
        <v>56</v>
      </c>
      <c r="F3">
        <v>0</v>
      </c>
      <c r="G3">
        <v>0</v>
      </c>
      <c r="H3">
        <v>1</v>
      </c>
      <c r="I3">
        <v>0</v>
      </c>
      <c r="K3">
        <f t="shared" ref="K3:K5" si="0">SUM(F3:I3)</f>
        <v>1</v>
      </c>
    </row>
    <row r="4" spans="1:11" x14ac:dyDescent="0.25">
      <c r="A4">
        <v>74</v>
      </c>
      <c r="B4">
        <v>99</v>
      </c>
      <c r="C4">
        <v>80</v>
      </c>
      <c r="D4">
        <v>22</v>
      </c>
      <c r="F4">
        <v>0</v>
      </c>
      <c r="G4">
        <v>1</v>
      </c>
      <c r="H4">
        <v>0</v>
      </c>
      <c r="I4">
        <v>0</v>
      </c>
      <c r="K4">
        <f t="shared" si="0"/>
        <v>1</v>
      </c>
    </row>
    <row r="5" spans="1:11" x14ac:dyDescent="0.25">
      <c r="A5">
        <v>0</v>
      </c>
      <c r="B5">
        <v>0</v>
      </c>
      <c r="C5">
        <v>0</v>
      </c>
      <c r="D5">
        <v>0</v>
      </c>
      <c r="E5" s="1" t="s">
        <v>6</v>
      </c>
      <c r="F5">
        <v>0</v>
      </c>
      <c r="G5">
        <v>0</v>
      </c>
      <c r="H5">
        <v>0</v>
      </c>
      <c r="I5">
        <v>1</v>
      </c>
      <c r="K5">
        <f t="shared" si="0"/>
        <v>1</v>
      </c>
    </row>
    <row r="7" spans="1:11" x14ac:dyDescent="0.25">
      <c r="E7" t="s">
        <v>3</v>
      </c>
      <c r="F7">
        <f>SUM(F2:F5)</f>
        <v>1</v>
      </c>
      <c r="G7">
        <f t="shared" ref="G7:I7" si="1">SUM(G2:G5)</f>
        <v>1</v>
      </c>
      <c r="H7">
        <f t="shared" si="1"/>
        <v>1</v>
      </c>
      <c r="I7">
        <f t="shared" si="1"/>
        <v>1</v>
      </c>
    </row>
    <row r="8" spans="1:11" x14ac:dyDescent="0.25">
      <c r="C8" t="s">
        <v>8</v>
      </c>
      <c r="E8">
        <f>SUMPRODUCT(A2:D5,F2:I5)</f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="172" zoomScaleNormal="172" workbookViewId="0">
      <selection activeCell="A7" sqref="A7"/>
    </sheetView>
  </sheetViews>
  <sheetFormatPr defaultRowHeight="15" x14ac:dyDescent="0.25"/>
  <sheetData>
    <row r="1" spans="1:12" x14ac:dyDescent="0.25">
      <c r="A1" t="s">
        <v>9</v>
      </c>
    </row>
    <row r="2" spans="1:12" x14ac:dyDescent="0.25">
      <c r="B2" t="s">
        <v>5</v>
      </c>
      <c r="G2" t="s">
        <v>7</v>
      </c>
      <c r="L2" t="s">
        <v>2</v>
      </c>
    </row>
    <row r="3" spans="1:12" x14ac:dyDescent="0.25">
      <c r="B3" t="s">
        <v>10</v>
      </c>
      <c r="C3" t="s">
        <v>11</v>
      </c>
      <c r="D3" t="s">
        <v>12</v>
      </c>
      <c r="E3" t="s">
        <v>13</v>
      </c>
    </row>
    <row r="4" spans="1:12" x14ac:dyDescent="0.25">
      <c r="A4" t="s">
        <v>14</v>
      </c>
      <c r="B4">
        <v>67</v>
      </c>
      <c r="C4">
        <v>58</v>
      </c>
      <c r="D4">
        <v>90</v>
      </c>
      <c r="E4">
        <v>55</v>
      </c>
      <c r="G4">
        <v>0</v>
      </c>
      <c r="H4">
        <v>0</v>
      </c>
      <c r="I4">
        <v>1</v>
      </c>
      <c r="J4">
        <v>0</v>
      </c>
      <c r="L4">
        <f>SUM(G4:J4)</f>
        <v>1</v>
      </c>
    </row>
    <row r="5" spans="1:12" x14ac:dyDescent="0.25">
      <c r="A5" t="s">
        <v>15</v>
      </c>
      <c r="B5">
        <v>58</v>
      </c>
      <c r="C5">
        <v>88</v>
      </c>
      <c r="D5">
        <v>89</v>
      </c>
      <c r="E5">
        <v>56</v>
      </c>
      <c r="G5">
        <v>0</v>
      </c>
      <c r="H5">
        <v>0</v>
      </c>
      <c r="I5">
        <v>0</v>
      </c>
      <c r="J5">
        <v>1</v>
      </c>
      <c r="L5">
        <f t="shared" ref="L5:L7" si="0">SUM(G5:J5)</f>
        <v>1</v>
      </c>
    </row>
    <row r="6" spans="1:12" x14ac:dyDescent="0.25">
      <c r="A6" t="s">
        <v>16</v>
      </c>
      <c r="B6">
        <v>74</v>
      </c>
      <c r="C6">
        <v>99</v>
      </c>
      <c r="D6">
        <v>80</v>
      </c>
      <c r="E6">
        <v>22</v>
      </c>
      <c r="G6">
        <v>0</v>
      </c>
      <c r="H6">
        <v>1</v>
      </c>
      <c r="I6">
        <v>0</v>
      </c>
      <c r="J6">
        <v>0</v>
      </c>
      <c r="L6">
        <f t="shared" si="0"/>
        <v>1</v>
      </c>
    </row>
    <row r="7" spans="1:12" x14ac:dyDescent="0.25">
      <c r="A7" s="1" t="s">
        <v>17</v>
      </c>
      <c r="B7">
        <v>0</v>
      </c>
      <c r="C7">
        <v>0</v>
      </c>
      <c r="D7">
        <v>0</v>
      </c>
      <c r="E7">
        <v>0</v>
      </c>
      <c r="F7" s="1"/>
      <c r="G7">
        <v>1</v>
      </c>
      <c r="H7">
        <v>0</v>
      </c>
      <c r="I7">
        <v>0</v>
      </c>
      <c r="J7">
        <v>0</v>
      </c>
      <c r="L7">
        <f t="shared" si="0"/>
        <v>1</v>
      </c>
    </row>
    <row r="9" spans="1:12" x14ac:dyDescent="0.25">
      <c r="F9" t="s">
        <v>3</v>
      </c>
      <c r="G9">
        <f>SUM(G4:G7)</f>
        <v>1</v>
      </c>
      <c r="H9">
        <f t="shared" ref="H9:J9" si="1">SUM(H4:H7)</f>
        <v>1</v>
      </c>
      <c r="I9">
        <f t="shared" si="1"/>
        <v>1</v>
      </c>
      <c r="J9">
        <f t="shared" si="1"/>
        <v>1</v>
      </c>
    </row>
    <row r="10" spans="1:12" x14ac:dyDescent="0.25">
      <c r="D10" t="s">
        <v>8</v>
      </c>
      <c r="F10">
        <f>SUMPRODUCT(B4:E7,G4:J7)</f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zoomScale="172" zoomScaleNormal="172" workbookViewId="0">
      <selection activeCell="A7" sqref="A7"/>
    </sheetView>
  </sheetViews>
  <sheetFormatPr defaultRowHeight="15" x14ac:dyDescent="0.25"/>
  <sheetData>
    <row r="1" spans="1:16" x14ac:dyDescent="0.25">
      <c r="A1" s="1" t="s">
        <v>28</v>
      </c>
      <c r="F1" t="s">
        <v>7</v>
      </c>
      <c r="J1" t="s">
        <v>2</v>
      </c>
      <c r="K1" t="s">
        <v>18</v>
      </c>
      <c r="M1" t="s">
        <v>21</v>
      </c>
    </row>
    <row r="2" spans="1:16" x14ac:dyDescent="0.25">
      <c r="A2">
        <v>2</v>
      </c>
      <c r="B2">
        <v>4</v>
      </c>
      <c r="C2">
        <v>1</v>
      </c>
      <c r="D2">
        <v>3</v>
      </c>
      <c r="F2">
        <v>0</v>
      </c>
      <c r="G2">
        <v>1</v>
      </c>
      <c r="H2">
        <v>0</v>
      </c>
      <c r="I2">
        <v>0</v>
      </c>
      <c r="J2">
        <f>SUM(F2:I2)</f>
        <v>1</v>
      </c>
      <c r="K2">
        <v>300</v>
      </c>
      <c r="M2">
        <f>300*A2</f>
        <v>600</v>
      </c>
      <c r="N2">
        <f t="shared" ref="N2:P2" si="0">300*B2</f>
        <v>1200</v>
      </c>
      <c r="O2">
        <f t="shared" si="0"/>
        <v>300</v>
      </c>
      <c r="P2">
        <f t="shared" si="0"/>
        <v>900</v>
      </c>
    </row>
    <row r="3" spans="1:16" x14ac:dyDescent="0.25">
      <c r="A3">
        <v>8</v>
      </c>
      <c r="B3">
        <v>2</v>
      </c>
      <c r="C3">
        <v>6</v>
      </c>
      <c r="D3">
        <v>5</v>
      </c>
      <c r="F3">
        <v>1</v>
      </c>
      <c r="G3">
        <v>0</v>
      </c>
      <c r="H3">
        <v>0</v>
      </c>
      <c r="I3">
        <v>0</v>
      </c>
      <c r="J3">
        <f t="shared" ref="J3:J5" si="1">SUM(F3:I3)</f>
        <v>1</v>
      </c>
      <c r="K3">
        <v>500</v>
      </c>
      <c r="M3">
        <f>400*A3</f>
        <v>3200</v>
      </c>
      <c r="N3">
        <f t="shared" ref="N3:P3" si="2">400*B3</f>
        <v>800</v>
      </c>
      <c r="O3">
        <f t="shared" si="2"/>
        <v>2400</v>
      </c>
      <c r="P3">
        <f t="shared" si="2"/>
        <v>2000</v>
      </c>
    </row>
    <row r="4" spans="1:16" x14ac:dyDescent="0.25">
      <c r="A4">
        <v>6</v>
      </c>
      <c r="B4">
        <v>1</v>
      </c>
      <c r="C4">
        <v>4</v>
      </c>
      <c r="D4">
        <v>2</v>
      </c>
      <c r="F4">
        <v>0</v>
      </c>
      <c r="G4">
        <v>0</v>
      </c>
      <c r="H4">
        <v>1</v>
      </c>
      <c r="I4">
        <v>0</v>
      </c>
      <c r="J4">
        <f t="shared" si="1"/>
        <v>1</v>
      </c>
      <c r="K4">
        <v>300</v>
      </c>
      <c r="M4">
        <f>300*A4</f>
        <v>1800</v>
      </c>
      <c r="N4">
        <f t="shared" ref="N4:P4" si="3">300*B4</f>
        <v>300</v>
      </c>
      <c r="O4">
        <f t="shared" si="3"/>
        <v>1200</v>
      </c>
      <c r="P4">
        <f t="shared" si="3"/>
        <v>600</v>
      </c>
    </row>
    <row r="5" spans="1:16" x14ac:dyDescent="0.25">
      <c r="F5">
        <v>0</v>
      </c>
      <c r="G5">
        <v>0</v>
      </c>
      <c r="H5">
        <v>0</v>
      </c>
      <c r="I5">
        <v>1</v>
      </c>
      <c r="J5">
        <f t="shared" si="1"/>
        <v>1</v>
      </c>
      <c r="L5" s="1" t="s">
        <v>22</v>
      </c>
      <c r="M5">
        <v>0</v>
      </c>
      <c r="N5">
        <v>0</v>
      </c>
      <c r="O5">
        <v>0</v>
      </c>
      <c r="P5">
        <v>0</v>
      </c>
    </row>
    <row r="6" spans="1:16" x14ac:dyDescent="0.25">
      <c r="E6" t="s">
        <v>3</v>
      </c>
      <c r="F6">
        <f>SUM(F2:F5)</f>
        <v>1</v>
      </c>
      <c r="G6">
        <f>SUM(G2:G5)</f>
        <v>1</v>
      </c>
      <c r="H6">
        <f>SUM(H2:H5)</f>
        <v>1</v>
      </c>
      <c r="I6">
        <f>SUM(I2:I5)</f>
        <v>1</v>
      </c>
    </row>
    <row r="7" spans="1:16" x14ac:dyDescent="0.25">
      <c r="A7" t="s">
        <v>8</v>
      </c>
      <c r="C7">
        <f>SUMPRODUCT(F2:I5,M2:P5)</f>
        <v>5600</v>
      </c>
      <c r="E7" t="s">
        <v>19</v>
      </c>
      <c r="F7">
        <v>400</v>
      </c>
      <c r="G7">
        <v>400</v>
      </c>
      <c r="H7">
        <v>400</v>
      </c>
      <c r="I7">
        <v>400</v>
      </c>
    </row>
    <row r="8" spans="1:16" x14ac:dyDescent="0.25">
      <c r="E8" s="2" t="s">
        <v>32</v>
      </c>
    </row>
    <row r="9" spans="1:16" x14ac:dyDescent="0.25">
      <c r="E9" s="1" t="s">
        <v>20</v>
      </c>
    </row>
    <row r="10" spans="1:16" x14ac:dyDescent="0.25">
      <c r="E10" s="1" t="s">
        <v>23</v>
      </c>
    </row>
    <row r="11" spans="1:16" x14ac:dyDescent="0.25">
      <c r="E11" s="1" t="s">
        <v>24</v>
      </c>
    </row>
    <row r="12" spans="1:16" x14ac:dyDescent="0.25">
      <c r="E12" s="1" t="s">
        <v>25</v>
      </c>
    </row>
    <row r="13" spans="1:16" x14ac:dyDescent="0.25">
      <c r="E13" s="1" t="s">
        <v>26</v>
      </c>
    </row>
    <row r="14" spans="1:16" x14ac:dyDescent="0.25">
      <c r="E14" s="1" t="s">
        <v>27</v>
      </c>
    </row>
    <row r="15" spans="1:16" x14ac:dyDescent="0.25">
      <c r="E15" s="1" t="s">
        <v>29</v>
      </c>
    </row>
    <row r="16" spans="1:16" x14ac:dyDescent="0.25">
      <c r="E16" s="1" t="s">
        <v>30</v>
      </c>
    </row>
    <row r="17" spans="5:5" x14ac:dyDescent="0.25">
      <c r="E17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ex. 1</vt:lpstr>
      <vt:lpstr>Assignment ex. 2</vt:lpstr>
      <vt:lpstr>Assignment ex. 3</vt:lpstr>
      <vt:lpstr>Transport &amp; Assign example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2019-10-17T05:21:59Z</dcterms:modified>
</cp:coreProperties>
</file>