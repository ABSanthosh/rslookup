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 firstSheet="1" activeTab="2"/>
  </bookViews>
  <sheets>
    <sheet name="Sensitivity Report 1" sheetId="2" r:id="rId1"/>
    <sheet name="Sensitivity Report 2" sheetId="3" r:id="rId2"/>
    <sheet name="Sheet1" sheetId="1" r:id="rId3"/>
  </sheets>
  <definedNames>
    <definedName name="solver_adj" localSheetId="2" hidden="1">Sheet1!$C$14:$E$17</definedName>
    <definedName name="solver_cvg" localSheetId="2" hidden="1">0.0001</definedName>
    <definedName name="solver_drv" localSheetId="2" hidden="1">1</definedName>
    <definedName name="solver_eng" localSheetId="2" hidden="1">2</definedName>
    <definedName name="solver_est" localSheetId="2" hidden="1">1</definedName>
    <definedName name="solver_itr" localSheetId="2" hidden="1">2147483647</definedName>
    <definedName name="solver_lhs1" localSheetId="2" hidden="1">Sheet1!$C$18:$E$18</definedName>
    <definedName name="solver_lhs2" localSheetId="2" hidden="1">Sheet1!$C$18:$E$18</definedName>
    <definedName name="solver_lhs3" localSheetId="2" hidden="1">Sheet1!$F$14:$F$17</definedName>
    <definedName name="solver_lhs4" localSheetId="2" hidden="1">Sheet1!$E$18</definedName>
    <definedName name="solver_lhs5" localSheetId="2" hidden="1">Sheet1!$F$14</definedName>
    <definedName name="solver_lhs6" localSheetId="2" hidden="1">Sheet1!$F$15</definedName>
    <definedName name="solver_lhs7" localSheetId="2" hidden="1">Sheet1!$F$16</definedName>
    <definedName name="solver_lhs8" localSheetId="2" hidden="1">Sheet1!$F$17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3</definedName>
    <definedName name="solver_nwt" localSheetId="2" hidden="1">1</definedName>
    <definedName name="solver_opt" localSheetId="2" hidden="1">Sheet1!$B$21</definedName>
    <definedName name="solver_pre" localSheetId="2" hidden="1">0.000001</definedName>
    <definedName name="solver_rbv" localSheetId="2" hidden="1">1</definedName>
    <definedName name="solver_rel1" localSheetId="2" hidden="1">1</definedName>
    <definedName name="solver_rel2" localSheetId="2" hidden="1">3</definedName>
    <definedName name="solver_rel3" localSheetId="2" hidden="1">2</definedName>
    <definedName name="solver_rel4" localSheetId="2" hidden="1">2</definedName>
    <definedName name="solver_rel5" localSheetId="2" hidden="1">1</definedName>
    <definedName name="solver_rel6" localSheetId="2" hidden="1">1</definedName>
    <definedName name="solver_rel7" localSheetId="2" hidden="1">1</definedName>
    <definedName name="solver_rel8" localSheetId="2" hidden="1">1</definedName>
    <definedName name="solver_rhs1" localSheetId="2" hidden="1">Sheet1!$C$19:$E$19</definedName>
    <definedName name="solver_rhs2" localSheetId="2" hidden="1">200</definedName>
    <definedName name="solver_rhs3" localSheetId="2" hidden="1">Sheet1!$G$14:$G$17</definedName>
    <definedName name="solver_rhs4" localSheetId="2" hidden="1">Sheet1!$E$19</definedName>
    <definedName name="solver_rhs5" localSheetId="2" hidden="1">Sheet1!$G$14</definedName>
    <definedName name="solver_rhs6" localSheetId="2" hidden="1">Sheet1!$G$15</definedName>
    <definedName name="solver_rhs7" localSheetId="2" hidden="1">Sheet1!$G$16</definedName>
    <definedName name="solver_rhs8" localSheetId="2" hidden="1">Sheet1!$G$17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2</definedName>
    <definedName name="solver_val" localSheetId="2" hidden="1">0</definedName>
    <definedName name="solver_ver" localSheetId="2" hidden="1">3</definedName>
  </definedNames>
  <calcPr calcId="152511"/>
</workbook>
</file>

<file path=xl/calcChain.xml><?xml version="1.0" encoding="utf-8"?>
<calcChain xmlns="http://schemas.openxmlformats.org/spreadsheetml/2006/main">
  <c r="D18" i="1" l="1"/>
  <c r="E18" i="1"/>
  <c r="C18" i="1"/>
  <c r="B21" i="1"/>
  <c r="F15" i="1"/>
  <c r="F16" i="1"/>
  <c r="F17" i="1"/>
  <c r="F14" i="1"/>
</calcChain>
</file>

<file path=xl/sharedStrings.xml><?xml version="1.0" encoding="utf-8"?>
<sst xmlns="http://schemas.openxmlformats.org/spreadsheetml/2006/main" count="140" uniqueCount="69">
  <si>
    <t>A</t>
  </si>
  <si>
    <t>B</t>
  </si>
  <si>
    <t>C</t>
  </si>
  <si>
    <t>Demand constraints</t>
  </si>
  <si>
    <t>Markets</t>
  </si>
  <si>
    <t>Supply Constraints</t>
  </si>
  <si>
    <t>Cost</t>
  </si>
  <si>
    <t>Cost per unit</t>
  </si>
  <si>
    <t>Total COST</t>
  </si>
  <si>
    <t>Microsoft Excel 15.0 Sensitivity Report</t>
  </si>
  <si>
    <t>Worksheet: [Solving A transportation problem.xlsx]Sheet1</t>
  </si>
  <si>
    <t>Report Created: 24-10-2019 00:29:42</t>
  </si>
  <si>
    <t>Variable Cells</t>
  </si>
  <si>
    <t>Cell</t>
  </si>
  <si>
    <t>Name</t>
  </si>
  <si>
    <t>Final</t>
  </si>
  <si>
    <t>Value</t>
  </si>
  <si>
    <t>Reduced</t>
  </si>
  <si>
    <t>Gradient</t>
  </si>
  <si>
    <t>Constraints</t>
  </si>
  <si>
    <t>Lagrange</t>
  </si>
  <si>
    <t>Multiplier</t>
  </si>
  <si>
    <t>$C$13</t>
  </si>
  <si>
    <t>$D$13</t>
  </si>
  <si>
    <t>$E$13</t>
  </si>
  <si>
    <t>$F$13</t>
  </si>
  <si>
    <t>A Markets</t>
  </si>
  <si>
    <t>$C$14</t>
  </si>
  <si>
    <t>$D$14</t>
  </si>
  <si>
    <t>$E$14</t>
  </si>
  <si>
    <t>$F$14</t>
  </si>
  <si>
    <t>B Markets</t>
  </si>
  <si>
    <t>$C$15</t>
  </si>
  <si>
    <t>$D$15</t>
  </si>
  <si>
    <t>$E$15</t>
  </si>
  <si>
    <t>$F$15</t>
  </si>
  <si>
    <t>C Markets</t>
  </si>
  <si>
    <t>$C$16</t>
  </si>
  <si>
    <t>$D$16</t>
  </si>
  <si>
    <t>$E$16</t>
  </si>
  <si>
    <t>$F$16</t>
  </si>
  <si>
    <t>$G$13</t>
  </si>
  <si>
    <t>A Supply Constraints</t>
  </si>
  <si>
    <t>$G$14</t>
  </si>
  <si>
    <t>B Supply Constraints</t>
  </si>
  <si>
    <t>$G$15</t>
  </si>
  <si>
    <t>C Supply Constraints</t>
  </si>
  <si>
    <t>Demand quantity</t>
  </si>
  <si>
    <t>Supply Quantity</t>
  </si>
  <si>
    <t>Report Created: 24-10-2019 00:50:08</t>
  </si>
  <si>
    <t>Objective</t>
  </si>
  <si>
    <t>Coefficient</t>
  </si>
  <si>
    <t>Allowable</t>
  </si>
  <si>
    <t>Increase</t>
  </si>
  <si>
    <t>Decrease</t>
  </si>
  <si>
    <t>Shadow</t>
  </si>
  <si>
    <t>Price</t>
  </si>
  <si>
    <t>Constraint</t>
  </si>
  <si>
    <t>R.H. Side</t>
  </si>
  <si>
    <t>$C$17</t>
  </si>
  <si>
    <t>$D$17</t>
  </si>
  <si>
    <t>$E$17</t>
  </si>
  <si>
    <t>$C$18</t>
  </si>
  <si>
    <t>Demand quantity A</t>
  </si>
  <si>
    <t>$D$18</t>
  </si>
  <si>
    <t>Demand quantity B</t>
  </si>
  <si>
    <t>$E$18</t>
  </si>
  <si>
    <t>Demand quantity C</t>
  </si>
  <si>
    <t>$F$17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</si>
</sst>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1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3" xfId="0" applyFill="1" applyBorder="1" applyAlignment="1"/>
    <xf numFmtId="0" fontId="0" fillId="0" borderId="4" xfId="0" applyFill="1" applyBorder="1" applyAlignment="1"/>
    <xf numFmtId="0" fontId="2" fillId="0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showGridLines="0" workbookViewId="0"/>
  </sheetViews>
  <sheetFormatPr defaultRowHeight="14.4" x14ac:dyDescent="0.3"/>
  <cols>
    <col min="1" max="1" width="2.33203125" customWidth="1"/>
    <col min="2" max="2" width="6.21875" bestFit="1" customWidth="1"/>
    <col min="3" max="3" width="17.6640625" bestFit="1" customWidth="1"/>
    <col min="4" max="4" width="12" bestFit="1" customWidth="1"/>
    <col min="5" max="5" width="12.6640625" bestFit="1" customWidth="1"/>
  </cols>
  <sheetData>
    <row r="1" spans="1:5" x14ac:dyDescent="0.3">
      <c r="A1" s="1" t="s">
        <v>9</v>
      </c>
    </row>
    <row r="2" spans="1:5" x14ac:dyDescent="0.3">
      <c r="A2" s="1" t="s">
        <v>10</v>
      </c>
    </row>
    <row r="3" spans="1:5" x14ac:dyDescent="0.3">
      <c r="A3" s="1" t="s">
        <v>11</v>
      </c>
    </row>
    <row r="6" spans="1:5" ht="15" thickBot="1" x14ac:dyDescent="0.35">
      <c r="A6" t="s">
        <v>12</v>
      </c>
    </row>
    <row r="7" spans="1:5" x14ac:dyDescent="0.3">
      <c r="B7" s="4"/>
      <c r="C7" s="4"/>
      <c r="D7" s="4" t="s">
        <v>15</v>
      </c>
      <c r="E7" s="4" t="s">
        <v>17</v>
      </c>
    </row>
    <row r="8" spans="1:5" ht="15" thickBot="1" x14ac:dyDescent="0.35">
      <c r="B8" s="5" t="s">
        <v>13</v>
      </c>
      <c r="C8" s="5" t="s">
        <v>14</v>
      </c>
      <c r="D8" s="5" t="s">
        <v>16</v>
      </c>
      <c r="E8" s="5" t="s">
        <v>18</v>
      </c>
    </row>
    <row r="9" spans="1:5" x14ac:dyDescent="0.3">
      <c r="B9" s="2" t="s">
        <v>22</v>
      </c>
      <c r="C9" s="2" t="s">
        <v>0</v>
      </c>
      <c r="D9" s="2">
        <v>0</v>
      </c>
      <c r="E9" s="2">
        <v>-4.0000002384185791</v>
      </c>
    </row>
    <row r="10" spans="1:5" x14ac:dyDescent="0.3">
      <c r="B10" s="2" t="s">
        <v>23</v>
      </c>
      <c r="C10" s="2" t="s">
        <v>0</v>
      </c>
      <c r="D10" s="2">
        <v>199.99999999999994</v>
      </c>
      <c r="E10" s="2">
        <v>0</v>
      </c>
    </row>
    <row r="11" spans="1:5" x14ac:dyDescent="0.3">
      <c r="B11" s="2" t="s">
        <v>24</v>
      </c>
      <c r="C11" s="2" t="s">
        <v>0</v>
      </c>
      <c r="D11" s="2">
        <v>1.7763568394002505E-14</v>
      </c>
      <c r="E11" s="2">
        <v>-2.9999996423721313</v>
      </c>
    </row>
    <row r="12" spans="1:5" x14ac:dyDescent="0.3">
      <c r="B12" s="2" t="s">
        <v>25</v>
      </c>
      <c r="C12" s="2" t="s">
        <v>26</v>
      </c>
      <c r="D12" s="2">
        <v>100.00000000000001</v>
      </c>
      <c r="E12" s="2">
        <v>0</v>
      </c>
    </row>
    <row r="13" spans="1:5" x14ac:dyDescent="0.3">
      <c r="B13" s="2" t="s">
        <v>27</v>
      </c>
      <c r="C13" s="2" t="s">
        <v>1</v>
      </c>
      <c r="D13" s="2">
        <v>89.166666666666657</v>
      </c>
      <c r="E13" s="2">
        <v>0</v>
      </c>
    </row>
    <row r="14" spans="1:5" x14ac:dyDescent="0.3">
      <c r="B14" s="2" t="s">
        <v>28</v>
      </c>
      <c r="C14" s="2" t="s">
        <v>1</v>
      </c>
      <c r="D14" s="2">
        <v>0</v>
      </c>
      <c r="E14" s="2">
        <v>-4.0000002384185791</v>
      </c>
    </row>
    <row r="15" spans="1:5" x14ac:dyDescent="0.3">
      <c r="B15" s="2" t="s">
        <v>29</v>
      </c>
      <c r="C15" s="2" t="s">
        <v>1</v>
      </c>
      <c r="D15" s="2">
        <v>210.83333333333331</v>
      </c>
      <c r="E15" s="2">
        <v>0</v>
      </c>
    </row>
    <row r="16" spans="1:5" x14ac:dyDescent="0.3">
      <c r="B16" s="2" t="s">
        <v>30</v>
      </c>
      <c r="C16" s="2" t="s">
        <v>31</v>
      </c>
      <c r="D16" s="2">
        <v>0</v>
      </c>
      <c r="E16" s="2">
        <v>0</v>
      </c>
    </row>
    <row r="17" spans="1:5" x14ac:dyDescent="0.3">
      <c r="B17" s="2" t="s">
        <v>32</v>
      </c>
      <c r="C17" s="2" t="s">
        <v>2</v>
      </c>
      <c r="D17" s="2">
        <v>110.83333333333334</v>
      </c>
      <c r="E17" s="2">
        <v>0</v>
      </c>
    </row>
    <row r="18" spans="1:5" x14ac:dyDescent="0.3">
      <c r="B18" s="2" t="s">
        <v>33</v>
      </c>
      <c r="C18" s="2" t="s">
        <v>2</v>
      </c>
      <c r="D18" s="2">
        <v>0</v>
      </c>
      <c r="E18" s="2">
        <v>-3.0000005960464478</v>
      </c>
    </row>
    <row r="19" spans="1:5" x14ac:dyDescent="0.3">
      <c r="B19" s="2" t="s">
        <v>34</v>
      </c>
      <c r="C19" s="2" t="s">
        <v>2</v>
      </c>
      <c r="D19" s="2">
        <v>89.166666666666657</v>
      </c>
      <c r="E19" s="2">
        <v>0</v>
      </c>
    </row>
    <row r="20" spans="1:5" ht="15" thickBot="1" x14ac:dyDescent="0.35">
      <c r="B20" s="3" t="s">
        <v>35</v>
      </c>
      <c r="C20" s="3" t="s">
        <v>36</v>
      </c>
      <c r="D20" s="3">
        <v>0</v>
      </c>
      <c r="E20" s="3">
        <v>-1.0000002384185791</v>
      </c>
    </row>
    <row r="22" spans="1:5" ht="15" thickBot="1" x14ac:dyDescent="0.35">
      <c r="A22" t="s">
        <v>19</v>
      </c>
    </row>
    <row r="23" spans="1:5" x14ac:dyDescent="0.3">
      <c r="B23" s="4"/>
      <c r="C23" s="4"/>
      <c r="D23" s="4" t="s">
        <v>15</v>
      </c>
      <c r="E23" s="4" t="s">
        <v>20</v>
      </c>
    </row>
    <row r="24" spans="1:5" ht="15" thickBot="1" x14ac:dyDescent="0.35">
      <c r="B24" s="5" t="s">
        <v>13</v>
      </c>
      <c r="C24" s="5" t="s">
        <v>14</v>
      </c>
      <c r="D24" s="5" t="s">
        <v>16</v>
      </c>
      <c r="E24" s="5" t="s">
        <v>21</v>
      </c>
    </row>
    <row r="25" spans="1:5" x14ac:dyDescent="0.3">
      <c r="B25" s="2" t="s">
        <v>37</v>
      </c>
      <c r="C25" s="2"/>
      <c r="D25" s="2">
        <v>200</v>
      </c>
      <c r="E25" s="2">
        <v>2</v>
      </c>
    </row>
    <row r="26" spans="1:5" x14ac:dyDescent="0.3">
      <c r="B26" s="2" t="s">
        <v>38</v>
      </c>
      <c r="C26" s="2"/>
      <c r="D26" s="2">
        <v>199.99999999999994</v>
      </c>
      <c r="E26" s="2">
        <v>0</v>
      </c>
    </row>
    <row r="27" spans="1:5" x14ac:dyDescent="0.3">
      <c r="B27" s="2" t="s">
        <v>39</v>
      </c>
      <c r="C27" s="2"/>
      <c r="D27" s="2">
        <v>300</v>
      </c>
      <c r="E27" s="2">
        <v>0</v>
      </c>
    </row>
    <row r="28" spans="1:5" x14ac:dyDescent="0.3">
      <c r="B28" s="2" t="s">
        <v>40</v>
      </c>
      <c r="C28" s="2" t="s">
        <v>4</v>
      </c>
      <c r="D28" s="2">
        <v>100.00000000000001</v>
      </c>
      <c r="E28" s="2">
        <v>-1</v>
      </c>
    </row>
    <row r="29" spans="1:5" x14ac:dyDescent="0.3">
      <c r="B29" s="2" t="s">
        <v>41</v>
      </c>
      <c r="C29" s="2" t="s">
        <v>42</v>
      </c>
      <c r="D29" s="2">
        <v>300</v>
      </c>
      <c r="E29" s="2">
        <v>4</v>
      </c>
    </row>
    <row r="30" spans="1:5" x14ac:dyDescent="0.3">
      <c r="B30" s="2" t="s">
        <v>43</v>
      </c>
      <c r="C30" s="2" t="s">
        <v>44</v>
      </c>
      <c r="D30" s="2">
        <v>300</v>
      </c>
      <c r="E30" s="2">
        <v>6</v>
      </c>
    </row>
    <row r="31" spans="1:5" ht="15" thickBot="1" x14ac:dyDescent="0.35">
      <c r="B31" s="3" t="s">
        <v>45</v>
      </c>
      <c r="C31" s="3" t="s">
        <v>46</v>
      </c>
      <c r="D31" s="3">
        <v>200</v>
      </c>
      <c r="E31" s="3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showGridLines="0" workbookViewId="0"/>
  </sheetViews>
  <sheetFormatPr defaultRowHeight="14.4" x14ac:dyDescent="0.3"/>
  <cols>
    <col min="1" max="1" width="2.33203125" customWidth="1"/>
    <col min="2" max="2" width="6.21875" bestFit="1" customWidth="1"/>
    <col min="3" max="3" width="16.5546875" bestFit="1" customWidth="1"/>
    <col min="4" max="4" width="5.77734375" customWidth="1"/>
    <col min="5" max="5" width="8.33203125" bestFit="1" customWidth="1"/>
    <col min="6" max="6" width="10.109375" bestFit="1" customWidth="1"/>
    <col min="7" max="8" width="9.21875" bestFit="1" customWidth="1"/>
  </cols>
  <sheetData>
    <row r="1" spans="1:8" x14ac:dyDescent="0.3">
      <c r="A1" s="1" t="s">
        <v>9</v>
      </c>
    </row>
    <row r="2" spans="1:8" x14ac:dyDescent="0.3">
      <c r="A2" s="1" t="s">
        <v>10</v>
      </c>
    </row>
    <row r="3" spans="1:8" x14ac:dyDescent="0.3">
      <c r="A3" s="1" t="s">
        <v>49</v>
      </c>
    </row>
    <row r="6" spans="1:8" ht="15" thickBot="1" x14ac:dyDescent="0.35">
      <c r="A6" t="s">
        <v>12</v>
      </c>
    </row>
    <row r="7" spans="1:8" x14ac:dyDescent="0.3">
      <c r="B7" s="4"/>
      <c r="C7" s="4"/>
      <c r="D7" s="4" t="s">
        <v>15</v>
      </c>
      <c r="E7" s="4" t="s">
        <v>17</v>
      </c>
      <c r="F7" s="4" t="s">
        <v>50</v>
      </c>
      <c r="G7" s="4" t="s">
        <v>52</v>
      </c>
      <c r="H7" s="4" t="s">
        <v>52</v>
      </c>
    </row>
    <row r="8" spans="1:8" ht="15" thickBot="1" x14ac:dyDescent="0.35">
      <c r="B8" s="5" t="s">
        <v>13</v>
      </c>
      <c r="C8" s="5" t="s">
        <v>14</v>
      </c>
      <c r="D8" s="5" t="s">
        <v>16</v>
      </c>
      <c r="E8" s="5" t="s">
        <v>6</v>
      </c>
      <c r="F8" s="5" t="s">
        <v>51</v>
      </c>
      <c r="G8" s="5" t="s">
        <v>53</v>
      </c>
      <c r="H8" s="5" t="s">
        <v>54</v>
      </c>
    </row>
    <row r="9" spans="1:8" x14ac:dyDescent="0.3">
      <c r="B9" s="2" t="s">
        <v>27</v>
      </c>
      <c r="C9" s="2" t="s">
        <v>0</v>
      </c>
      <c r="D9" s="2">
        <v>0</v>
      </c>
      <c r="E9" s="2">
        <v>4</v>
      </c>
      <c r="F9" s="2">
        <v>10</v>
      </c>
      <c r="G9" s="2">
        <v>1E+30</v>
      </c>
      <c r="H9" s="2">
        <v>4</v>
      </c>
    </row>
    <row r="10" spans="1:8" x14ac:dyDescent="0.3">
      <c r="B10" s="2" t="s">
        <v>28</v>
      </c>
      <c r="C10" s="2" t="s">
        <v>1</v>
      </c>
      <c r="D10" s="2">
        <v>300</v>
      </c>
      <c r="E10" s="2">
        <v>0</v>
      </c>
      <c r="F10" s="2">
        <v>5</v>
      </c>
      <c r="G10" s="2">
        <v>4</v>
      </c>
      <c r="H10" s="2">
        <v>1E+30</v>
      </c>
    </row>
    <row r="11" spans="1:8" x14ac:dyDescent="0.3">
      <c r="B11" s="2" t="s">
        <v>29</v>
      </c>
      <c r="C11" s="2" t="s">
        <v>2</v>
      </c>
      <c r="D11" s="2">
        <v>0</v>
      </c>
      <c r="E11" s="2">
        <v>5</v>
      </c>
      <c r="F11" s="2">
        <v>11</v>
      </c>
      <c r="G11" s="2">
        <v>1E+30</v>
      </c>
      <c r="H11" s="2">
        <v>5</v>
      </c>
    </row>
    <row r="12" spans="1:8" x14ac:dyDescent="0.3">
      <c r="B12" s="2" t="s">
        <v>32</v>
      </c>
      <c r="C12" s="2" t="s">
        <v>0</v>
      </c>
      <c r="D12" s="2">
        <v>0</v>
      </c>
      <c r="E12" s="2">
        <v>8</v>
      </c>
      <c r="F12" s="2">
        <v>14</v>
      </c>
      <c r="G12" s="2">
        <v>1E+30</v>
      </c>
      <c r="H12" s="2">
        <v>8</v>
      </c>
    </row>
    <row r="13" spans="1:8" x14ac:dyDescent="0.3">
      <c r="B13" s="2" t="s">
        <v>33</v>
      </c>
      <c r="C13" s="2" t="s">
        <v>1</v>
      </c>
      <c r="D13" s="2">
        <v>400</v>
      </c>
      <c r="E13" s="2">
        <v>0</v>
      </c>
      <c r="F13" s="2">
        <v>5</v>
      </c>
      <c r="G13" s="2">
        <v>2</v>
      </c>
      <c r="H13" s="2">
        <v>1E+30</v>
      </c>
    </row>
    <row r="14" spans="1:8" x14ac:dyDescent="0.3">
      <c r="B14" s="2" t="s">
        <v>34</v>
      </c>
      <c r="C14" s="2" t="s">
        <v>2</v>
      </c>
      <c r="D14" s="2">
        <v>0</v>
      </c>
      <c r="E14" s="2">
        <v>2</v>
      </c>
      <c r="F14" s="2">
        <v>8</v>
      </c>
      <c r="G14" s="2">
        <v>1E+30</v>
      </c>
      <c r="H14" s="2">
        <v>2</v>
      </c>
    </row>
    <row r="15" spans="1:8" x14ac:dyDescent="0.3">
      <c r="B15" s="2" t="s">
        <v>37</v>
      </c>
      <c r="C15" s="2" t="s">
        <v>0</v>
      </c>
      <c r="D15" s="2">
        <v>0</v>
      </c>
      <c r="E15" s="2">
        <v>8</v>
      </c>
      <c r="F15" s="2">
        <v>14</v>
      </c>
      <c r="G15" s="2">
        <v>1E+30</v>
      </c>
      <c r="H15" s="2">
        <v>8</v>
      </c>
    </row>
    <row r="16" spans="1:8" x14ac:dyDescent="0.3">
      <c r="B16" s="2" t="s">
        <v>38</v>
      </c>
      <c r="C16" s="2" t="s">
        <v>1</v>
      </c>
      <c r="D16" s="2">
        <v>0</v>
      </c>
      <c r="E16" s="2">
        <v>6</v>
      </c>
      <c r="F16" s="2">
        <v>11</v>
      </c>
      <c r="G16" s="2">
        <v>1E+30</v>
      </c>
      <c r="H16" s="2">
        <v>6</v>
      </c>
    </row>
    <row r="17" spans="1:8" x14ac:dyDescent="0.3">
      <c r="B17" s="2" t="s">
        <v>39</v>
      </c>
      <c r="C17" s="2" t="s">
        <v>2</v>
      </c>
      <c r="D17" s="2">
        <v>500</v>
      </c>
      <c r="E17" s="2">
        <v>0</v>
      </c>
      <c r="F17" s="2">
        <v>6</v>
      </c>
      <c r="G17" s="2">
        <v>6</v>
      </c>
      <c r="H17" s="2">
        <v>1E+30</v>
      </c>
    </row>
    <row r="18" spans="1:8" x14ac:dyDescent="0.3">
      <c r="B18" s="2" t="s">
        <v>59</v>
      </c>
      <c r="C18" s="2" t="s">
        <v>0</v>
      </c>
      <c r="D18" s="2">
        <v>200</v>
      </c>
      <c r="E18" s="2">
        <v>0</v>
      </c>
      <c r="F18" s="2">
        <v>11</v>
      </c>
      <c r="G18" s="2">
        <v>2</v>
      </c>
      <c r="H18" s="2">
        <v>1</v>
      </c>
    </row>
    <row r="19" spans="1:8" x14ac:dyDescent="0.3">
      <c r="B19" s="2" t="s">
        <v>60</v>
      </c>
      <c r="C19" s="2" t="s">
        <v>1</v>
      </c>
      <c r="D19" s="2">
        <v>200</v>
      </c>
      <c r="E19" s="2">
        <v>0</v>
      </c>
      <c r="F19" s="2">
        <v>10</v>
      </c>
      <c r="G19" s="2">
        <v>1</v>
      </c>
      <c r="H19" s="2">
        <v>2</v>
      </c>
    </row>
    <row r="20" spans="1:8" ht="15" thickBot="1" x14ac:dyDescent="0.35">
      <c r="B20" s="3" t="s">
        <v>61</v>
      </c>
      <c r="C20" s="3" t="s">
        <v>2</v>
      </c>
      <c r="D20" s="3">
        <v>0</v>
      </c>
      <c r="E20" s="3">
        <v>2</v>
      </c>
      <c r="F20" s="3">
        <v>13</v>
      </c>
      <c r="G20" s="3">
        <v>1E+30</v>
      </c>
      <c r="H20" s="3">
        <v>2</v>
      </c>
    </row>
    <row r="22" spans="1:8" ht="15" thickBot="1" x14ac:dyDescent="0.35">
      <c r="A22" t="s">
        <v>19</v>
      </c>
    </row>
    <row r="23" spans="1:8" x14ac:dyDescent="0.3">
      <c r="B23" s="4"/>
      <c r="C23" s="4"/>
      <c r="D23" s="4" t="s">
        <v>15</v>
      </c>
      <c r="E23" s="4" t="s">
        <v>55</v>
      </c>
      <c r="F23" s="4" t="s">
        <v>57</v>
      </c>
      <c r="G23" s="4" t="s">
        <v>52</v>
      </c>
      <c r="H23" s="4" t="s">
        <v>52</v>
      </c>
    </row>
    <row r="24" spans="1:8" ht="15" thickBot="1" x14ac:dyDescent="0.35">
      <c r="B24" s="5" t="s">
        <v>13</v>
      </c>
      <c r="C24" s="5" t="s">
        <v>14</v>
      </c>
      <c r="D24" s="5" t="s">
        <v>16</v>
      </c>
      <c r="E24" s="5" t="s">
        <v>56</v>
      </c>
      <c r="F24" s="5" t="s">
        <v>58</v>
      </c>
      <c r="G24" s="5" t="s">
        <v>53</v>
      </c>
      <c r="H24" s="5" t="s">
        <v>54</v>
      </c>
    </row>
    <row r="25" spans="1:8" x14ac:dyDescent="0.3">
      <c r="B25" s="2" t="s">
        <v>62</v>
      </c>
      <c r="C25" s="2" t="s">
        <v>63</v>
      </c>
      <c r="D25" s="2">
        <v>200</v>
      </c>
      <c r="E25" s="2">
        <v>0</v>
      </c>
      <c r="F25" s="2">
        <v>800</v>
      </c>
      <c r="G25" s="2">
        <v>1E+30</v>
      </c>
      <c r="H25" s="2">
        <v>600</v>
      </c>
    </row>
    <row r="26" spans="1:8" x14ac:dyDescent="0.3">
      <c r="B26" s="2" t="s">
        <v>64</v>
      </c>
      <c r="C26" s="2" t="s">
        <v>65</v>
      </c>
      <c r="D26" s="2">
        <v>900</v>
      </c>
      <c r="E26" s="2">
        <v>-1</v>
      </c>
      <c r="F26" s="2">
        <v>900</v>
      </c>
      <c r="G26" s="2">
        <v>0</v>
      </c>
      <c r="H26" s="2">
        <v>200</v>
      </c>
    </row>
    <row r="27" spans="1:8" x14ac:dyDescent="0.3">
      <c r="B27" s="2" t="s">
        <v>66</v>
      </c>
      <c r="C27" s="2" t="s">
        <v>67</v>
      </c>
      <c r="D27" s="2">
        <v>500</v>
      </c>
      <c r="E27" s="2">
        <v>0</v>
      </c>
      <c r="F27" s="2">
        <v>1000</v>
      </c>
      <c r="G27" s="2">
        <v>1E+30</v>
      </c>
      <c r="H27" s="2">
        <v>500</v>
      </c>
    </row>
    <row r="28" spans="1:8" x14ac:dyDescent="0.3">
      <c r="B28" s="2" t="s">
        <v>62</v>
      </c>
      <c r="C28" s="2" t="s">
        <v>63</v>
      </c>
      <c r="D28" s="2">
        <v>200</v>
      </c>
      <c r="E28" s="2">
        <v>0</v>
      </c>
      <c r="F28" s="2">
        <v>200</v>
      </c>
      <c r="G28" s="2">
        <v>0</v>
      </c>
      <c r="H28" s="2">
        <v>1E+30</v>
      </c>
    </row>
    <row r="29" spans="1:8" x14ac:dyDescent="0.3">
      <c r="B29" s="2" t="s">
        <v>64</v>
      </c>
      <c r="C29" s="2" t="s">
        <v>65</v>
      </c>
      <c r="D29" s="2">
        <v>900</v>
      </c>
      <c r="E29" s="2">
        <v>0</v>
      </c>
      <c r="F29" s="2">
        <v>200</v>
      </c>
      <c r="G29" s="2">
        <v>700</v>
      </c>
      <c r="H29" s="2">
        <v>1E+30</v>
      </c>
    </row>
    <row r="30" spans="1:8" x14ac:dyDescent="0.3">
      <c r="B30" s="2" t="s">
        <v>66</v>
      </c>
      <c r="C30" s="2" t="s">
        <v>67</v>
      </c>
      <c r="D30" s="2">
        <v>500</v>
      </c>
      <c r="E30" s="2">
        <v>0</v>
      </c>
      <c r="F30" s="2">
        <v>200</v>
      </c>
      <c r="G30" s="2">
        <v>300</v>
      </c>
      <c r="H30" s="2">
        <v>1E+30</v>
      </c>
    </row>
    <row r="31" spans="1:8" x14ac:dyDescent="0.3">
      <c r="B31" s="2" t="s">
        <v>30</v>
      </c>
      <c r="C31" s="2" t="s">
        <v>48</v>
      </c>
      <c r="D31" s="2">
        <v>300</v>
      </c>
      <c r="E31" s="2">
        <v>6</v>
      </c>
      <c r="F31" s="2">
        <v>300</v>
      </c>
      <c r="G31" s="2">
        <v>200</v>
      </c>
      <c r="H31" s="2">
        <v>0</v>
      </c>
    </row>
    <row r="32" spans="1:8" x14ac:dyDescent="0.3">
      <c r="B32" s="2" t="s">
        <v>35</v>
      </c>
      <c r="C32" s="2" t="s">
        <v>48</v>
      </c>
      <c r="D32" s="2">
        <v>400</v>
      </c>
      <c r="E32" s="2">
        <v>6</v>
      </c>
      <c r="F32" s="2">
        <v>400</v>
      </c>
      <c r="G32" s="2">
        <v>200</v>
      </c>
      <c r="H32" s="2">
        <v>0</v>
      </c>
    </row>
    <row r="33" spans="2:8" x14ac:dyDescent="0.3">
      <c r="B33" s="2" t="s">
        <v>40</v>
      </c>
      <c r="C33" s="2" t="s">
        <v>48</v>
      </c>
      <c r="D33" s="2">
        <v>500</v>
      </c>
      <c r="E33" s="2">
        <v>6</v>
      </c>
      <c r="F33" s="2">
        <v>500</v>
      </c>
      <c r="G33" s="2">
        <v>500</v>
      </c>
      <c r="H33" s="2">
        <v>300</v>
      </c>
    </row>
    <row r="34" spans="2:8" ht="15" thickBot="1" x14ac:dyDescent="0.35">
      <c r="B34" s="3" t="s">
        <v>68</v>
      </c>
      <c r="C34" s="3" t="s">
        <v>48</v>
      </c>
      <c r="D34" s="3">
        <v>400</v>
      </c>
      <c r="E34" s="3">
        <v>11</v>
      </c>
      <c r="F34" s="3">
        <v>400</v>
      </c>
      <c r="G34" s="3">
        <v>600</v>
      </c>
      <c r="H34" s="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1"/>
  <sheetViews>
    <sheetView tabSelected="1" workbookViewId="0">
      <selection activeCell="G21" sqref="G21"/>
    </sheetView>
  </sheetViews>
  <sheetFormatPr defaultRowHeight="14.4" x14ac:dyDescent="0.3"/>
  <cols>
    <col min="1" max="1" width="14" bestFit="1" customWidth="1"/>
    <col min="2" max="2" width="17.44140625" bestFit="1" customWidth="1"/>
    <col min="6" max="6" width="16" bestFit="1" customWidth="1"/>
    <col min="7" max="7" width="16.77734375" bestFit="1" customWidth="1"/>
  </cols>
  <sheetData>
    <row r="2" spans="1:7" x14ac:dyDescent="0.3">
      <c r="A2" t="s">
        <v>7</v>
      </c>
      <c r="C2" s="1"/>
      <c r="D2" s="1"/>
      <c r="E2" s="1"/>
      <c r="F2" s="1"/>
    </row>
    <row r="3" spans="1:7" x14ac:dyDescent="0.3">
      <c r="C3" s="1" t="s">
        <v>0</v>
      </c>
      <c r="D3" s="1" t="s">
        <v>1</v>
      </c>
      <c r="E3" s="1" t="s">
        <v>2</v>
      </c>
      <c r="F3" s="1" t="s">
        <v>5</v>
      </c>
    </row>
    <row r="4" spans="1:7" x14ac:dyDescent="0.3">
      <c r="B4" s="1">
        <v>1</v>
      </c>
      <c r="C4">
        <v>10</v>
      </c>
      <c r="D4">
        <v>5</v>
      </c>
      <c r="E4">
        <v>11</v>
      </c>
      <c r="F4">
        <v>300</v>
      </c>
    </row>
    <row r="5" spans="1:7" x14ac:dyDescent="0.3">
      <c r="B5" s="1">
        <v>2</v>
      </c>
      <c r="C5">
        <v>14</v>
      </c>
      <c r="D5">
        <v>5</v>
      </c>
      <c r="E5">
        <v>8</v>
      </c>
      <c r="F5">
        <v>400</v>
      </c>
    </row>
    <row r="6" spans="1:7" x14ac:dyDescent="0.3">
      <c r="B6" s="1">
        <v>3</v>
      </c>
      <c r="C6">
        <v>14</v>
      </c>
      <c r="D6">
        <v>11</v>
      </c>
      <c r="E6">
        <v>6</v>
      </c>
      <c r="F6">
        <v>500</v>
      </c>
    </row>
    <row r="7" spans="1:7" x14ac:dyDescent="0.3">
      <c r="B7" s="1">
        <v>4</v>
      </c>
      <c r="C7">
        <v>11</v>
      </c>
      <c r="D7">
        <v>10</v>
      </c>
      <c r="E7">
        <v>13</v>
      </c>
      <c r="F7">
        <v>400</v>
      </c>
    </row>
    <row r="8" spans="1:7" x14ac:dyDescent="0.3">
      <c r="B8" s="1" t="s">
        <v>3</v>
      </c>
      <c r="C8">
        <v>800</v>
      </c>
      <c r="D8">
        <v>900</v>
      </c>
      <c r="E8">
        <v>1000</v>
      </c>
    </row>
    <row r="12" spans="1:7" x14ac:dyDescent="0.3">
      <c r="A12" t="s">
        <v>7</v>
      </c>
      <c r="C12" s="1"/>
      <c r="D12" s="1"/>
      <c r="E12" s="1"/>
      <c r="F12" s="1"/>
    </row>
    <row r="13" spans="1:7" x14ac:dyDescent="0.3">
      <c r="C13" s="1" t="s">
        <v>0</v>
      </c>
      <c r="D13" s="1" t="s">
        <v>1</v>
      </c>
      <c r="E13" s="1" t="s">
        <v>2</v>
      </c>
      <c r="F13" s="1" t="s">
        <v>48</v>
      </c>
      <c r="G13" s="1" t="s">
        <v>5</v>
      </c>
    </row>
    <row r="14" spans="1:7" x14ac:dyDescent="0.3">
      <c r="B14" s="1">
        <v>1</v>
      </c>
      <c r="C14">
        <v>0</v>
      </c>
      <c r="D14">
        <v>300</v>
      </c>
      <c r="E14">
        <v>0</v>
      </c>
      <c r="F14">
        <f>SUM(C14:E14)</f>
        <v>300</v>
      </c>
      <c r="G14">
        <v>300</v>
      </c>
    </row>
    <row r="15" spans="1:7" x14ac:dyDescent="0.3">
      <c r="B15" s="1">
        <v>2</v>
      </c>
      <c r="C15">
        <v>0</v>
      </c>
      <c r="D15">
        <v>400</v>
      </c>
      <c r="E15">
        <v>0</v>
      </c>
      <c r="F15">
        <f t="shared" ref="F15:F17" si="0">SUM(C15:E15)</f>
        <v>400</v>
      </c>
      <c r="G15">
        <v>400</v>
      </c>
    </row>
    <row r="16" spans="1:7" x14ac:dyDescent="0.3">
      <c r="B16" s="1">
        <v>3</v>
      </c>
      <c r="C16">
        <v>0</v>
      </c>
      <c r="D16">
        <v>0</v>
      </c>
      <c r="E16">
        <v>500</v>
      </c>
      <c r="F16">
        <f t="shared" si="0"/>
        <v>500</v>
      </c>
      <c r="G16">
        <v>500</v>
      </c>
    </row>
    <row r="17" spans="1:7" x14ac:dyDescent="0.3">
      <c r="B17" s="1">
        <v>4</v>
      </c>
      <c r="C17">
        <v>200</v>
      </c>
      <c r="D17">
        <v>200</v>
      </c>
      <c r="E17">
        <v>0</v>
      </c>
      <c r="F17">
        <f t="shared" si="0"/>
        <v>400</v>
      </c>
      <c r="G17">
        <v>400</v>
      </c>
    </row>
    <row r="18" spans="1:7" x14ac:dyDescent="0.3">
      <c r="B18" s="1" t="s">
        <v>47</v>
      </c>
      <c r="C18">
        <f>SUM(C14:C17)</f>
        <v>200</v>
      </c>
      <c r="D18">
        <f t="shared" ref="D18:E18" si="1">SUM(D14:D17)</f>
        <v>900</v>
      </c>
      <c r="E18">
        <f t="shared" si="1"/>
        <v>500</v>
      </c>
    </row>
    <row r="19" spans="1:7" x14ac:dyDescent="0.3">
      <c r="B19" s="1" t="s">
        <v>3</v>
      </c>
      <c r="C19">
        <v>800</v>
      </c>
      <c r="D19">
        <v>900</v>
      </c>
      <c r="E19">
        <v>1000</v>
      </c>
    </row>
    <row r="21" spans="1:7" x14ac:dyDescent="0.3">
      <c r="A21" s="1" t="s">
        <v>8</v>
      </c>
      <c r="B21">
        <f>SUMPRODUCT(C14:E17, C4:E7)</f>
        <v>10700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Sensitivity Report 1</vt:lpstr>
      <vt:lpstr>Sensitivity Report 2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2019-10-23T19:21:04Z</dcterms:modified>
</cp:coreProperties>
</file>