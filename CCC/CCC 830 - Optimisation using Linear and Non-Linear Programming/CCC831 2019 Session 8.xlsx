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972" activeTab="1"/>
  </bookViews>
  <sheets>
    <sheet name="Problem 1" sheetId="1" r:id="rId1"/>
    <sheet name="RETRY P1" sheetId="3" r:id="rId2"/>
    <sheet name="Problem 2" sheetId="2" r:id="rId3"/>
    <sheet name="RETRY P2" sheetId="4" r:id="rId4"/>
  </sheets>
  <definedNames>
    <definedName name="solver_adj" localSheetId="0" hidden="1">'Problem 1'!$B$7</definedName>
    <definedName name="solver_adj" localSheetId="2" hidden="1">'Problem 2'!$C$9,'Problem 2'!$C$7</definedName>
    <definedName name="solver_adj" localSheetId="1" hidden="1">'RETRY P1'!$C$5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2" hidden="1">'Problem 2'!$C$15</definedName>
    <definedName name="solver_lhs2" localSheetId="2" hidden="1">'Problem 2'!$C$15</definedName>
    <definedName name="solver_lhs3" localSheetId="2" hidden="1">'Problem 2'!$C$7</definedName>
    <definedName name="solver_lhs4" localSheetId="2" hidden="1">'Problem 2'!$C$9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1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0</definedName>
    <definedName name="solver_num" localSheetId="2" hidden="1">4</definedName>
    <definedName name="solver_num" localSheetId="1" hidden="1">0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0" hidden="1">'Problem 1'!$E$6</definedName>
    <definedName name="solver_opt" localSheetId="2" hidden="1">'Problem 2'!$C$20</definedName>
    <definedName name="solver_opt" localSheetId="1" hidden="1">'RETRY P1'!$F$6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hs1" localSheetId="2" hidden="1">'Problem 2'!$C$13</definedName>
    <definedName name="solver_rhs2" localSheetId="2" hidden="1">'Problem 2'!$C$9</definedName>
    <definedName name="solver_rhs3" localSheetId="2" hidden="1">214</definedName>
    <definedName name="solver_rhs4" localSheetId="2" hidden="1">3000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E6" i="1" l="1"/>
  <c r="F6" i="3"/>
  <c r="C14" i="2" l="1"/>
  <c r="C13" i="2"/>
  <c r="E7" i="2"/>
  <c r="C15" i="2" l="1"/>
  <c r="C11" i="2"/>
  <c r="C17" i="2" l="1"/>
  <c r="C18" i="2" s="1"/>
  <c r="C16" i="2"/>
  <c r="C20" i="2" l="1"/>
</calcChain>
</file>

<file path=xl/sharedStrings.xml><?xml version="1.0" encoding="utf-8"?>
<sst xmlns="http://schemas.openxmlformats.org/spreadsheetml/2006/main" count="36" uniqueCount="33">
  <si>
    <t>A company has a product with a demand of 3000 - 14SP</t>
  </si>
  <si>
    <t>where SP is the selling price. The company's operations have a fixed cost of</t>
  </si>
  <si>
    <t>10000. Each unit the company produces costs Rs. 35. If the company produces</t>
  </si>
  <si>
    <t>exactly enough to meet demand, what is the SP to maximize profit.</t>
  </si>
  <si>
    <t>SP=</t>
  </si>
  <si>
    <t>Profit = (3000-14*SP)*(SP-35) - 10000=</t>
  </si>
  <si>
    <t xml:space="preserve">10000. Each unit the company produces costs Rs. 35. </t>
  </si>
  <si>
    <t>A company has a product with a maximum demand of 3000 - 14SP</t>
  </si>
  <si>
    <t>The amount of product sold by the company is (Max Demand)^(Amount produced/3000)</t>
  </si>
  <si>
    <t>The salvage value of unsold items is Rs. 10/unit. Solve to maximize profit</t>
  </si>
  <si>
    <t>CP=</t>
  </si>
  <si>
    <t>Amount produced=</t>
  </si>
  <si>
    <t>Manufacturing cost</t>
  </si>
  <si>
    <t>Fixed cost</t>
  </si>
  <si>
    <t>Max demand</t>
  </si>
  <si>
    <t>Amount sold</t>
  </si>
  <si>
    <t>Sales income</t>
  </si>
  <si>
    <t>(Amount sold * SP)</t>
  </si>
  <si>
    <t>(Max demand)^(Amount produced/3000)</t>
  </si>
  <si>
    <t>(3000-14SP)</t>
  </si>
  <si>
    <t>(Amount produced * CP)</t>
  </si>
  <si>
    <t>Unsold items</t>
  </si>
  <si>
    <t>(Amount produced - Amount sold)</t>
  </si>
  <si>
    <t>Salvage income</t>
  </si>
  <si>
    <t>(unsold items * 10)</t>
  </si>
  <si>
    <t>Profit=</t>
  </si>
  <si>
    <t>(all income - all costs)</t>
  </si>
  <si>
    <t>Amount prod./3000</t>
  </si>
  <si>
    <t>Upper lim.</t>
  </si>
  <si>
    <t>Use multi-start in GRG options with upper and lower bounds on all variables</t>
  </si>
  <si>
    <t>SP =</t>
  </si>
  <si>
    <t xml:space="preserve">Profit = (3000 - 14SP) * (SP - 35) - 10000 </t>
  </si>
  <si>
    <t xml:space="preserve">Profit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</si>
</sst>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90" zoomScaleNormal="190" workbookViewId="0">
      <selection activeCell="B9" sqref="B9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6" spans="1:5" x14ac:dyDescent="0.3">
      <c r="A6" t="s">
        <v>5</v>
      </c>
      <c r="E6">
        <f>(3000-14*B7)*(B7-35)-10000</f>
        <v>102501.78571428572</v>
      </c>
    </row>
    <row r="7" spans="1:5" x14ac:dyDescent="0.3">
      <c r="A7" t="s">
        <v>4</v>
      </c>
      <c r="B7">
        <v>124.64285708134101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6"/>
  <sheetViews>
    <sheetView tabSelected="1" workbookViewId="0">
      <selection activeCell="E16" sqref="E16:G1349"/>
    </sheetView>
  </sheetViews>
  <sheetFormatPr defaultRowHeight="14.4" x14ac:dyDescent="0.3"/>
  <sheetData>
    <row r="3" spans="2:6" x14ac:dyDescent="0.3">
      <c r="D3" t="s">
        <v>31</v>
      </c>
    </row>
    <row r="5" spans="2:6" x14ac:dyDescent="0.3">
      <c r="B5" t="s">
        <v>30</v>
      </c>
      <c r="C5">
        <v>124.64285699018986</v>
      </c>
    </row>
    <row r="6" spans="2:6" x14ac:dyDescent="0.3">
      <c r="E6" t="s">
        <v>32</v>
      </c>
      <c r="F6">
        <f>((3000 - 14 * C5) * (C5 - 35) - 10000)</f>
        <v>102501.78571428572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72" zoomScaleNormal="172" workbookViewId="0">
      <selection activeCell="G6" sqref="G6"/>
    </sheetView>
  </sheetViews>
  <sheetFormatPr defaultRowHeight="14.4" x14ac:dyDescent="0.3"/>
  <sheetData>
    <row r="1" spans="1:5" x14ac:dyDescent="0.3">
      <c r="A1" t="s">
        <v>7</v>
      </c>
    </row>
    <row r="2" spans="1:5" x14ac:dyDescent="0.3">
      <c r="A2" t="s">
        <v>1</v>
      </c>
    </row>
    <row r="3" spans="1:5" x14ac:dyDescent="0.3">
      <c r="A3" t="s">
        <v>6</v>
      </c>
    </row>
    <row r="4" spans="1:5" x14ac:dyDescent="0.3">
      <c r="A4" t="s">
        <v>8</v>
      </c>
    </row>
    <row r="5" spans="1:5" x14ac:dyDescent="0.3">
      <c r="A5" t="s">
        <v>9</v>
      </c>
    </row>
    <row r="7" spans="1:5" x14ac:dyDescent="0.3">
      <c r="A7" t="s">
        <v>4</v>
      </c>
      <c r="C7">
        <v>112.14285683307355</v>
      </c>
      <c r="D7" t="s">
        <v>28</v>
      </c>
      <c r="E7">
        <f>3000/14</f>
        <v>214.28571428571428</v>
      </c>
    </row>
    <row r="8" spans="1:5" x14ac:dyDescent="0.3">
      <c r="A8" t="s">
        <v>10</v>
      </c>
      <c r="C8">
        <v>35</v>
      </c>
    </row>
    <row r="9" spans="1:5" x14ac:dyDescent="0.3">
      <c r="A9" t="s">
        <v>11</v>
      </c>
      <c r="C9">
        <v>3000</v>
      </c>
      <c r="D9" t="s">
        <v>28</v>
      </c>
      <c r="E9">
        <v>3000</v>
      </c>
    </row>
    <row r="10" spans="1:5" x14ac:dyDescent="0.3">
      <c r="D10" s="1"/>
    </row>
    <row r="11" spans="1:5" x14ac:dyDescent="0.3">
      <c r="A11" t="s">
        <v>12</v>
      </c>
      <c r="C11">
        <f>C8*C9</f>
        <v>105000</v>
      </c>
      <c r="D11" s="1" t="s">
        <v>20</v>
      </c>
    </row>
    <row r="12" spans="1:5" x14ac:dyDescent="0.3">
      <c r="A12" t="s">
        <v>13</v>
      </c>
      <c r="C12">
        <v>10000</v>
      </c>
      <c r="D12" s="1"/>
    </row>
    <row r="13" spans="1:5" x14ac:dyDescent="0.3">
      <c r="A13" t="s">
        <v>14</v>
      </c>
      <c r="C13">
        <f>3000-14*C7</f>
        <v>1430.0000043369703</v>
      </c>
      <c r="D13" s="1" t="s">
        <v>19</v>
      </c>
    </row>
    <row r="14" spans="1:5" x14ac:dyDescent="0.3">
      <c r="A14" t="s">
        <v>27</v>
      </c>
      <c r="C14">
        <f>MAX(C9/3000,0)</f>
        <v>1</v>
      </c>
    </row>
    <row r="15" spans="1:5" x14ac:dyDescent="0.3">
      <c r="A15" t="s">
        <v>15</v>
      </c>
      <c r="C15">
        <f>C13^C14</f>
        <v>1430.0000043369703</v>
      </c>
      <c r="D15" s="1" t="s">
        <v>18</v>
      </c>
    </row>
    <row r="16" spans="1:5" x14ac:dyDescent="0.3">
      <c r="A16" t="s">
        <v>16</v>
      </c>
      <c r="C16">
        <f>C15*C7</f>
        <v>160364.28575765542</v>
      </c>
      <c r="D16" s="1" t="s">
        <v>17</v>
      </c>
    </row>
    <row r="17" spans="1:4" x14ac:dyDescent="0.3">
      <c r="A17" t="s">
        <v>21</v>
      </c>
      <c r="C17">
        <f>C9-C15</f>
        <v>1569.9999956630297</v>
      </c>
      <c r="D17" s="1" t="s">
        <v>22</v>
      </c>
    </row>
    <row r="18" spans="1:4" x14ac:dyDescent="0.3">
      <c r="A18" t="s">
        <v>23</v>
      </c>
      <c r="C18">
        <f>C17*10</f>
        <v>15699.999956630298</v>
      </c>
      <c r="D18" s="1" t="s">
        <v>24</v>
      </c>
    </row>
    <row r="20" spans="1:4" x14ac:dyDescent="0.3">
      <c r="A20" t="s">
        <v>25</v>
      </c>
      <c r="C20">
        <f>C16+C18-(C11+C12)</f>
        <v>61064.28571428571</v>
      </c>
      <c r="D20" s="1" t="s">
        <v>26</v>
      </c>
    </row>
    <row r="22" spans="1:4" x14ac:dyDescent="0.3">
      <c r="A22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1</vt:lpstr>
      <vt:lpstr>RETRY P1</vt:lpstr>
      <vt:lpstr>Problem 2</vt:lpstr>
      <vt:lpstr>RETRY P2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2019-11-13T18:25:20Z</dcterms:modified>
</cp:coreProperties>
</file>