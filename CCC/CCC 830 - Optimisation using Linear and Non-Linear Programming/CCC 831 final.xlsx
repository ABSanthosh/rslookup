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filterPrivacy="1" defaultThemeVersion="124226"/>
  <xr:revisionPtr revIDLastSave="0" documentId="8_{741CDFB0-4985-5745-ACE3-1E50F182A908}" xr6:coauthVersionLast="45" xr6:coauthVersionMax="45" xr10:uidLastSave="{00000000-0000-0000-0000-000000000000}"/>
  <bookViews>
    <workbookView xWindow="240" yWindow="460" windowWidth="28560" windowHeight="17540" activeTab="1" xr2:uid="{00000000-000D-0000-FFFF-FFFF00000000}"/>
  </bookViews>
  <sheets>
    <sheet name="Sheet1" sheetId="1" r:id="rId1"/>
    <sheet name="Q1" sheetId="2" r:id="rId2"/>
  </sheets>
  <definedNames>
    <definedName name="solver_adj" localSheetId="1" hidden="1">'Q1'!$B$4:$B$6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'Q1'!$B$12:$B$14</definedName>
    <definedName name="solver_lhs2" localSheetId="1" hidden="1">'Q1'!$B$4</definedName>
    <definedName name="solver_lhs3" localSheetId="1" hidden="1">'Q1'!$B$4:$B$6</definedName>
    <definedName name="solver_lhs4" localSheetId="1" hidden="1">'Q1'!$B$4:$B$6</definedName>
    <definedName name="solver_lhs5" localSheetId="1" hidden="1">'Q1'!$B$6</definedName>
    <definedName name="solver_lhs6" localSheetId="1" hidden="1">'Q1'!$C$21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opt" localSheetId="1" hidden="1">'Q1'!$B$28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hs1" localSheetId="1" hidden="1">'Q1'!$D$12:$D$14</definedName>
    <definedName name="solver_rhs2" localSheetId="1" hidden="1">'Q1'!$D$4</definedName>
    <definedName name="solver_rhs3" localSheetId="1" hidden="1">'Q1'!$C$17:$C$19</definedName>
    <definedName name="solver_rhs4" localSheetId="1" hidden="1">0</definedName>
    <definedName name="solver_rhs5" localSheetId="1" hidden="1">'Q1'!$D$6</definedName>
    <definedName name="solver_rhs6" localSheetId="1" hidden="1">'Q1'!$E$21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45000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3" i="2" l="1"/>
  <c r="H15" i="2"/>
  <c r="I24" i="2"/>
  <c r="D6" i="2"/>
  <c r="D4" i="2"/>
  <c r="C18" i="2"/>
  <c r="C19" i="2"/>
  <c r="C17" i="2"/>
  <c r="B14" i="2"/>
  <c r="B13" i="2"/>
  <c r="B12" i="2"/>
  <c r="B24" i="2" l="1"/>
  <c r="C21" i="2"/>
  <c r="G29" i="1"/>
  <c r="F29" i="1"/>
  <c r="H31" i="1"/>
  <c r="G31" i="1"/>
  <c r="F31" i="1"/>
  <c r="H30" i="1"/>
  <c r="F30" i="1"/>
  <c r="H21" i="1"/>
  <c r="F21" i="1"/>
  <c r="H19" i="1"/>
  <c r="F19" i="1"/>
  <c r="B28" i="2" l="1"/>
</calcChain>
</file>

<file path=xl/sharedStrings.xml><?xml version="1.0" encoding="utf-8"?>
<sst xmlns="http://schemas.openxmlformats.org/spreadsheetml/2006/main" count="89" uniqueCount="51">
  <si>
    <t>P=3x+5y</t>
  </si>
  <si>
    <t>x&lt;=4</t>
  </si>
  <si>
    <t>2y&lt;=12</t>
  </si>
  <si>
    <t>3x+2y&lt;=18</t>
  </si>
  <si>
    <t>x,y&gt;=0</t>
  </si>
  <si>
    <t>=&gt;</t>
  </si>
  <si>
    <t>P-3x-5y =0</t>
  </si>
  <si>
    <t>x+a=4</t>
  </si>
  <si>
    <t>2y+b=12</t>
  </si>
  <si>
    <t>3x+2y+c=18</t>
  </si>
  <si>
    <t>Simplex Table</t>
  </si>
  <si>
    <t>P</t>
  </si>
  <si>
    <t>x</t>
  </si>
  <si>
    <t>y</t>
  </si>
  <si>
    <t>a</t>
  </si>
  <si>
    <t>b</t>
  </si>
  <si>
    <t>c</t>
  </si>
  <si>
    <t>RHS</t>
  </si>
  <si>
    <t>Basic Var</t>
  </si>
  <si>
    <r>
      <t>NBV:</t>
    </r>
    <r>
      <rPr>
        <sz val="11"/>
        <color theme="1"/>
        <rFont val="Calibri"/>
        <family val="2"/>
        <scheme val="minor"/>
      </rPr>
      <t xml:space="preserve"> x, y</t>
    </r>
  </si>
  <si>
    <t>RHS/y</t>
  </si>
  <si>
    <t>Infinity</t>
  </si>
  <si>
    <t>Entering BV: y (Top row coeff. of -5 which is lowest negative)</t>
  </si>
  <si>
    <t>Leaving BV: b (RHS/y-coefficient ratio of 6, which is lowest positive)</t>
  </si>
  <si>
    <t>To turn y into a BV, its coefficient needs to be 1 in its row, and zero otherwise.</t>
  </si>
  <si>
    <t>Row 1 -&gt; Row 1 + (5/2)*Row 3; Row 4 -&gt; Row 4 - Row 3; Row 3 -&gt; 0.5*Row 3</t>
  </si>
  <si>
    <t>Next table: NBVs are x, b</t>
  </si>
  <si>
    <t>Entering BV: x (Top row coeff. of -3)</t>
  </si>
  <si>
    <t>RHS/x</t>
  </si>
  <si>
    <t>Leaving BV: c (ratio of 2)</t>
  </si>
  <si>
    <t>Row 1-&gt; Row 1 + Row 4; Row 4 -&gt; (1/3)*Row 4; Row 2 -&gt; Row 2 - Row 4</t>
  </si>
  <si>
    <t>Next table: NBVs are b, c</t>
  </si>
  <si>
    <t>NBV coefficients in top row are non-negative, optimality condition reached</t>
  </si>
  <si>
    <t>P =</t>
  </si>
  <si>
    <t>x=</t>
  </si>
  <si>
    <t>y=</t>
  </si>
  <si>
    <t>a=</t>
  </si>
  <si>
    <t>A</t>
  </si>
  <si>
    <t>B</t>
  </si>
  <si>
    <t>C</t>
  </si>
  <si>
    <t>XA</t>
  </si>
  <si>
    <t>XB</t>
  </si>
  <si>
    <t>XC</t>
  </si>
  <si>
    <t>DA</t>
  </si>
  <si>
    <t>DB</t>
  </si>
  <si>
    <t>DC</t>
  </si>
  <si>
    <t>&lt;=</t>
  </si>
  <si>
    <t>COST</t>
  </si>
  <si>
    <t>INCOME</t>
  </si>
  <si>
    <t>PROFIT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</si>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</sst>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quotePrefix="1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2" borderId="0" xfId="0" applyFont="1" applyFill="1"/>
    <xf numFmtId="0" fontId="0" fillId="0" borderId="1" xfId="0" applyFill="1" applyBorder="1"/>
    <xf numFmtId="0" fontId="0" fillId="0" borderId="0" xfId="0" applyFill="1"/>
    <xf numFmtId="0" fontId="3" fillId="0" borderId="0" xfId="0" applyFont="1" applyFill="1"/>
    <xf numFmtId="0" fontId="0" fillId="0" borderId="0" xfId="0" applyNumberFormat="1"/>
    <xf numFmtId="0" fontId="2" fillId="0" borderId="0" xfId="0" applyNumberFormat="1" applyFont="1"/>
    <xf numFmtId="0" fontId="0" fillId="0" borderId="1" xfId="0" applyNumberFormat="1" applyBorder="1"/>
    <xf numFmtId="0" fontId="3" fillId="0" borderId="1" xfId="0" applyNumberFormat="1" applyFont="1" applyFill="1" applyBorder="1"/>
    <xf numFmtId="0" fontId="3" fillId="0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opLeftCell="A21" zoomScale="172" zoomScaleNormal="172" workbookViewId="0">
      <selection activeCell="B34" sqref="B34"/>
    </sheetView>
  </sheetViews>
  <sheetFormatPr baseColWidth="10" defaultColWidth="8.83203125" defaultRowHeight="15" x14ac:dyDescent="0.2"/>
  <sheetData>
    <row r="1" spans="1:9" x14ac:dyDescent="0.2">
      <c r="A1" t="s">
        <v>0</v>
      </c>
      <c r="D1" t="s">
        <v>6</v>
      </c>
    </row>
    <row r="2" spans="1:9" x14ac:dyDescent="0.2">
      <c r="A2" t="s">
        <v>1</v>
      </c>
      <c r="D2" t="s">
        <v>7</v>
      </c>
    </row>
    <row r="3" spans="1:9" x14ac:dyDescent="0.2">
      <c r="A3" t="s">
        <v>2</v>
      </c>
      <c r="C3" s="1" t="s">
        <v>5</v>
      </c>
      <c r="D3" t="s">
        <v>8</v>
      </c>
    </row>
    <row r="4" spans="1:9" x14ac:dyDescent="0.2">
      <c r="A4" t="s">
        <v>3</v>
      </c>
      <c r="D4" t="s">
        <v>9</v>
      </c>
    </row>
    <row r="5" spans="1:9" x14ac:dyDescent="0.2">
      <c r="A5" t="s">
        <v>4</v>
      </c>
    </row>
    <row r="6" spans="1:9" x14ac:dyDescent="0.2">
      <c r="C6" s="2" t="s">
        <v>10</v>
      </c>
    </row>
    <row r="7" spans="1:9" x14ac:dyDescent="0.2"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20</v>
      </c>
    </row>
    <row r="8" spans="1:9" x14ac:dyDescent="0.2">
      <c r="A8" s="2" t="s">
        <v>18</v>
      </c>
      <c r="B8" s="3">
        <v>1</v>
      </c>
      <c r="C8" s="3">
        <v>-3</v>
      </c>
      <c r="D8" s="4">
        <v>-5</v>
      </c>
      <c r="E8" s="3">
        <v>0</v>
      </c>
      <c r="F8" s="3">
        <v>0</v>
      </c>
      <c r="G8" s="3">
        <v>0</v>
      </c>
      <c r="H8" s="3">
        <v>0</v>
      </c>
    </row>
    <row r="9" spans="1:9" x14ac:dyDescent="0.2">
      <c r="A9" t="s">
        <v>14</v>
      </c>
      <c r="B9">
        <v>0</v>
      </c>
      <c r="C9">
        <v>1</v>
      </c>
      <c r="D9" s="5">
        <v>0</v>
      </c>
      <c r="E9">
        <v>1</v>
      </c>
      <c r="F9">
        <v>0</v>
      </c>
      <c r="G9">
        <v>0</v>
      </c>
      <c r="H9">
        <v>4</v>
      </c>
      <c r="I9" t="s">
        <v>21</v>
      </c>
    </row>
    <row r="10" spans="1:9" x14ac:dyDescent="0.2">
      <c r="A10" t="s">
        <v>15</v>
      </c>
      <c r="B10">
        <v>0</v>
      </c>
      <c r="C10">
        <v>0</v>
      </c>
      <c r="D10" s="6">
        <v>2</v>
      </c>
      <c r="E10">
        <v>0</v>
      </c>
      <c r="F10">
        <v>1</v>
      </c>
      <c r="G10">
        <v>0</v>
      </c>
      <c r="H10">
        <v>12</v>
      </c>
      <c r="I10">
        <v>6</v>
      </c>
    </row>
    <row r="11" spans="1:9" x14ac:dyDescent="0.2">
      <c r="A11" t="s">
        <v>16</v>
      </c>
      <c r="B11">
        <v>0</v>
      </c>
      <c r="C11">
        <v>3</v>
      </c>
      <c r="D11" s="5">
        <v>2</v>
      </c>
      <c r="E11">
        <v>0</v>
      </c>
      <c r="F11">
        <v>0</v>
      </c>
      <c r="G11">
        <v>1</v>
      </c>
      <c r="H11">
        <v>18</v>
      </c>
      <c r="I11">
        <v>9</v>
      </c>
    </row>
    <row r="12" spans="1:9" x14ac:dyDescent="0.2">
      <c r="B12" s="2" t="s">
        <v>19</v>
      </c>
    </row>
    <row r="13" spans="1:9" x14ac:dyDescent="0.2">
      <c r="B13" t="s">
        <v>22</v>
      </c>
    </row>
    <row r="14" spans="1:9" x14ac:dyDescent="0.2">
      <c r="B14" t="s">
        <v>23</v>
      </c>
    </row>
    <row r="15" spans="1:9" x14ac:dyDescent="0.2">
      <c r="A15" t="s">
        <v>24</v>
      </c>
    </row>
    <row r="16" spans="1:9" x14ac:dyDescent="0.2">
      <c r="A16" t="s">
        <v>25</v>
      </c>
    </row>
    <row r="17" spans="1:9" x14ac:dyDescent="0.2">
      <c r="A17" t="s">
        <v>26</v>
      </c>
    </row>
    <row r="18" spans="1:9" x14ac:dyDescent="0.2"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28</v>
      </c>
    </row>
    <row r="19" spans="1:9" x14ac:dyDescent="0.2">
      <c r="A19" s="2" t="s">
        <v>18</v>
      </c>
      <c r="B19" s="3">
        <v>1</v>
      </c>
      <c r="C19" s="4">
        <v>-3</v>
      </c>
      <c r="D19" s="7">
        <v>0</v>
      </c>
      <c r="E19" s="3">
        <v>0</v>
      </c>
      <c r="F19" s="3">
        <f>5/2</f>
        <v>2.5</v>
      </c>
      <c r="G19" s="3">
        <v>0</v>
      </c>
      <c r="H19" s="3">
        <f>12*5/2</f>
        <v>30</v>
      </c>
    </row>
    <row r="20" spans="1:9" x14ac:dyDescent="0.2">
      <c r="A20" t="s">
        <v>14</v>
      </c>
      <c r="B20">
        <v>0</v>
      </c>
      <c r="C20" s="5">
        <v>1</v>
      </c>
      <c r="D20" s="8">
        <v>0</v>
      </c>
      <c r="E20">
        <v>1</v>
      </c>
      <c r="F20">
        <v>0</v>
      </c>
      <c r="G20">
        <v>0</v>
      </c>
      <c r="H20">
        <v>4</v>
      </c>
      <c r="I20">
        <v>4</v>
      </c>
    </row>
    <row r="21" spans="1:9" x14ac:dyDescent="0.2">
      <c r="A21" t="s">
        <v>13</v>
      </c>
      <c r="B21">
        <v>0</v>
      </c>
      <c r="C21" s="5">
        <v>0</v>
      </c>
      <c r="D21" s="9">
        <v>1</v>
      </c>
      <c r="E21">
        <v>0</v>
      </c>
      <c r="F21">
        <f>1/2</f>
        <v>0.5</v>
      </c>
      <c r="G21">
        <v>0</v>
      </c>
      <c r="H21">
        <f>12/2</f>
        <v>6</v>
      </c>
      <c r="I21" t="s">
        <v>21</v>
      </c>
    </row>
    <row r="22" spans="1:9" x14ac:dyDescent="0.2">
      <c r="A22" t="s">
        <v>16</v>
      </c>
      <c r="B22">
        <v>0</v>
      </c>
      <c r="C22" s="6">
        <v>3</v>
      </c>
      <c r="D22" s="8">
        <v>0</v>
      </c>
      <c r="E22">
        <v>0</v>
      </c>
      <c r="F22">
        <v>-1</v>
      </c>
      <c r="G22">
        <v>1</v>
      </c>
      <c r="H22">
        <v>6</v>
      </c>
      <c r="I22">
        <v>2</v>
      </c>
    </row>
    <row r="23" spans="1:9" x14ac:dyDescent="0.2">
      <c r="B23" t="s">
        <v>27</v>
      </c>
    </row>
    <row r="24" spans="1:9" x14ac:dyDescent="0.2">
      <c r="B24" t="s">
        <v>29</v>
      </c>
    </row>
    <row r="25" spans="1:9" x14ac:dyDescent="0.2">
      <c r="A25" t="s">
        <v>30</v>
      </c>
    </row>
    <row r="26" spans="1:9" x14ac:dyDescent="0.2">
      <c r="A26" t="s">
        <v>31</v>
      </c>
    </row>
    <row r="27" spans="1:9" x14ac:dyDescent="0.2">
      <c r="A27" s="10"/>
      <c r="B27" s="10" t="s">
        <v>11</v>
      </c>
      <c r="C27" s="10" t="s">
        <v>12</v>
      </c>
      <c r="D27" s="10" t="s">
        <v>13</v>
      </c>
      <c r="E27" s="10" t="s">
        <v>14</v>
      </c>
      <c r="F27" s="10" t="s">
        <v>15</v>
      </c>
      <c r="G27" s="10" t="s">
        <v>16</v>
      </c>
      <c r="H27" s="10" t="s">
        <v>17</v>
      </c>
      <c r="I27" s="10"/>
    </row>
    <row r="28" spans="1:9" x14ac:dyDescent="0.2">
      <c r="A28" s="11" t="s">
        <v>18</v>
      </c>
      <c r="B28" s="12">
        <v>1</v>
      </c>
      <c r="C28" s="12">
        <v>0</v>
      </c>
      <c r="D28" s="13">
        <v>0</v>
      </c>
      <c r="E28" s="12">
        <v>0</v>
      </c>
      <c r="F28" s="12">
        <v>1.5</v>
      </c>
      <c r="G28" s="12">
        <v>0</v>
      </c>
      <c r="H28" s="12">
        <v>36</v>
      </c>
      <c r="I28" s="10"/>
    </row>
    <row r="29" spans="1:9" x14ac:dyDescent="0.2">
      <c r="A29" s="10" t="s">
        <v>14</v>
      </c>
      <c r="B29" s="10">
        <v>0</v>
      </c>
      <c r="C29" s="10">
        <v>0</v>
      </c>
      <c r="D29" s="14">
        <v>0</v>
      </c>
      <c r="E29" s="10">
        <v>1</v>
      </c>
      <c r="F29" s="10">
        <f>(1/3)</f>
        <v>0.33333333333333331</v>
      </c>
      <c r="G29" s="10">
        <f>-1/3</f>
        <v>-0.33333333333333331</v>
      </c>
      <c r="H29" s="10">
        <v>2</v>
      </c>
      <c r="I29" s="10"/>
    </row>
    <row r="30" spans="1:9" x14ac:dyDescent="0.2">
      <c r="A30" s="10" t="s">
        <v>13</v>
      </c>
      <c r="B30" s="10">
        <v>0</v>
      </c>
      <c r="C30" s="10">
        <v>0</v>
      </c>
      <c r="D30" s="14">
        <v>1</v>
      </c>
      <c r="E30" s="10">
        <v>0</v>
      </c>
      <c r="F30" s="10">
        <f>1/2</f>
        <v>0.5</v>
      </c>
      <c r="G30" s="10">
        <v>0</v>
      </c>
      <c r="H30" s="10">
        <f>12/2</f>
        <v>6</v>
      </c>
      <c r="I30" s="10"/>
    </row>
    <row r="31" spans="1:9" x14ac:dyDescent="0.2">
      <c r="A31" s="10" t="s">
        <v>12</v>
      </c>
      <c r="B31" s="10">
        <v>0</v>
      </c>
      <c r="C31" s="10">
        <v>1</v>
      </c>
      <c r="D31" s="14">
        <v>0</v>
      </c>
      <c r="E31" s="10">
        <v>0</v>
      </c>
      <c r="F31" s="10">
        <f>-1/3</f>
        <v>-0.33333333333333331</v>
      </c>
      <c r="G31" s="10">
        <f>1/3</f>
        <v>0.33333333333333331</v>
      </c>
      <c r="H31" s="10">
        <f>6/3</f>
        <v>2</v>
      </c>
      <c r="I31" s="10"/>
    </row>
    <row r="32" spans="1:9" x14ac:dyDescent="0.2">
      <c r="A32" s="10" t="s">
        <v>32</v>
      </c>
    </row>
    <row r="33" spans="1:6" x14ac:dyDescent="0.2">
      <c r="A33" s="10" t="s">
        <v>33</v>
      </c>
      <c r="B33" s="15">
        <v>36</v>
      </c>
    </row>
    <row r="34" spans="1:6" x14ac:dyDescent="0.2">
      <c r="A34" s="10" t="s">
        <v>34</v>
      </c>
      <c r="B34">
        <v>2</v>
      </c>
      <c r="C34" t="s">
        <v>35</v>
      </c>
      <c r="D34" s="14">
        <v>6</v>
      </c>
      <c r="E34" t="s">
        <v>36</v>
      </c>
      <c r="F34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F1D3-E3A0-D149-BBA4-019A0C4737FE}">
  <dimension ref="A1:J28"/>
  <sheetViews>
    <sheetView tabSelected="1" workbookViewId="0">
      <selection activeCell="J21" sqref="J21"/>
    </sheetView>
  </sheetViews>
  <sheetFormatPr baseColWidth="10" defaultRowHeight="15" x14ac:dyDescent="0.2"/>
  <sheetData>
    <row r="1" spans="1:8" x14ac:dyDescent="0.2">
      <c r="A1" t="s">
        <v>37</v>
      </c>
    </row>
    <row r="2" spans="1:8" x14ac:dyDescent="0.2">
      <c r="A2" t="s">
        <v>38</v>
      </c>
    </row>
    <row r="3" spans="1:8" x14ac:dyDescent="0.2">
      <c r="A3" t="s">
        <v>39</v>
      </c>
    </row>
    <row r="4" spans="1:8" x14ac:dyDescent="0.2">
      <c r="A4" t="s">
        <v>40</v>
      </c>
      <c r="B4">
        <v>590.3601745757345</v>
      </c>
      <c r="D4">
        <f>5000/6</f>
        <v>833.33333333333337</v>
      </c>
    </row>
    <row r="5" spans="1:8" x14ac:dyDescent="0.2">
      <c r="A5" t="s">
        <v>41</v>
      </c>
      <c r="B5">
        <v>296.80963240859631</v>
      </c>
    </row>
    <row r="6" spans="1:8" x14ac:dyDescent="0.2">
      <c r="A6" t="s">
        <v>42</v>
      </c>
      <c r="B6">
        <v>898.23942999273822</v>
      </c>
      <c r="D6">
        <f>2000/1.5</f>
        <v>1333.3333333333333</v>
      </c>
    </row>
    <row r="8" spans="1:8" x14ac:dyDescent="0.2">
      <c r="A8" t="s">
        <v>37</v>
      </c>
      <c r="B8">
        <v>300</v>
      </c>
    </row>
    <row r="9" spans="1:8" x14ac:dyDescent="0.2">
      <c r="A9" t="s">
        <v>38</v>
      </c>
      <c r="B9">
        <v>250</v>
      </c>
    </row>
    <row r="10" spans="1:8" x14ac:dyDescent="0.2">
      <c r="A10" t="s">
        <v>39</v>
      </c>
      <c r="B10">
        <v>400</v>
      </c>
    </row>
    <row r="12" spans="1:8" x14ac:dyDescent="0.2">
      <c r="A12" t="s">
        <v>43</v>
      </c>
      <c r="B12">
        <f>(5000-6*B4)</f>
        <v>1457.8389525455932</v>
      </c>
      <c r="C12" t="s">
        <v>50</v>
      </c>
      <c r="D12">
        <v>200</v>
      </c>
    </row>
    <row r="13" spans="1:8" x14ac:dyDescent="0.2">
      <c r="A13" t="s">
        <v>44</v>
      </c>
      <c r="B13">
        <f>(45000+156*B5-B5^2)</f>
        <v>3206.344765214948</v>
      </c>
      <c r="C13" t="s">
        <v>50</v>
      </c>
      <c r="D13">
        <v>200</v>
      </c>
    </row>
    <row r="14" spans="1:8" x14ac:dyDescent="0.2">
      <c r="A14" t="s">
        <v>45</v>
      </c>
      <c r="B14">
        <f>(2000-1.5*B6)</f>
        <v>652.64085501089266</v>
      </c>
      <c r="C14" t="s">
        <v>50</v>
      </c>
      <c r="D14">
        <v>200</v>
      </c>
      <c r="H14">
        <v>2</v>
      </c>
    </row>
    <row r="15" spans="1:8" x14ac:dyDescent="0.2">
      <c r="H15">
        <f>2^H14</f>
        <v>4</v>
      </c>
    </row>
    <row r="17" spans="1:10" x14ac:dyDescent="0.2">
      <c r="A17" t="s">
        <v>40</v>
      </c>
      <c r="B17" t="s">
        <v>46</v>
      </c>
      <c r="C17">
        <f>2.5*B8</f>
        <v>750</v>
      </c>
    </row>
    <row r="18" spans="1:10" x14ac:dyDescent="0.2">
      <c r="A18" t="s">
        <v>41</v>
      </c>
      <c r="B18" t="s">
        <v>46</v>
      </c>
      <c r="C18">
        <f t="shared" ref="C18:C19" si="0">2.5*B9</f>
        <v>625</v>
      </c>
    </row>
    <row r="19" spans="1:10" x14ac:dyDescent="0.2">
      <c r="A19" t="s">
        <v>42</v>
      </c>
      <c r="B19" t="s">
        <v>46</v>
      </c>
      <c r="C19">
        <f t="shared" si="0"/>
        <v>1000</v>
      </c>
    </row>
    <row r="21" spans="1:10" x14ac:dyDescent="0.2">
      <c r="A21" t="s">
        <v>47</v>
      </c>
      <c r="C21">
        <f>B8*B12+B9*B13+B14*B10</f>
        <v>1499994.2190717722</v>
      </c>
      <c r="D21" t="s">
        <v>46</v>
      </c>
      <c r="E21">
        <v>1500000</v>
      </c>
    </row>
    <row r="22" spans="1:10" x14ac:dyDescent="0.2">
      <c r="I22" t="s">
        <v>41</v>
      </c>
      <c r="J22">
        <v>0</v>
      </c>
    </row>
    <row r="23" spans="1:10" x14ac:dyDescent="0.2">
      <c r="I23">
        <f>J22^2-156*J22</f>
        <v>0</v>
      </c>
    </row>
    <row r="24" spans="1:10" x14ac:dyDescent="0.2">
      <c r="A24" t="s">
        <v>48</v>
      </c>
      <c r="B24">
        <f>B12*B4+B5*B13+B6*B14</f>
        <v>2398551.8192617558</v>
      </c>
      <c r="I24">
        <f>45000</f>
        <v>45000</v>
      </c>
    </row>
    <row r="28" spans="1:10" x14ac:dyDescent="0.2">
      <c r="A28" t="s">
        <v>49</v>
      </c>
      <c r="B28">
        <f>B24-C21</f>
        <v>898557.60018998361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2019-11-26T04:16:49Z</dcterms:modified>
</cp:coreProperties>
</file>