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activeTab="2"/>
  </bookViews>
  <sheets>
    <sheet name="Q1" sheetId="1" r:id="rId1"/>
    <sheet name="Q2" sheetId="3" r:id="rId2"/>
    <sheet name="Q3" sheetId="4" r:id="rId3"/>
  </sheets>
  <definedNames>
    <definedName name="solver_adj" localSheetId="0" hidden="1">'Q1'!$E$9</definedName>
    <definedName name="solver_adj" localSheetId="1" hidden="1">'Q2'!$E$11</definedName>
    <definedName name="solver_adj" localSheetId="2" hidden="1">'Q3'!$E$13,'Q3'!$E$17</definedName>
    <definedName name="solver_cvg" localSheetId="0" hidden="1">0.0001</definedName>
    <definedName name="solver_cvg" localSheetId="1" hidden="1">0.0001</definedName>
    <definedName name="solver_cvg" localSheetId="2" hidden="1">0.00001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'Q1'!$E$9</definedName>
    <definedName name="solver_lhs1" localSheetId="1" hidden="1">'Q2'!$E$11</definedName>
    <definedName name="solver_lhs1" localSheetId="2" hidden="1">'Q3'!$E$13</definedName>
    <definedName name="solver_lhs2" localSheetId="2" hidden="1">'Q3'!$E$13</definedName>
    <definedName name="solver_lhs3" localSheetId="2" hidden="1">'Q3'!$E$17</definedName>
    <definedName name="solver_lhs4" localSheetId="2" hidden="1">'Q3'!$E$21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1</definedName>
    <definedName name="solver_msl" localSheetId="1" hidden="1">1</definedName>
    <definedName name="solver_msl" localSheetId="2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1</definedName>
    <definedName name="solver_num" localSheetId="1" hidden="1">1</definedName>
    <definedName name="solver_num" localSheetId="2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'Q1'!$E$17</definedName>
    <definedName name="solver_opt" localSheetId="1" hidden="1">'Q2'!$E$19</definedName>
    <definedName name="solver_opt" localSheetId="2" hidden="1">'Q3'!$E$17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hs1" localSheetId="0" hidden="1">80000</definedName>
    <definedName name="solver_rhs1" localSheetId="1" hidden="1">80000</definedName>
    <definedName name="solver_rhs1" localSheetId="2" hidden="1">80000</definedName>
    <definedName name="solver_rhs2" localSheetId="2" hidden="1">20000</definedName>
    <definedName name="solver_rhs3" localSheetId="2" hidden="1">1000000</definedName>
    <definedName name="solver_rhs4" localSheetId="2" hidden="1">'Q3'!$E$12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52511"/>
</workbook>
</file>

<file path=xl/calcChain.xml><?xml version="1.0" encoding="utf-8"?>
<calcChain xmlns="http://schemas.openxmlformats.org/spreadsheetml/2006/main">
  <c r="E18" i="4" l="1"/>
  <c r="E14" i="4"/>
  <c r="E12" i="4"/>
  <c r="E15" i="4"/>
  <c r="E14" i="3"/>
  <c r="E15" i="3" s="1"/>
  <c r="E13" i="3"/>
  <c r="E13" i="1"/>
  <c r="E11" i="1"/>
  <c r="E10" i="1"/>
  <c r="E16" i="1" s="1"/>
  <c r="E19" i="4" l="1"/>
  <c r="E20" i="4"/>
  <c r="E12" i="3"/>
  <c r="E18" i="3" s="1"/>
  <c r="E16" i="3"/>
  <c r="E17" i="3" s="1"/>
  <c r="E14" i="1"/>
  <c r="E17" i="1" s="1"/>
  <c r="E21" i="4" l="1"/>
  <c r="E19" i="3"/>
</calcChain>
</file>

<file path=xl/sharedStrings.xml><?xml version="1.0" encoding="utf-8"?>
<sst xmlns="http://schemas.openxmlformats.org/spreadsheetml/2006/main" count="77" uniqueCount="46">
  <si>
    <t>A company has total of $80,000 to invest. It can invest in two options:</t>
  </si>
  <si>
    <t>(a) It can bid on a contract. The winning bid on the contract has average value</t>
  </si>
  <si>
    <t xml:space="preserve">50,000 with stdev 20,000, normally distributed. If the company wins the contract they get </t>
  </si>
  <si>
    <t>back $75,000, if they lose they get their bid refunded minus 5%.</t>
  </si>
  <si>
    <t>(b) The company can buy bounds which give a profit of 4%.</t>
  </si>
  <si>
    <t>How much should the company spend on bidding for the contract, and how much on bonds</t>
  </si>
  <si>
    <t>to maximize income.</t>
  </si>
  <si>
    <t>Amount bid on contract = x =</t>
  </si>
  <si>
    <t>Amount on bonds = 80000-x=</t>
  </si>
  <si>
    <t>Probability of winning the contract=</t>
  </si>
  <si>
    <t>Income when contract won=</t>
  </si>
  <si>
    <t>Income when contract lost=</t>
  </si>
  <si>
    <t>(Bid minus 5%)</t>
  </si>
  <si>
    <t>P(X&lt;=Bid), ave = 50000, stdev=20000, using norm.dist</t>
  </si>
  <si>
    <t>Expected income from contract=</t>
  </si>
  <si>
    <t>(Winning amount *P(win)+Losing amount*P(loss)</t>
  </si>
  <si>
    <t>Expected income from bonds=</t>
  </si>
  <si>
    <t>Total income=</t>
  </si>
  <si>
    <t>Constraints: x&lt;=80000, x&gt;=0</t>
  </si>
  <si>
    <t>(Contract + Bonds)</t>
  </si>
  <si>
    <t>(Bond Amount plus 4%)</t>
  </si>
  <si>
    <r>
      <t xml:space="preserve">back </t>
    </r>
    <r>
      <rPr>
        <b/>
        <sz val="11"/>
        <color theme="1"/>
        <rFont val="Calibri"/>
        <family val="2"/>
        <scheme val="minor"/>
      </rPr>
      <t>$60,000</t>
    </r>
    <r>
      <rPr>
        <sz val="11"/>
        <color theme="1"/>
        <rFont val="Calibri"/>
        <family val="2"/>
        <scheme val="minor"/>
      </rPr>
      <t>, if they lose they get their bid refunded minus 5%.</t>
    </r>
  </si>
  <si>
    <t>If they bid on the contract at all, min. bid is 20000, otherwise bid is 0.</t>
  </si>
  <si>
    <t>Alternate solution:</t>
  </si>
  <si>
    <t>Whichever is higher is the optimal answer.</t>
  </si>
  <si>
    <t>Solve problem with constraint x&gt;=20000, compare solution to result when x=0.</t>
  </si>
  <si>
    <t>Bid on contract?</t>
  </si>
  <si>
    <t>(If then statement, 1=true, 0=false)</t>
  </si>
  <si>
    <t>(60000* Bid on contract or not)</t>
  </si>
  <si>
    <t>(Bid minus 5%)*(bid on contract or not)</t>
  </si>
  <si>
    <t xml:space="preserve">Amount on bonds = </t>
  </si>
  <si>
    <t>(80000-x*(bid on contract or not)), since no bidding if x&lt;20000)</t>
  </si>
  <si>
    <r>
      <t xml:space="preserve">back </t>
    </r>
    <r>
      <rPr>
        <b/>
        <sz val="11"/>
        <color theme="1"/>
        <rFont val="Calibri"/>
        <family val="2"/>
        <scheme val="minor"/>
      </rPr>
      <t>unknown amount y</t>
    </r>
    <r>
      <rPr>
        <sz val="11"/>
        <color theme="1"/>
        <rFont val="Calibri"/>
        <family val="2"/>
        <scheme val="minor"/>
      </rPr>
      <t>, if they lose they get their bid refunded minus 5%.</t>
    </r>
  </si>
  <si>
    <t>What is the minimum value of y for the company to bid on the contract?</t>
  </si>
  <si>
    <t>For the company to bid on contract, y has to be high enough for total income to</t>
  </si>
  <si>
    <t>exceed income when x=0, while x&gt;=20000 (since 20000 is minimum bid)</t>
  </si>
  <si>
    <t>(Assume x&gt;=20000)</t>
  </si>
  <si>
    <t>(Find y so total income exceeds this)</t>
  </si>
  <si>
    <t>Income when contract won y=</t>
  </si>
  <si>
    <t>Constraints: x&lt;=80000, x&gt;=20000</t>
  </si>
  <si>
    <t>Take arbitrary upper bound, y&lt;=1000000</t>
  </si>
  <si>
    <t>y&gt;=0;</t>
  </si>
  <si>
    <t>Total income&gt;=Income when x=0</t>
  </si>
  <si>
    <t>Objective: Minimize y</t>
  </si>
  <si>
    <t>Income when there is no bid (x=0)=</t>
  </si>
  <si>
    <t>(80000-x)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</si>
</sst>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7" zoomScale="172" zoomScaleNormal="172" workbookViewId="0">
      <selection activeCell="F17" sqref="F17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t="s">
        <v>6</v>
      </c>
    </row>
    <row r="9" spans="1:6" x14ac:dyDescent="0.25">
      <c r="A9" t="s">
        <v>7</v>
      </c>
      <c r="E9">
        <v>49562.306917416914</v>
      </c>
    </row>
    <row r="10" spans="1:6" x14ac:dyDescent="0.25">
      <c r="A10" t="s">
        <v>8</v>
      </c>
      <c r="E10">
        <f>80000-E9</f>
        <v>30437.693082583086</v>
      </c>
    </row>
    <row r="11" spans="1:6" x14ac:dyDescent="0.25">
      <c r="A11" t="s">
        <v>9</v>
      </c>
      <c r="E11">
        <f>_xlfn.NORM.DIST(E9,50000,20000,1)</f>
        <v>0.49126998303774999</v>
      </c>
      <c r="F11" s="1" t="s">
        <v>13</v>
      </c>
    </row>
    <row r="12" spans="1:6" x14ac:dyDescent="0.25">
      <c r="A12" t="s">
        <v>10</v>
      </c>
      <c r="E12">
        <v>75000</v>
      </c>
    </row>
    <row r="13" spans="1:6" x14ac:dyDescent="0.25">
      <c r="A13" t="s">
        <v>11</v>
      </c>
      <c r="E13">
        <f>E9*0.95</f>
        <v>47084.191571546064</v>
      </c>
      <c r="F13" s="1" t="s">
        <v>12</v>
      </c>
    </row>
    <row r="14" spans="1:6" x14ac:dyDescent="0.25">
      <c r="A14" t="s">
        <v>14</v>
      </c>
      <c r="E14">
        <f>E12*E11+E13*(1-E11)</f>
        <v>60798.390304677698</v>
      </c>
      <c r="F14" s="1" t="s">
        <v>15</v>
      </c>
    </row>
    <row r="16" spans="1:6" x14ac:dyDescent="0.25">
      <c r="A16" t="s">
        <v>16</v>
      </c>
      <c r="E16">
        <f>E10*1.04</f>
        <v>31655.200805886412</v>
      </c>
      <c r="F16" s="1" t="s">
        <v>20</v>
      </c>
    </row>
    <row r="17" spans="1:6" x14ac:dyDescent="0.25">
      <c r="A17" t="s">
        <v>17</v>
      </c>
      <c r="E17">
        <f>E14+E16</f>
        <v>92453.591110564113</v>
      </c>
      <c r="F17" s="1" t="s">
        <v>19</v>
      </c>
    </row>
    <row r="18" spans="1:6" x14ac:dyDescent="0.25">
      <c r="A18" t="s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7" zoomScale="172" zoomScaleNormal="172" workbookViewId="0">
      <selection activeCell="E14" sqref="E14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21</v>
      </c>
    </row>
    <row r="5" spans="1:7" x14ac:dyDescent="0.25">
      <c r="A5" s="2" t="s">
        <v>22</v>
      </c>
      <c r="B5" s="2"/>
      <c r="C5" s="2"/>
      <c r="D5" s="2"/>
      <c r="E5" s="2"/>
      <c r="F5" s="2"/>
      <c r="G5" s="2"/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6</v>
      </c>
    </row>
    <row r="11" spans="1:7" x14ac:dyDescent="0.25">
      <c r="A11" t="s">
        <v>7</v>
      </c>
      <c r="E11">
        <v>40173.845023420494</v>
      </c>
    </row>
    <row r="12" spans="1:7" x14ac:dyDescent="0.25">
      <c r="A12" t="s">
        <v>30</v>
      </c>
      <c r="E12">
        <f>80000-(E11*E14)</f>
        <v>39826.154976579506</v>
      </c>
      <c r="F12" s="1" t="s">
        <v>31</v>
      </c>
    </row>
    <row r="13" spans="1:7" x14ac:dyDescent="0.25">
      <c r="A13" t="s">
        <v>9</v>
      </c>
      <c r="E13">
        <f>_xlfn.NORM.DIST(E11,50000,20000,1)</f>
        <v>0.31160440005199219</v>
      </c>
      <c r="F13" s="1" t="s">
        <v>13</v>
      </c>
    </row>
    <row r="14" spans="1:7" x14ac:dyDescent="0.25">
      <c r="A14" s="2" t="s">
        <v>26</v>
      </c>
      <c r="E14">
        <f>IF(E11&gt;=20000,1,0)</f>
        <v>1</v>
      </c>
      <c r="F14" s="1" t="s">
        <v>27</v>
      </c>
    </row>
    <row r="15" spans="1:7" x14ac:dyDescent="0.25">
      <c r="A15" t="s">
        <v>10</v>
      </c>
      <c r="E15">
        <f>60000*E14</f>
        <v>60000</v>
      </c>
      <c r="F15" s="1" t="s">
        <v>28</v>
      </c>
    </row>
    <row r="16" spans="1:7" x14ac:dyDescent="0.25">
      <c r="A16" t="s">
        <v>11</v>
      </c>
      <c r="E16">
        <f>E11*0.95*E14</f>
        <v>38165.152772249465</v>
      </c>
      <c r="F16" s="1" t="s">
        <v>29</v>
      </c>
    </row>
    <row r="17" spans="1:6" x14ac:dyDescent="0.25">
      <c r="A17" t="s">
        <v>14</v>
      </c>
      <c r="E17">
        <f>E15*E13+E16*(1-E13)</f>
        <v>44968.987242879579</v>
      </c>
      <c r="F17" s="1" t="s">
        <v>15</v>
      </c>
    </row>
    <row r="18" spans="1:6" x14ac:dyDescent="0.25">
      <c r="A18" t="s">
        <v>16</v>
      </c>
      <c r="E18">
        <f>E12*1.04</f>
        <v>41419.201175642687</v>
      </c>
    </row>
    <row r="19" spans="1:6" x14ac:dyDescent="0.25">
      <c r="A19" t="s">
        <v>17</v>
      </c>
      <c r="E19">
        <f>E17+E18</f>
        <v>86388.188418522273</v>
      </c>
    </row>
    <row r="20" spans="1:6" x14ac:dyDescent="0.25">
      <c r="A20" t="s">
        <v>18</v>
      </c>
    </row>
    <row r="22" spans="1:6" x14ac:dyDescent="0.25">
      <c r="A22" s="3" t="s">
        <v>23</v>
      </c>
    </row>
    <row r="23" spans="1:6" x14ac:dyDescent="0.25">
      <c r="A23" s="1" t="s">
        <v>25</v>
      </c>
    </row>
    <row r="24" spans="1:6" x14ac:dyDescent="0.25">
      <c r="A24" s="1" t="s">
        <v>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10" zoomScale="172" zoomScaleNormal="172" workbookViewId="0">
      <selection activeCell="E21" sqref="E21"/>
    </sheetView>
  </sheetViews>
  <sheetFormatPr defaultRowHeight="15" x14ac:dyDescent="0.25"/>
  <cols>
    <col min="5" max="5" width="8.855468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32</v>
      </c>
    </row>
    <row r="5" spans="1:7" x14ac:dyDescent="0.25">
      <c r="A5" s="2" t="s">
        <v>22</v>
      </c>
      <c r="B5" s="2"/>
      <c r="C5" s="2"/>
      <c r="D5" s="2"/>
      <c r="E5" s="2"/>
      <c r="F5" s="2"/>
      <c r="G5" s="2"/>
    </row>
    <row r="7" spans="1:7" x14ac:dyDescent="0.25">
      <c r="A7" t="s">
        <v>4</v>
      </c>
    </row>
    <row r="8" spans="1:7" x14ac:dyDescent="0.25">
      <c r="A8" s="2" t="s">
        <v>33</v>
      </c>
    </row>
    <row r="10" spans="1:7" x14ac:dyDescent="0.25">
      <c r="A10" s="1" t="s">
        <v>34</v>
      </c>
    </row>
    <row r="11" spans="1:7" x14ac:dyDescent="0.25">
      <c r="A11" s="1" t="s">
        <v>35</v>
      </c>
    </row>
    <row r="12" spans="1:7" x14ac:dyDescent="0.25">
      <c r="A12" t="s">
        <v>44</v>
      </c>
      <c r="E12">
        <f>80000*1.04</f>
        <v>83200</v>
      </c>
      <c r="F12" s="1" t="s">
        <v>37</v>
      </c>
    </row>
    <row r="13" spans="1:7" x14ac:dyDescent="0.25">
      <c r="A13" t="s">
        <v>7</v>
      </c>
      <c r="E13">
        <v>25701.606414903978</v>
      </c>
      <c r="F13" s="1" t="s">
        <v>36</v>
      </c>
    </row>
    <row r="14" spans="1:7" x14ac:dyDescent="0.25">
      <c r="A14" t="s">
        <v>30</v>
      </c>
      <c r="E14">
        <f>80000-E13</f>
        <v>54298.393585096026</v>
      </c>
      <c r="F14" s="1" t="s">
        <v>45</v>
      </c>
    </row>
    <row r="15" spans="1:7" x14ac:dyDescent="0.25">
      <c r="A15" t="s">
        <v>9</v>
      </c>
      <c r="E15">
        <f>_xlfn.NORM.DIST(E13,50000,20000,1)</f>
        <v>0.11219836364631688</v>
      </c>
      <c r="F15" s="1" t="s">
        <v>13</v>
      </c>
    </row>
    <row r="16" spans="1:7" x14ac:dyDescent="0.25">
      <c r="A16" s="2"/>
      <c r="F16" s="1"/>
    </row>
    <row r="17" spans="1:6" x14ac:dyDescent="0.25">
      <c r="A17" t="s">
        <v>38</v>
      </c>
      <c r="E17">
        <v>45032.483232328021</v>
      </c>
      <c r="F17" s="3" t="s">
        <v>43</v>
      </c>
    </row>
    <row r="18" spans="1:6" x14ac:dyDescent="0.25">
      <c r="A18" t="s">
        <v>11</v>
      </c>
      <c r="E18">
        <f>E13*0.95</f>
        <v>24416.526094158777</v>
      </c>
      <c r="F18" s="1" t="s">
        <v>29</v>
      </c>
    </row>
    <row r="19" spans="1:6" x14ac:dyDescent="0.25">
      <c r="A19" t="s">
        <v>14</v>
      </c>
      <c r="E19">
        <f>E17*E15+E18*(1-E15)</f>
        <v>26729.602750063976</v>
      </c>
      <c r="F19" s="1" t="s">
        <v>15</v>
      </c>
    </row>
    <row r="20" spans="1:6" x14ac:dyDescent="0.25">
      <c r="A20" t="s">
        <v>16</v>
      </c>
      <c r="E20">
        <f>E14*1.04</f>
        <v>56470.329328499873</v>
      </c>
    </row>
    <row r="21" spans="1:6" x14ac:dyDescent="0.25">
      <c r="A21" t="s">
        <v>17</v>
      </c>
      <c r="E21">
        <f>E19+E20</f>
        <v>83199.932078563841</v>
      </c>
    </row>
    <row r="22" spans="1:6" x14ac:dyDescent="0.25">
      <c r="A22" s="2" t="s">
        <v>39</v>
      </c>
      <c r="B22" s="2"/>
      <c r="C22" s="2"/>
      <c r="D22" s="2"/>
      <c r="E22" s="2"/>
    </row>
    <row r="23" spans="1:6" x14ac:dyDescent="0.25">
      <c r="A23" s="2" t="s">
        <v>42</v>
      </c>
      <c r="B23" s="2"/>
      <c r="C23" s="2"/>
      <c r="D23" s="2"/>
      <c r="E23" s="2"/>
    </row>
    <row r="24" spans="1:6" x14ac:dyDescent="0.25">
      <c r="A24" s="4" t="s">
        <v>41</v>
      </c>
      <c r="B24" s="2" t="s">
        <v>40</v>
      </c>
      <c r="C24" s="2"/>
      <c r="D24" s="2"/>
      <c r="E24" s="2"/>
      <c r="F24" s="5"/>
    </row>
    <row r="25" spans="1:6" x14ac:dyDescent="0.25">
      <c r="A25" s="1"/>
    </row>
    <row r="26" spans="1:6" x14ac:dyDescent="0.25">
      <c r="A2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2019-11-21T05:31:26Z</dcterms:modified>
</cp:coreProperties>
</file>