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972" activeTab="1"/>
  </bookViews>
  <sheets>
    <sheet name="Q1" sheetId="1" r:id="rId1"/>
    <sheet name="Q2" sheetId="3" r:id="rId2"/>
    <sheet name="QUIZ Q2" sheetId="6" r:id="rId3"/>
    <sheet name="Q3" sheetId="4" r:id="rId4"/>
    <sheet name="Q4" sheetId="2" r:id="rId5"/>
    <sheet name="Quiz q1" sheetId="5" r:id="rId6"/>
  </sheets>
  <definedNames>
    <definedName name="solver_adj" localSheetId="0" hidden="1">'Q1'!$D$11,'Q1'!$D$13</definedName>
    <definedName name="solver_adj" localSheetId="1" hidden="1">'Q2'!$F$3:$F$4</definedName>
    <definedName name="solver_adj" localSheetId="3" hidden="1">'Q3'!$F$5,'Q3'!$F$7</definedName>
    <definedName name="solver_adj" localSheetId="4" hidden="1">'Q4'!$G$2:$J$5,'Q4'!$G$8</definedName>
    <definedName name="solver_adj" localSheetId="2" hidden="1">'QUIZ Q2'!$E$4:$E$5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cvg" localSheetId="4" hidden="1">0.0001</definedName>
    <definedName name="solver_cvg" localSheetId="2" hidden="1">0.0001</definedName>
    <definedName name="solver_drv" localSheetId="0" hidden="1">1</definedName>
    <definedName name="solver_drv" localSheetId="1" hidden="1">2</definedName>
    <definedName name="solver_drv" localSheetId="3" hidden="1">2</definedName>
    <definedName name="solver_drv" localSheetId="4" hidden="1">1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3" hidden="1">1</definedName>
    <definedName name="solver_eng" localSheetId="4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3" hidden="1">1</definedName>
    <definedName name="solver_est" localSheetId="4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3" hidden="1">2147483647</definedName>
    <definedName name="solver_itr" localSheetId="4" hidden="1">2147483647</definedName>
    <definedName name="solver_itr" localSheetId="2" hidden="1">2147483647</definedName>
    <definedName name="solver_lhs1" localSheetId="0" hidden="1">'Q1'!$D$11</definedName>
    <definedName name="solver_lhs1" localSheetId="1" hidden="1">'Q2'!$F$3:$F$4</definedName>
    <definedName name="solver_lhs1" localSheetId="3" hidden="1">'Q3'!$F$10</definedName>
    <definedName name="solver_lhs1" localSheetId="4" hidden="1">'Q4'!$G$2:$J$5</definedName>
    <definedName name="solver_lhs1" localSheetId="2" hidden="1">'QUIZ Q2'!$E$4</definedName>
    <definedName name="solver_lhs2" localSheetId="0" hidden="1">'Q1'!$D$11</definedName>
    <definedName name="solver_lhs2" localSheetId="1" hidden="1">'Q2'!$F$4</definedName>
    <definedName name="solver_lhs2" localSheetId="3" hidden="1">'Q3'!$F$5</definedName>
    <definedName name="solver_lhs2" localSheetId="4" hidden="1">'Q4'!$G$6:$J$6</definedName>
    <definedName name="solver_lhs2" localSheetId="2" hidden="1">'QUIZ Q2'!$E$5</definedName>
    <definedName name="solver_lhs3" localSheetId="0" hidden="1">'Q1'!$D$13</definedName>
    <definedName name="solver_lhs3" localSheetId="1" hidden="1">'Q2'!$F$7</definedName>
    <definedName name="solver_lhs3" localSheetId="3" hidden="1">'Q3'!$F$7</definedName>
    <definedName name="solver_lhs3" localSheetId="4" hidden="1">'Q4'!$G$8</definedName>
    <definedName name="solver_lhs3" localSheetId="2" hidden="1">'QUIZ Q2'!$E$6</definedName>
    <definedName name="solver_lhs4" localSheetId="0" hidden="1">'Q1'!$D$13</definedName>
    <definedName name="solver_lhs4" localSheetId="1" hidden="1">'Q2'!$F$7</definedName>
    <definedName name="solver_lhs4" localSheetId="3" hidden="1">'Q3'!$F$7</definedName>
    <definedName name="solver_lhs4" localSheetId="4" hidden="1">'Q4'!$K$2:$K$5</definedName>
    <definedName name="solver_lhs5" localSheetId="1" hidden="1">'Q2'!$F$7</definedName>
    <definedName name="solver_lhs5" localSheetId="3" hidden="1">'Q3'!$F$8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ip" localSheetId="4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ni" localSheetId="4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rt" localSheetId="4" hidden="1">0.075</definedName>
    <definedName name="solver_mrt" localSheetId="2" hidden="1">0.075</definedName>
    <definedName name="solver_msl" localSheetId="0" hidden="1">1</definedName>
    <definedName name="solver_msl" localSheetId="1" hidden="1">1</definedName>
    <definedName name="solver_msl" localSheetId="3" hidden="1">1</definedName>
    <definedName name="solver_msl" localSheetId="4" hidden="1">1</definedName>
    <definedName name="solver_msl" localSheetId="2" hidden="1">1</definedName>
    <definedName name="solver_neg" localSheetId="0" hidden="1">1</definedName>
    <definedName name="solver_neg" localSheetId="1" hidden="1">1</definedName>
    <definedName name="solver_neg" localSheetId="3" hidden="1">1</definedName>
    <definedName name="solver_neg" localSheetId="4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od" localSheetId="4" hidden="1">2147483647</definedName>
    <definedName name="solver_nod" localSheetId="2" hidden="1">2147483647</definedName>
    <definedName name="solver_num" localSheetId="0" hidden="1">3</definedName>
    <definedName name="solver_num" localSheetId="1" hidden="1">3</definedName>
    <definedName name="solver_num" localSheetId="3" hidden="1">4</definedName>
    <definedName name="solver_num" localSheetId="4" hidden="1">4</definedName>
    <definedName name="solver_num" localSheetId="2" hidden="1">3</definedName>
    <definedName name="solver_nwt" localSheetId="0" hidden="1">1</definedName>
    <definedName name="solver_nwt" localSheetId="1" hidden="1">1</definedName>
    <definedName name="solver_nwt" localSheetId="3" hidden="1">1</definedName>
    <definedName name="solver_nwt" localSheetId="4" hidden="1">1</definedName>
    <definedName name="solver_nwt" localSheetId="2" hidden="1">1</definedName>
    <definedName name="solver_opt" localSheetId="0" hidden="1">'Q1'!$D$16</definedName>
    <definedName name="solver_opt" localSheetId="1" hidden="1">'Q2'!$F$14</definedName>
    <definedName name="solver_opt" localSheetId="3" hidden="1">'Q3'!$F$14</definedName>
    <definedName name="solver_opt" localSheetId="4" hidden="1">'Q4'!$G$14</definedName>
    <definedName name="solver_opt" localSheetId="2" hidden="1">'QUIZ Q2'!$E$14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pre" localSheetId="4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3" hidden="1">1</definedName>
    <definedName name="solver_rbv" localSheetId="4" hidden="1">1</definedName>
    <definedName name="solver_rbv" localSheetId="2" hidden="1">2</definedName>
    <definedName name="solver_rel1" localSheetId="0" hidden="1">1</definedName>
    <definedName name="solver_rel1" localSheetId="1" hidden="1">1</definedName>
    <definedName name="solver_rel1" localSheetId="3" hidden="1">3</definedName>
    <definedName name="solver_rel1" localSheetId="4" hidden="1">1</definedName>
    <definedName name="solver_rel1" localSheetId="2" hidden="1">1</definedName>
    <definedName name="solver_rel2" localSheetId="0" hidden="1">3</definedName>
    <definedName name="solver_rel2" localSheetId="1" hidden="1">4</definedName>
    <definedName name="solver_rel2" localSheetId="3" hidden="1">1</definedName>
    <definedName name="solver_rel2" localSheetId="4" hidden="1">2</definedName>
    <definedName name="solver_rel2" localSheetId="2" hidden="1">3</definedName>
    <definedName name="solver_rel3" localSheetId="0" hidden="1">1</definedName>
    <definedName name="solver_rel3" localSheetId="1" hidden="1">1</definedName>
    <definedName name="solver_rel3" localSheetId="3" hidden="1">1</definedName>
    <definedName name="solver_rel3" localSheetId="4" hidden="1">1</definedName>
    <definedName name="solver_rel3" localSheetId="2" hidden="1">2</definedName>
    <definedName name="solver_rel4" localSheetId="0" hidden="1">1</definedName>
    <definedName name="solver_rel4" localSheetId="1" hidden="1">3</definedName>
    <definedName name="solver_rel4" localSheetId="3" hidden="1">1</definedName>
    <definedName name="solver_rel4" localSheetId="4" hidden="1">2</definedName>
    <definedName name="solver_rel5" localSheetId="1" hidden="1">3</definedName>
    <definedName name="solver_rel5" localSheetId="3" hidden="1">3</definedName>
    <definedName name="solver_rhs1" localSheetId="0" hidden="1">5000000</definedName>
    <definedName name="solver_rhs1" localSheetId="1" hidden="1">'Q2'!$H$3:$H$4</definedName>
    <definedName name="solver_rhs1" localSheetId="3" hidden="1">0</definedName>
    <definedName name="solver_rhs1" localSheetId="4" hidden="1">1</definedName>
    <definedName name="solver_rhs1" localSheetId="2" hidden="1">'QUIZ Q2'!$J$25</definedName>
    <definedName name="solver_rhs2" localSheetId="0" hidden="1">3000000</definedName>
    <definedName name="solver_rhs2" localSheetId="1" hidden="1">integer</definedName>
    <definedName name="solver_rhs2" localSheetId="3" hidden="1">689</definedName>
    <definedName name="solver_rhs2" localSheetId="4" hidden="1">1</definedName>
    <definedName name="solver_rhs2" localSheetId="2" hidden="1">0</definedName>
    <definedName name="solver_rhs3" localSheetId="0" hidden="1">'Q1'!$F$20</definedName>
    <definedName name="solver_rhs3" localSheetId="1" hidden="1">'Q2'!$F$5</definedName>
    <definedName name="solver_rhs3" localSheetId="3" hidden="1">'Q3'!$F$9</definedName>
    <definedName name="solver_rhs3" localSheetId="4" hidden="1">350</definedName>
    <definedName name="solver_rhs3" localSheetId="2" hidden="1">'QUIZ Q2'!$E$7</definedName>
    <definedName name="solver_rhs4" localSheetId="0" hidden="1">'Q1'!$F$20</definedName>
    <definedName name="solver_rhs4" localSheetId="1" hidden="1">0</definedName>
    <definedName name="solver_rhs4" localSheetId="3" hidden="1">200000</definedName>
    <definedName name="solver_rhs4" localSheetId="4" hidden="1">1</definedName>
    <definedName name="solver_rhs5" localSheetId="1" hidden="1">0</definedName>
    <definedName name="solver_rhs5" localSheetId="3" hidden="1">0</definedName>
    <definedName name="solver_rlx" localSheetId="0" hidden="1">2</definedName>
    <definedName name="solver_rlx" localSheetId="1" hidden="1">2</definedName>
    <definedName name="solver_rlx" localSheetId="3" hidden="1">2</definedName>
    <definedName name="solver_rlx" localSheetId="4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rsd" localSheetId="4" hidden="1">0</definedName>
    <definedName name="solver_rsd" localSheetId="2" hidden="1">0</definedName>
    <definedName name="solver_scl" localSheetId="0" hidden="1">1</definedName>
    <definedName name="solver_scl" localSheetId="1" hidden="1">2</definedName>
    <definedName name="solver_scl" localSheetId="3" hidden="1">2</definedName>
    <definedName name="solver_scl" localSheetId="4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ho" localSheetId="4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ssz" localSheetId="4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3" hidden="1">2147483647</definedName>
    <definedName name="solver_tim" localSheetId="4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3" hidden="1">0.01</definedName>
    <definedName name="solver_tol" localSheetId="4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3" hidden="1">1</definedName>
    <definedName name="solver_typ" localSheetId="4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3" hidden="1">0</definedName>
    <definedName name="solver_val" localSheetId="4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3" hidden="1">3</definedName>
    <definedName name="solver_ver" localSheetId="4" hidden="1">3</definedName>
    <definedName name="solver_ver" localSheetId="2" hidden="1">3</definedName>
  </definedNames>
  <calcPr calcId="152511"/>
</workbook>
</file>

<file path=xl/calcChain.xml><?xml version="1.0" encoding="utf-8"?>
<calcChain xmlns="http://schemas.openxmlformats.org/spreadsheetml/2006/main">
  <c r="C27" i="1" l="1"/>
  <c r="K21" i="2" l="1"/>
  <c r="J25" i="6" l="1"/>
  <c r="F24" i="6"/>
  <c r="E7" i="6"/>
  <c r="E6" i="6"/>
  <c r="E11" i="6" s="1"/>
  <c r="E26" i="3"/>
  <c r="E12" i="6" l="1"/>
  <c r="E14" i="6" s="1"/>
  <c r="F13" i="4"/>
  <c r="F8" i="4"/>
  <c r="F10" i="4" s="1"/>
  <c r="F12" i="4" s="1"/>
  <c r="J5" i="4"/>
  <c r="F14" i="4" l="1"/>
  <c r="F9" i="4"/>
  <c r="F6" i="3" l="1"/>
  <c r="F7" i="3" s="1"/>
  <c r="F5" i="3"/>
  <c r="H4" i="3"/>
  <c r="H3" i="3"/>
  <c r="F12" i="3" l="1"/>
  <c r="F11" i="3"/>
  <c r="F14" i="3" l="1"/>
  <c r="M5" i="2" l="1"/>
  <c r="M4" i="2"/>
  <c r="M3" i="2"/>
  <c r="M2" i="2"/>
  <c r="G11" i="2"/>
  <c r="L5" i="2"/>
  <c r="L4" i="2"/>
  <c r="L3" i="2"/>
  <c r="L2" i="2"/>
  <c r="H6" i="2"/>
  <c r="I6" i="2"/>
  <c r="J6" i="2"/>
  <c r="G6" i="2"/>
  <c r="K3" i="2"/>
  <c r="K4" i="2"/>
  <c r="K5" i="2"/>
  <c r="K2" i="2"/>
  <c r="F20" i="1"/>
  <c r="D12" i="1"/>
  <c r="D14" i="1" s="1"/>
  <c r="D5" i="1"/>
  <c r="D6" i="1" s="1"/>
  <c r="G9" i="2" l="1"/>
  <c r="G10" i="2" s="1"/>
  <c r="D15" i="1"/>
  <c r="D16" i="1" s="1"/>
  <c r="D7" i="1"/>
  <c r="D8" i="1" s="1"/>
  <c r="G12" i="2" l="1"/>
  <c r="G13" i="2"/>
  <c r="G14" i="2" l="1"/>
</calcChain>
</file>

<file path=xl/sharedStrings.xml><?xml version="1.0" encoding="utf-8"?>
<sst xmlns="http://schemas.openxmlformats.org/spreadsheetml/2006/main" count="139" uniqueCount="111">
  <si>
    <t>Fixed cost:</t>
  </si>
  <si>
    <t>Per unit cost:</t>
  </si>
  <si>
    <t>SP=</t>
  </si>
  <si>
    <t>Income</t>
  </si>
  <si>
    <t>Without marketing:</t>
  </si>
  <si>
    <t>Demand</t>
  </si>
  <si>
    <t>manufacturing cost</t>
  </si>
  <si>
    <t>Profit=</t>
  </si>
  <si>
    <t>(60000-72SP)</t>
  </si>
  <si>
    <t>(Demand * SP)</t>
  </si>
  <si>
    <t>(Demand * CP)</t>
  </si>
  <si>
    <t>With marketing:</t>
  </si>
  <si>
    <t>(Between 3 and 5 million)</t>
  </si>
  <si>
    <t>(.0047y - 165SP)(.00004y+.0012SP)</t>
  </si>
  <si>
    <t>New SP=</t>
  </si>
  <si>
    <t>Manufacturing cost</t>
  </si>
  <si>
    <t>Marketing cost y=</t>
  </si>
  <si>
    <t>New demand</t>
  </si>
  <si>
    <t>Upper bound on SP:</t>
  </si>
  <si>
    <t>Demand should not be negative, so we can say 0.0047y - 165SP&gt;=0</t>
  </si>
  <si>
    <t>Since y has maximum value 5000000, max value of SP=</t>
  </si>
  <si>
    <t>(Income - (Manufacturing cost+Marketig cost+fixed cost))</t>
  </si>
  <si>
    <t>(Income - (Manufacturing cost+fixed cost))</t>
  </si>
  <si>
    <t>Final answer: using marketing is more profitable (4.86 million &gt; 4.68 million)</t>
  </si>
  <si>
    <t>Assignment cost</t>
  </si>
  <si>
    <t>Factory 1</t>
  </si>
  <si>
    <t>Factory 2</t>
  </si>
  <si>
    <t>Factory 3</t>
  </si>
  <si>
    <t>Market A</t>
  </si>
  <si>
    <t>Market B</t>
  </si>
  <si>
    <t>Market C</t>
  </si>
  <si>
    <t>Market D</t>
  </si>
  <si>
    <t>Dummy</t>
  </si>
  <si>
    <t>Assignment matrix</t>
  </si>
  <si>
    <t>Col tot</t>
  </si>
  <si>
    <t>Row tot</t>
  </si>
  <si>
    <t>Total demand</t>
  </si>
  <si>
    <t>(sumproduct cost matrix and assignment matrix)</t>
  </si>
  <si>
    <t>(total demand * 100)</t>
  </si>
  <si>
    <t>(total demand * SP)</t>
  </si>
  <si>
    <t>(sumproduct dummy assignment column and demand)</t>
  </si>
  <si>
    <t>Demand to dummy</t>
  </si>
  <si>
    <t>(Sum of all demand - demand to dummy)</t>
  </si>
  <si>
    <t>SP upperbound</t>
  </si>
  <si>
    <t>Variable constraints:</t>
  </si>
  <si>
    <t>Upperbound of SP is minimum of all demand upperbounds, so SP&lt;=350, SP&gt;=0</t>
  </si>
  <si>
    <t>Use Multistart with bounds required since this is multi-variable NLP, SP between 0 and 142.4, y between 3,000,000 and 5,000,000</t>
  </si>
  <si>
    <t>Use Multistart option in Solver, with bounds required</t>
  </si>
  <si>
    <t>Assignment matrix variables bounded between values 0 and 1</t>
  </si>
  <si>
    <t>(Income - (Manufacturing cost+Assignment Cost))</t>
  </si>
  <si>
    <t>Upper bound</t>
  </si>
  <si>
    <t>Cost per unit</t>
  </si>
  <si>
    <t>Cost per salesman</t>
  </si>
  <si>
    <t>Total income = Total sales*SP</t>
  </si>
  <si>
    <t>Total costs=</t>
  </si>
  <si>
    <t>Objective: Max profit=</t>
  </si>
  <si>
    <t>Constraints:</t>
  </si>
  <si>
    <t>Total sales&lt;=Demand</t>
  </si>
  <si>
    <t>Selling price SP=</t>
  </si>
  <si>
    <t>No. of salesmen y=</t>
  </si>
  <si>
    <t>(50000-14SP)</t>
  </si>
  <si>
    <t>Average sales per salesman</t>
  </si>
  <si>
    <t>(4000-250y)</t>
  </si>
  <si>
    <t xml:space="preserve">Total sales = </t>
  </si>
  <si>
    <t>(Average sales per salesman* no. of salesmen = (4000-250y)*y)</t>
  </si>
  <si>
    <t>(Since Demand cannot be negative, 50000-14SP&gt;=0, so SP&lt;=50000/14)</t>
  </si>
  <si>
    <t>(Since average sales cannot be negative, 4000-250y&gt;=0, so y&lt;=4000/250)</t>
  </si>
  <si>
    <t>(4000-250y)*500y+1000000y</t>
  </si>
  <si>
    <t>(4000-250y)*SP*y</t>
  </si>
  <si>
    <t>(Total income - Total costs)</t>
  </si>
  <si>
    <t>selling price, no. of salesmen&gt;=0</t>
  </si>
  <si>
    <t>No. of salesmen has integer constraint since it must be whole number</t>
  </si>
  <si>
    <t>Use multi-start with bounds required</t>
  </si>
  <si>
    <t>(Integer)</t>
  </si>
  <si>
    <t>Selling price&lt;= 3571.4</t>
  </si>
  <si>
    <t>No. of salesmen&lt;=16</t>
  </si>
  <si>
    <t>Fixed cost</t>
  </si>
  <si>
    <t>CP per unit</t>
  </si>
  <si>
    <t>SP per unit</t>
  </si>
  <si>
    <t>Upper bound = 100000/145=</t>
  </si>
  <si>
    <t>Manufactured M=</t>
  </si>
  <si>
    <t>Demand D=(100000-145SP)=</t>
  </si>
  <si>
    <t>M&lt;=2D=</t>
  </si>
  <si>
    <t>Amount sold=D*(sqrt(M/D)-0.3)=</t>
  </si>
  <si>
    <t>(Amt sold&gt;=0)</t>
  </si>
  <si>
    <t>Income = Amt sold*SP</t>
  </si>
  <si>
    <t>Manufacturing cost  =M*CP</t>
  </si>
  <si>
    <t>Profit = Income-(Manu cost+Fixed cost)=</t>
  </si>
  <si>
    <t>Since we can assume demand&gt;=0</t>
  </si>
  <si>
    <t>We take SP upper bound as 689 to avoid divide by zero error in amount sold calculation</t>
  </si>
  <si>
    <t>Fixed upper bound of M&lt;= 2*Max D = 200,000</t>
  </si>
  <si>
    <t>(Constraint on M)</t>
  </si>
  <si>
    <t>The problem is impltemented and solved using Multistart option with bounds required</t>
  </si>
  <si>
    <t>Please note, both constraints M&lt;=2D and M&lt;=200000 needs to be included because multistart requires a fixed upper bound</t>
  </si>
  <si>
    <t>Objective function: Max Profit = D*(sqrt(M/D)-0.3)*SP - (M*CP + 3,000,000)</t>
  </si>
  <si>
    <t>(Assuming D&gt;=0)</t>
  </si>
  <si>
    <t>SP&lt;=689;</t>
  </si>
  <si>
    <t>M&lt;=2D;</t>
  </si>
  <si>
    <t>M&lt;=200,000;</t>
  </si>
  <si>
    <t>D*(sqrt(M/D)-0.3)&gt;=0;</t>
  </si>
  <si>
    <t>SP,M&gt;=0;</t>
  </si>
  <si>
    <t>D = 100,000 - 145*SP; CP=200;</t>
  </si>
  <si>
    <t>Objective: Maximize</t>
  </si>
  <si>
    <t>All row and column totals = 1 (Add dummy column to create square matrix)</t>
  </si>
  <si>
    <t>Can be solved using GRG nonlinear without Multistart, or by hand with Newton's method</t>
  </si>
  <si>
    <t>Selling price y=</t>
  </si>
  <si>
    <t>No. of workers x =</t>
  </si>
  <si>
    <t xml:space="preserve">Total production = </t>
  </si>
  <si>
    <t>Cost per worker</t>
  </si>
  <si>
    <t>Constraints</t>
  </si>
  <si>
    <t xml:space="preserve">y &lt;=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</si>
</sst>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zoomScale="96" zoomScaleNormal="96" workbookViewId="0">
      <selection activeCell="C28" sqref="C28"/>
    </sheetView>
  </sheetViews>
  <sheetFormatPr defaultRowHeight="14.4" x14ac:dyDescent="0.3"/>
  <cols>
    <col min="4" max="4" width="10.33203125" bestFit="1" customWidth="1"/>
  </cols>
  <sheetData>
    <row r="1" spans="1:5" x14ac:dyDescent="0.3">
      <c r="A1" t="s">
        <v>0</v>
      </c>
      <c r="D1">
        <v>5000000</v>
      </c>
    </row>
    <row r="2" spans="1:5" x14ac:dyDescent="0.3">
      <c r="A2" t="s">
        <v>1</v>
      </c>
      <c r="D2">
        <v>100</v>
      </c>
    </row>
    <row r="3" spans="1:5" x14ac:dyDescent="0.3">
      <c r="A3" t="s">
        <v>2</v>
      </c>
      <c r="D3">
        <v>466.66666588441416</v>
      </c>
    </row>
    <row r="4" spans="1:5" x14ac:dyDescent="0.3">
      <c r="A4" s="1" t="s">
        <v>4</v>
      </c>
    </row>
    <row r="5" spans="1:5" x14ac:dyDescent="0.3">
      <c r="A5" t="s">
        <v>5</v>
      </c>
      <c r="D5">
        <f>60000-72*D3</f>
        <v>26400.000056322184</v>
      </c>
      <c r="E5" s="2" t="s">
        <v>8</v>
      </c>
    </row>
    <row r="6" spans="1:5" x14ac:dyDescent="0.3">
      <c r="A6" t="s">
        <v>3</v>
      </c>
      <c r="D6">
        <f>D5*D3</f>
        <v>12320000.00563222</v>
      </c>
      <c r="E6" s="2" t="s">
        <v>9</v>
      </c>
    </row>
    <row r="7" spans="1:5" x14ac:dyDescent="0.3">
      <c r="A7" t="s">
        <v>6</v>
      </c>
      <c r="D7">
        <f>D5*D2</f>
        <v>2640000.0056322184</v>
      </c>
      <c r="E7" s="2" t="s">
        <v>10</v>
      </c>
    </row>
    <row r="8" spans="1:5" x14ac:dyDescent="0.3">
      <c r="A8" t="s">
        <v>7</v>
      </c>
      <c r="D8">
        <f>D6-(D7+D1)</f>
        <v>4680000.0000000019</v>
      </c>
      <c r="E8" s="2" t="s">
        <v>22</v>
      </c>
    </row>
    <row r="9" spans="1:5" x14ac:dyDescent="0.3">
      <c r="C9" s="2" t="s">
        <v>104</v>
      </c>
    </row>
    <row r="10" spans="1:5" x14ac:dyDescent="0.3">
      <c r="A10" s="1" t="s">
        <v>11</v>
      </c>
    </row>
    <row r="11" spans="1:5" x14ac:dyDescent="0.3">
      <c r="A11" t="s">
        <v>16</v>
      </c>
      <c r="D11">
        <v>5000000.0000000009</v>
      </c>
      <c r="E11" s="2" t="s">
        <v>12</v>
      </c>
    </row>
    <row r="12" spans="1:5" x14ac:dyDescent="0.3">
      <c r="A12" t="s">
        <v>17</v>
      </c>
      <c r="D12">
        <f>(0.0047*D11-165*D13)*(0.00004*D11+0.0012*D13)</f>
        <v>700464.56628381473</v>
      </c>
      <c r="E12" s="2" t="s">
        <v>13</v>
      </c>
    </row>
    <row r="13" spans="1:5" x14ac:dyDescent="0.3">
      <c r="A13" t="s">
        <v>14</v>
      </c>
      <c r="D13">
        <v>121.21346963412611</v>
      </c>
    </row>
    <row r="14" spans="1:5" x14ac:dyDescent="0.3">
      <c r="A14" t="s">
        <v>3</v>
      </c>
      <c r="D14">
        <f>D12*D13</f>
        <v>84905740.4350245</v>
      </c>
      <c r="E14" s="2" t="s">
        <v>9</v>
      </c>
    </row>
    <row r="15" spans="1:5" x14ac:dyDescent="0.3">
      <c r="A15" t="s">
        <v>15</v>
      </c>
      <c r="D15">
        <f>D12*D2</f>
        <v>70046456.628381476</v>
      </c>
      <c r="E15" s="2" t="s">
        <v>10</v>
      </c>
    </row>
    <row r="16" spans="1:5" x14ac:dyDescent="0.3">
      <c r="A16" t="s">
        <v>7</v>
      </c>
      <c r="D16">
        <f>D14-(D15+D11+D1)</f>
        <v>4859283.8066430241</v>
      </c>
      <c r="E16" s="2" t="s">
        <v>21</v>
      </c>
    </row>
    <row r="18" spans="1:6" x14ac:dyDescent="0.3">
      <c r="A18" t="s">
        <v>18</v>
      </c>
    </row>
    <row r="19" spans="1:6" x14ac:dyDescent="0.3">
      <c r="A19" t="s">
        <v>19</v>
      </c>
    </row>
    <row r="20" spans="1:6" x14ac:dyDescent="0.3">
      <c r="A20" t="s">
        <v>20</v>
      </c>
      <c r="F20">
        <f>0.0047*5000000/165</f>
        <v>142.42424242424244</v>
      </c>
    </row>
    <row r="21" spans="1:6" x14ac:dyDescent="0.3">
      <c r="A21" t="s">
        <v>46</v>
      </c>
    </row>
    <row r="23" spans="1:6" x14ac:dyDescent="0.3">
      <c r="A23" t="s">
        <v>23</v>
      </c>
    </row>
    <row r="27" spans="1:6" x14ac:dyDescent="0.3">
      <c r="C27">
        <f>80/19</f>
        <v>4.2105263157894735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26"/>
  <sheetViews>
    <sheetView tabSelected="1" zoomScaleNormal="100" workbookViewId="0">
      <selection activeCell="H13" sqref="H13"/>
    </sheetView>
  </sheetViews>
  <sheetFormatPr defaultRowHeight="14.4" x14ac:dyDescent="0.3"/>
  <cols>
    <col min="6" max="6" width="13.109375" customWidth="1"/>
  </cols>
  <sheetData>
    <row r="2" spans="3:9" x14ac:dyDescent="0.3">
      <c r="H2" t="s">
        <v>50</v>
      </c>
    </row>
    <row r="3" spans="3:9" x14ac:dyDescent="0.3">
      <c r="C3" t="s">
        <v>58</v>
      </c>
      <c r="F3">
        <v>2500</v>
      </c>
      <c r="H3">
        <f>50000/14</f>
        <v>3571.4285714285716</v>
      </c>
      <c r="I3" s="2" t="s">
        <v>65</v>
      </c>
    </row>
    <row r="4" spans="3:9" x14ac:dyDescent="0.3">
      <c r="C4" t="s">
        <v>59</v>
      </c>
      <c r="F4">
        <v>6</v>
      </c>
      <c r="G4" s="2" t="s">
        <v>73</v>
      </c>
      <c r="H4">
        <f>4000/250</f>
        <v>16</v>
      </c>
      <c r="I4" s="2" t="s">
        <v>66</v>
      </c>
    </row>
    <row r="5" spans="3:9" x14ac:dyDescent="0.3">
      <c r="C5" t="s">
        <v>5</v>
      </c>
      <c r="F5">
        <f>50000-14*F3</f>
        <v>15000</v>
      </c>
      <c r="G5" s="2" t="s">
        <v>60</v>
      </c>
    </row>
    <row r="6" spans="3:9" x14ac:dyDescent="0.3">
      <c r="C6" t="s">
        <v>61</v>
      </c>
      <c r="F6">
        <f>4000-250*F4</f>
        <v>2500</v>
      </c>
      <c r="G6" s="2" t="s">
        <v>62</v>
      </c>
    </row>
    <row r="7" spans="3:9" x14ac:dyDescent="0.3">
      <c r="C7" t="s">
        <v>63</v>
      </c>
      <c r="F7">
        <f>F6*F4</f>
        <v>15000</v>
      </c>
      <c r="G7" s="2" t="s">
        <v>64</v>
      </c>
    </row>
    <row r="8" spans="3:9" x14ac:dyDescent="0.3">
      <c r="C8" t="s">
        <v>51</v>
      </c>
      <c r="F8">
        <v>500</v>
      </c>
      <c r="G8" s="2"/>
    </row>
    <row r="9" spans="3:9" x14ac:dyDescent="0.3">
      <c r="C9" t="s">
        <v>52</v>
      </c>
      <c r="F9">
        <v>1000000</v>
      </c>
    </row>
    <row r="11" spans="3:9" x14ac:dyDescent="0.3">
      <c r="C11" t="s">
        <v>53</v>
      </c>
      <c r="F11">
        <f>F7*F3</f>
        <v>37500000</v>
      </c>
      <c r="G11" s="2" t="s">
        <v>68</v>
      </c>
    </row>
    <row r="12" spans="3:9" x14ac:dyDescent="0.3">
      <c r="C12" t="s">
        <v>54</v>
      </c>
      <c r="F12">
        <f>F7*F8+F9*F4</f>
        <v>13500000</v>
      </c>
      <c r="G12" s="2" t="s">
        <v>67</v>
      </c>
    </row>
    <row r="14" spans="3:9" x14ac:dyDescent="0.3">
      <c r="C14" t="s">
        <v>55</v>
      </c>
      <c r="F14">
        <f>F11-F12</f>
        <v>24000000</v>
      </c>
      <c r="G14" s="2" t="s">
        <v>69</v>
      </c>
    </row>
    <row r="15" spans="3:9" x14ac:dyDescent="0.3">
      <c r="C15" s="1" t="s">
        <v>56</v>
      </c>
    </row>
    <row r="16" spans="3:9" x14ac:dyDescent="0.3">
      <c r="E16" t="s">
        <v>57</v>
      </c>
    </row>
    <row r="17" spans="5:5" x14ac:dyDescent="0.3">
      <c r="E17" t="s">
        <v>70</v>
      </c>
    </row>
    <row r="18" spans="5:5" x14ac:dyDescent="0.3">
      <c r="E18" t="s">
        <v>74</v>
      </c>
    </row>
    <row r="19" spans="5:5" x14ac:dyDescent="0.3">
      <c r="E19" t="s">
        <v>75</v>
      </c>
    </row>
    <row r="20" spans="5:5" x14ac:dyDescent="0.3">
      <c r="E20" t="s">
        <v>71</v>
      </c>
    </row>
    <row r="21" spans="5:5" x14ac:dyDescent="0.3">
      <c r="E21" t="s">
        <v>72</v>
      </c>
    </row>
    <row r="26" spans="5:5" x14ac:dyDescent="0.3">
      <c r="E26">
        <f>5000/12</f>
        <v>416.66666666666669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25"/>
  <sheetViews>
    <sheetView workbookViewId="0">
      <selection activeCell="E5" sqref="E5"/>
    </sheetView>
  </sheetViews>
  <sheetFormatPr defaultRowHeight="14.4" x14ac:dyDescent="0.3"/>
  <cols>
    <col min="2" max="2" width="25.5546875" bestFit="1" customWidth="1"/>
  </cols>
  <sheetData>
    <row r="4" spans="2:5" x14ac:dyDescent="0.3">
      <c r="B4" t="s">
        <v>105</v>
      </c>
      <c r="E4">
        <v>398.54013193137644</v>
      </c>
    </row>
    <row r="5" spans="2:5" x14ac:dyDescent="0.3">
      <c r="B5" t="s">
        <v>106</v>
      </c>
      <c r="E5">
        <v>6.2827103911753124</v>
      </c>
    </row>
    <row r="6" spans="2:5" x14ac:dyDescent="0.3">
      <c r="B6" t="s">
        <v>5</v>
      </c>
      <c r="E6">
        <f>5000 - 12 * E4</f>
        <v>217.51841682348277</v>
      </c>
    </row>
    <row r="7" spans="2:5" x14ac:dyDescent="0.3">
      <c r="B7" t="s">
        <v>107</v>
      </c>
      <c r="E7">
        <f xml:space="preserve"> 50 * (E5 ^ 0.8)</f>
        <v>217.51421138308734</v>
      </c>
    </row>
    <row r="8" spans="2:5" x14ac:dyDescent="0.3">
      <c r="B8" t="s">
        <v>51</v>
      </c>
      <c r="E8">
        <v>200</v>
      </c>
    </row>
    <row r="9" spans="2:5" x14ac:dyDescent="0.3">
      <c r="B9" t="s">
        <v>108</v>
      </c>
      <c r="E9">
        <v>5000</v>
      </c>
    </row>
    <row r="11" spans="2:5" x14ac:dyDescent="0.3">
      <c r="B11" t="s">
        <v>53</v>
      </c>
      <c r="E11">
        <f>E6* E4</f>
        <v>86689.818538334948</v>
      </c>
    </row>
    <row r="12" spans="2:5" x14ac:dyDescent="0.3">
      <c r="B12" t="s">
        <v>54</v>
      </c>
      <c r="E12">
        <f xml:space="preserve"> 200 * E7 + (E9 * E5)</f>
        <v>74916.394232494029</v>
      </c>
    </row>
    <row r="14" spans="2:5" x14ac:dyDescent="0.3">
      <c r="B14" t="s">
        <v>55</v>
      </c>
      <c r="E14">
        <f>E11-E12</f>
        <v>11773.424305840919</v>
      </c>
    </row>
    <row r="17" spans="2:10" x14ac:dyDescent="0.3">
      <c r="B17" s="1" t="s">
        <v>109</v>
      </c>
    </row>
    <row r="18" spans="2:10" x14ac:dyDescent="0.3">
      <c r="B18" t="s">
        <v>110</v>
      </c>
    </row>
    <row r="24" spans="2:10" x14ac:dyDescent="0.3">
      <c r="F24">
        <f>(20000 + 6500) / 13</f>
        <v>2038.4615384615386</v>
      </c>
    </row>
    <row r="25" spans="2:10" x14ac:dyDescent="0.3">
      <c r="J25">
        <f>5000/12</f>
        <v>416.66666666666669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6"/>
  <sheetViews>
    <sheetView zoomScale="148" zoomScaleNormal="148" workbookViewId="0">
      <selection activeCell="D29" sqref="D29"/>
    </sheetView>
  </sheetViews>
  <sheetFormatPr defaultRowHeight="14.4" x14ac:dyDescent="0.3"/>
  <sheetData>
    <row r="3" spans="2:12" x14ac:dyDescent="0.3">
      <c r="C3" t="s">
        <v>76</v>
      </c>
      <c r="F3">
        <v>3000000</v>
      </c>
    </row>
    <row r="4" spans="2:12" x14ac:dyDescent="0.3">
      <c r="C4" t="s">
        <v>77</v>
      </c>
      <c r="F4">
        <v>200</v>
      </c>
    </row>
    <row r="5" spans="2:12" x14ac:dyDescent="0.3">
      <c r="C5" t="s">
        <v>78</v>
      </c>
      <c r="F5">
        <v>512.01455855361985</v>
      </c>
      <c r="G5" s="2" t="s">
        <v>79</v>
      </c>
      <c r="J5" s="2">
        <f>100000/145</f>
        <v>689.65517241379314</v>
      </c>
      <c r="K5" s="2" t="s">
        <v>88</v>
      </c>
      <c r="L5" s="2"/>
    </row>
    <row r="6" spans="2:12" x14ac:dyDescent="0.3">
      <c r="G6" s="2" t="s">
        <v>89</v>
      </c>
    </row>
    <row r="7" spans="2:12" x14ac:dyDescent="0.3">
      <c r="B7" t="s">
        <v>80</v>
      </c>
      <c r="F7">
        <v>42204.125447110855</v>
      </c>
      <c r="G7" s="2"/>
    </row>
    <row r="8" spans="2:12" x14ac:dyDescent="0.3">
      <c r="B8" t="s">
        <v>81</v>
      </c>
      <c r="F8">
        <f>100000-145*F5</f>
        <v>25757.889009725128</v>
      </c>
      <c r="G8" s="2" t="s">
        <v>90</v>
      </c>
    </row>
    <row r="9" spans="2:12" x14ac:dyDescent="0.3">
      <c r="C9" s="2"/>
      <c r="E9" t="s">
        <v>82</v>
      </c>
      <c r="F9">
        <f>2*F8</f>
        <v>51515.778019450256</v>
      </c>
      <c r="G9" s="2" t="s">
        <v>91</v>
      </c>
    </row>
    <row r="10" spans="2:12" x14ac:dyDescent="0.3">
      <c r="B10" t="s">
        <v>83</v>
      </c>
      <c r="F10">
        <f>F8*(SQRT(F7/F8)-0.3)</f>
        <v>25243.668752754722</v>
      </c>
      <c r="G10" s="2" t="s">
        <v>84</v>
      </c>
    </row>
    <row r="12" spans="2:12" x14ac:dyDescent="0.3">
      <c r="B12" t="s">
        <v>85</v>
      </c>
      <c r="F12">
        <f>F10*F5</f>
        <v>12925125.912715517</v>
      </c>
    </row>
    <row r="13" spans="2:12" x14ac:dyDescent="0.3">
      <c r="B13" t="s">
        <v>86</v>
      </c>
      <c r="F13">
        <f>F4*F7</f>
        <v>8440825.0894221701</v>
      </c>
    </row>
    <row r="14" spans="2:12" x14ac:dyDescent="0.3">
      <c r="B14" t="s">
        <v>87</v>
      </c>
      <c r="F14" s="1">
        <f>F12-(F13+F3)</f>
        <v>1484300.8232933469</v>
      </c>
    </row>
    <row r="16" spans="2:12" x14ac:dyDescent="0.3">
      <c r="B16" s="2" t="s">
        <v>92</v>
      </c>
    </row>
    <row r="17" spans="2:5" x14ac:dyDescent="0.3">
      <c r="B17" s="2" t="s">
        <v>93</v>
      </c>
    </row>
    <row r="19" spans="2:5" x14ac:dyDescent="0.3">
      <c r="B19" t="s">
        <v>94</v>
      </c>
    </row>
    <row r="20" spans="2:5" x14ac:dyDescent="0.3">
      <c r="D20" s="1" t="s">
        <v>56</v>
      </c>
    </row>
    <row r="21" spans="2:5" x14ac:dyDescent="0.3">
      <c r="D21" t="s">
        <v>101</v>
      </c>
    </row>
    <row r="22" spans="2:5" x14ac:dyDescent="0.3">
      <c r="D22" t="s">
        <v>96</v>
      </c>
      <c r="E22" s="2" t="s">
        <v>95</v>
      </c>
    </row>
    <row r="23" spans="2:5" x14ac:dyDescent="0.3">
      <c r="D23" t="s">
        <v>97</v>
      </c>
    </row>
    <row r="24" spans="2:5" x14ac:dyDescent="0.3">
      <c r="D24" t="s">
        <v>98</v>
      </c>
    </row>
    <row r="25" spans="2:5" x14ac:dyDescent="0.3">
      <c r="D25" t="s">
        <v>99</v>
      </c>
    </row>
    <row r="26" spans="2:5" x14ac:dyDescent="0.3">
      <c r="D26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="107" zoomScaleNormal="107" workbookViewId="0">
      <selection activeCell="M7" sqref="M7"/>
    </sheetView>
  </sheetViews>
  <sheetFormatPr defaultRowHeight="14.4" x14ac:dyDescent="0.3"/>
  <cols>
    <col min="1" max="1" width="14.33203125" customWidth="1"/>
  </cols>
  <sheetData>
    <row r="1" spans="1:13" x14ac:dyDescent="0.3">
      <c r="A1" t="s">
        <v>24</v>
      </c>
      <c r="B1" t="s">
        <v>25</v>
      </c>
      <c r="C1" t="s">
        <v>26</v>
      </c>
      <c r="D1" t="s">
        <v>27</v>
      </c>
      <c r="E1" t="s">
        <v>32</v>
      </c>
      <c r="G1" t="s">
        <v>33</v>
      </c>
      <c r="K1" t="s">
        <v>34</v>
      </c>
      <c r="L1" t="s">
        <v>5</v>
      </c>
      <c r="M1" t="s">
        <v>43</v>
      </c>
    </row>
    <row r="2" spans="1:13" x14ac:dyDescent="0.3">
      <c r="A2" t="s">
        <v>28</v>
      </c>
      <c r="B2">
        <v>53000</v>
      </c>
      <c r="C2">
        <v>34000</v>
      </c>
      <c r="D2">
        <v>36000</v>
      </c>
      <c r="E2">
        <v>0</v>
      </c>
      <c r="G2">
        <v>0</v>
      </c>
      <c r="H2">
        <v>0</v>
      </c>
      <c r="I2">
        <v>-6.5154370317554177E-9</v>
      </c>
      <c r="J2">
        <v>1</v>
      </c>
      <c r="K2">
        <f>SUM(G2:J2)</f>
        <v>0.99999999348456292</v>
      </c>
      <c r="L2">
        <f>500-G8</f>
        <v>246.4285721716862</v>
      </c>
      <c r="M2">
        <f>500/1</f>
        <v>500</v>
      </c>
    </row>
    <row r="3" spans="1:13" x14ac:dyDescent="0.3">
      <c r="A3" t="s">
        <v>29</v>
      </c>
      <c r="B3">
        <v>33000</v>
      </c>
      <c r="C3">
        <v>40000</v>
      </c>
      <c r="D3">
        <v>38000</v>
      </c>
      <c r="E3">
        <v>0</v>
      </c>
      <c r="G3">
        <v>1.0000000877299493</v>
      </c>
      <c r="H3">
        <v>0</v>
      </c>
      <c r="I3">
        <v>-3.5924955202735147E-8</v>
      </c>
      <c r="J3">
        <v>-6.0687625588874375E-8</v>
      </c>
      <c r="K3">
        <f t="shared" ref="K3:K5" si="0">SUM(G3:J3)</f>
        <v>0.99999999111736848</v>
      </c>
      <c r="L3">
        <f>1050-3*G8</f>
        <v>289.28571651505854</v>
      </c>
      <c r="M3">
        <f>1050/3</f>
        <v>350</v>
      </c>
    </row>
    <row r="4" spans="1:13" x14ac:dyDescent="0.3">
      <c r="A4" t="s">
        <v>30</v>
      </c>
      <c r="B4">
        <v>49000</v>
      </c>
      <c r="C4">
        <v>44000</v>
      </c>
      <c r="D4">
        <v>50000</v>
      </c>
      <c r="E4">
        <v>0</v>
      </c>
      <c r="G4">
        <v>1.1017412891864427E-8</v>
      </c>
      <c r="H4">
        <v>1.8309458605924882E-8</v>
      </c>
      <c r="I4">
        <v>1</v>
      </c>
      <c r="J4">
        <v>0</v>
      </c>
      <c r="K4">
        <f t="shared" si="0"/>
        <v>1.0000000293268716</v>
      </c>
      <c r="L4">
        <f>800-1.5*G8</f>
        <v>419.64285825752927</v>
      </c>
      <c r="M4">
        <f>800/1.5</f>
        <v>533.33333333333337</v>
      </c>
    </row>
    <row r="5" spans="1:13" x14ac:dyDescent="0.3">
      <c r="A5" t="s">
        <v>31</v>
      </c>
      <c r="B5">
        <v>55000</v>
      </c>
      <c r="C5">
        <v>33000</v>
      </c>
      <c r="D5">
        <v>46000</v>
      </c>
      <c r="E5">
        <v>0</v>
      </c>
      <c r="G5">
        <v>0</v>
      </c>
      <c r="H5">
        <v>0.99999998760518594</v>
      </c>
      <c r="I5">
        <v>0</v>
      </c>
      <c r="J5">
        <v>0</v>
      </c>
      <c r="K5">
        <f t="shared" si="0"/>
        <v>0.99999998760518594</v>
      </c>
      <c r="L5">
        <f>1000-2.5*G8</f>
        <v>366.07143042921552</v>
      </c>
      <c r="M5">
        <f>1000/2.5</f>
        <v>400</v>
      </c>
    </row>
    <row r="6" spans="1:13" x14ac:dyDescent="0.3">
      <c r="F6" t="s">
        <v>35</v>
      </c>
      <c r="G6">
        <f>SUM(G2:G5)</f>
        <v>1.0000000987473623</v>
      </c>
      <c r="H6">
        <f t="shared" ref="H6:J6" si="1">SUM(H2:H5)</f>
        <v>1.0000000059146446</v>
      </c>
      <c r="I6">
        <f t="shared" si="1"/>
        <v>0.9999999575596078</v>
      </c>
      <c r="J6">
        <f t="shared" si="1"/>
        <v>0.99999993931237441</v>
      </c>
    </row>
    <row r="8" spans="1:13" x14ac:dyDescent="0.3">
      <c r="F8" t="s">
        <v>2</v>
      </c>
      <c r="G8">
        <v>253.5714278283138</v>
      </c>
    </row>
    <row r="9" spans="1:13" x14ac:dyDescent="0.3">
      <c r="E9" t="s">
        <v>41</v>
      </c>
      <c r="G9">
        <f>SUMPRODUCT(J2:J5,L2:L5)</f>
        <v>246.42855461562294</v>
      </c>
      <c r="H9" s="2" t="s">
        <v>40</v>
      </c>
    </row>
    <row r="10" spans="1:13" x14ac:dyDescent="0.3">
      <c r="E10" t="s">
        <v>36</v>
      </c>
      <c r="G10">
        <f>SUM(L2:L5)-G9</f>
        <v>1075.0000227578666</v>
      </c>
      <c r="H10" s="2" t="s">
        <v>42</v>
      </c>
    </row>
    <row r="11" spans="1:13" x14ac:dyDescent="0.3">
      <c r="E11" t="s">
        <v>24</v>
      </c>
      <c r="G11">
        <f>SUMPRODUCT(B2:E5,G2:J5)</f>
        <v>116000.00223182485</v>
      </c>
      <c r="H11" s="2" t="s">
        <v>37</v>
      </c>
    </row>
    <row r="12" spans="1:13" x14ac:dyDescent="0.3">
      <c r="E12" t="s">
        <v>15</v>
      </c>
      <c r="G12">
        <f>G10*100</f>
        <v>107500.00227578667</v>
      </c>
      <c r="H12" s="2" t="s">
        <v>38</v>
      </c>
    </row>
    <row r="13" spans="1:13" x14ac:dyDescent="0.3">
      <c r="E13" t="s">
        <v>3</v>
      </c>
      <c r="G13">
        <f>G10*G8</f>
        <v>272589.2906861821</v>
      </c>
      <c r="H13" s="2" t="s">
        <v>39</v>
      </c>
    </row>
    <row r="14" spans="1:13" x14ac:dyDescent="0.3">
      <c r="C14" t="s">
        <v>102</v>
      </c>
      <c r="E14" t="s">
        <v>7</v>
      </c>
      <c r="G14">
        <f>G13-(G12+G11)</f>
        <v>49089.28617857059</v>
      </c>
      <c r="H14" s="2" t="s">
        <v>49</v>
      </c>
    </row>
    <row r="15" spans="1:13" x14ac:dyDescent="0.3">
      <c r="D15" s="1" t="s">
        <v>44</v>
      </c>
    </row>
    <row r="16" spans="1:13" x14ac:dyDescent="0.3">
      <c r="D16" t="s">
        <v>103</v>
      </c>
    </row>
    <row r="17" spans="4:11" x14ac:dyDescent="0.3">
      <c r="D17" t="s">
        <v>48</v>
      </c>
    </row>
    <row r="18" spans="4:11" x14ac:dyDescent="0.3">
      <c r="D18" t="s">
        <v>45</v>
      </c>
    </row>
    <row r="19" spans="4:11" x14ac:dyDescent="0.3">
      <c r="D19" t="s">
        <v>47</v>
      </c>
    </row>
    <row r="21" spans="4:11" x14ac:dyDescent="0.3">
      <c r="K21">
        <f>56045.4484 + 734380.801</f>
        <v>790426.24939999997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"/>
  <sheetViews>
    <sheetView workbookViewId="0">
      <selection activeCell="G12" sqref="G12"/>
    </sheetView>
  </sheetViews>
  <sheetFormatPr defaultRowHeight="14.4" x14ac:dyDescent="0.3"/>
  <cols>
    <col min="2" max="2" width="14.21875" bestFit="1" customWidth="1"/>
    <col min="3" max="3" width="10.109375" customWidth="1"/>
    <col min="4" max="4" width="9.5546875" customWidth="1"/>
    <col min="5" max="5" width="9.33203125" customWidth="1"/>
  </cols>
  <sheetData>
    <row r="2" spans="2:8" x14ac:dyDescent="0.3">
      <c r="B2" t="s">
        <v>24</v>
      </c>
      <c r="C2" t="s">
        <v>25</v>
      </c>
      <c r="D2" t="s">
        <v>26</v>
      </c>
      <c r="E2" t="s">
        <v>27</v>
      </c>
    </row>
    <row r="3" spans="2:8" x14ac:dyDescent="0.3">
      <c r="B3" t="s">
        <v>28</v>
      </c>
      <c r="C3">
        <v>53000</v>
      </c>
      <c r="D3">
        <v>34000</v>
      </c>
      <c r="E3">
        <v>36000</v>
      </c>
    </row>
    <row r="4" spans="2:8" x14ac:dyDescent="0.3">
      <c r="B4" t="s">
        <v>29</v>
      </c>
      <c r="C4">
        <v>33000</v>
      </c>
      <c r="D4">
        <v>40000</v>
      </c>
      <c r="E4">
        <v>38000</v>
      </c>
    </row>
    <row r="5" spans="2:8" x14ac:dyDescent="0.3">
      <c r="B5" t="s">
        <v>30</v>
      </c>
      <c r="C5">
        <v>49000</v>
      </c>
      <c r="D5">
        <v>44000</v>
      </c>
      <c r="E5">
        <v>50000</v>
      </c>
    </row>
    <row r="9" spans="2:8" x14ac:dyDescent="0.3">
      <c r="B9" t="s">
        <v>33</v>
      </c>
      <c r="F9" t="s">
        <v>34</v>
      </c>
      <c r="G9" t="s">
        <v>5</v>
      </c>
      <c r="H9" t="s">
        <v>43</v>
      </c>
    </row>
    <row r="10" spans="2:8" x14ac:dyDescent="0.3">
      <c r="G10">
        <v>600</v>
      </c>
    </row>
    <row r="11" spans="2:8" x14ac:dyDescent="0.3">
      <c r="G11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</vt:lpstr>
      <vt:lpstr>Q2</vt:lpstr>
      <vt:lpstr>QUIZ Q2</vt:lpstr>
      <vt:lpstr>Q3</vt:lpstr>
      <vt:lpstr>Q4</vt:lpstr>
      <vt:lpstr>Quiz q1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2019-11-26T08:33:22Z</dcterms:modified>
</cp:coreProperties>
</file>