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Dual form of LP" sheetId="2" r:id="rId1"/>
    <sheet name="Sensitivity Report 1" sheetId="3" r:id="rId2"/>
    <sheet name="Transport example" sheetId="1" r:id="rId3"/>
    <sheet name="Sensitivity Report 2" sheetId="5" r:id="rId4"/>
    <sheet name="Transport example (2)" sheetId="4" r:id="rId5"/>
  </sheets>
  <definedNames>
    <definedName name="solver_adj" localSheetId="0" hidden="1">'Dual form of LP'!$C$3:$F$3</definedName>
    <definedName name="solver_adj" localSheetId="2" hidden="1">'Transport example'!$F$2:$I$4</definedName>
    <definedName name="solver_adj" localSheetId="4" hidden="1">'Transport example (2)'!$F$2:$I$4</definedName>
    <definedName name="solver_cvg" localSheetId="0" hidden="1">0.0001</definedName>
    <definedName name="solver_cvg" localSheetId="2" hidden="1">0.0001</definedName>
    <definedName name="solver_cvg" localSheetId="4" hidden="1">0.0001</definedName>
    <definedName name="solver_drv" localSheetId="0" hidden="1">2</definedName>
    <definedName name="solver_drv" localSheetId="2" hidden="1">1</definedName>
    <definedName name="solver_drv" localSheetId="4" hidden="1">1</definedName>
    <definedName name="solver_eng" localSheetId="0" hidden="1">2</definedName>
    <definedName name="solver_eng" localSheetId="2" hidden="1">2</definedName>
    <definedName name="solver_eng" localSheetId="4" hidden="1">2</definedName>
    <definedName name="solver_est" localSheetId="0" hidden="1">1</definedName>
    <definedName name="solver_est" localSheetId="2" hidden="1">1</definedName>
    <definedName name="solver_est" localSheetId="4" hidden="1">1</definedName>
    <definedName name="solver_itr" localSheetId="0" hidden="1">2147483647</definedName>
    <definedName name="solver_itr" localSheetId="2" hidden="1">2147483647</definedName>
    <definedName name="solver_itr" localSheetId="4" hidden="1">2147483647</definedName>
    <definedName name="solver_lhs1" localSheetId="0" hidden="1">'Dual form of LP'!$H$12</definedName>
    <definedName name="solver_lhs1" localSheetId="2" hidden="1">'Transport example'!$F$5:$I$5</definedName>
    <definedName name="solver_lhs1" localSheetId="4" hidden="1">'Transport example (2)'!$F$5:$I$5</definedName>
    <definedName name="solver_lhs2" localSheetId="0" hidden="1">'Dual form of LP'!$H$13</definedName>
    <definedName name="solver_lhs2" localSheetId="2" hidden="1">'Transport example'!$J$2:$J$4</definedName>
    <definedName name="solver_lhs2" localSheetId="4" hidden="1">'Transport example (2)'!$F$5:$I$5</definedName>
    <definedName name="solver_lhs3" localSheetId="0" hidden="1">'Dual form of LP'!$H$14</definedName>
    <definedName name="solver_lhs3" localSheetId="4" hidden="1">'Transport example (2)'!$J$2:$J$4</definedName>
    <definedName name="solver_lhs4" localSheetId="0" hidden="1">'Dual form of LP'!$H$15:$H$16</definedName>
    <definedName name="solver_lhs5" localSheetId="0" hidden="1">'Dual form of LP'!$H$17:$H$18</definedName>
    <definedName name="solver_lhs6" localSheetId="0" hidden="1">'Dual form of LP'!$H$7:$H$11</definedName>
    <definedName name="solver_mip" localSheetId="0" hidden="1">2147483647</definedName>
    <definedName name="solver_mip" localSheetId="2" hidden="1">2147483647</definedName>
    <definedName name="solver_mip" localSheetId="4" hidden="1">2147483647</definedName>
    <definedName name="solver_mni" localSheetId="0" hidden="1">30</definedName>
    <definedName name="solver_mni" localSheetId="2" hidden="1">30</definedName>
    <definedName name="solver_mni" localSheetId="4" hidden="1">30</definedName>
    <definedName name="solver_mrt" localSheetId="0" hidden="1">0.075</definedName>
    <definedName name="solver_mrt" localSheetId="2" hidden="1">0.075</definedName>
    <definedName name="solver_mrt" localSheetId="4" hidden="1">0.075</definedName>
    <definedName name="solver_msl" localSheetId="0" hidden="1">2</definedName>
    <definedName name="solver_msl" localSheetId="2" hidden="1">2</definedName>
    <definedName name="solver_msl" localSheetId="4" hidden="1">2</definedName>
    <definedName name="solver_neg" localSheetId="0" hidden="1">1</definedName>
    <definedName name="solver_neg" localSheetId="2" hidden="1">1</definedName>
    <definedName name="solver_neg" localSheetId="4" hidden="1">1</definedName>
    <definedName name="solver_nod" localSheetId="0" hidden="1">2147483647</definedName>
    <definedName name="solver_nod" localSheetId="2" hidden="1">2147483647</definedName>
    <definedName name="solver_nod" localSheetId="4" hidden="1">2147483647</definedName>
    <definedName name="solver_num" localSheetId="0" hidden="1">6</definedName>
    <definedName name="solver_num" localSheetId="2" hidden="1">2</definedName>
    <definedName name="solver_num" localSheetId="4" hidden="1">3</definedName>
    <definedName name="solver_nwt" localSheetId="0" hidden="1">1</definedName>
    <definedName name="solver_nwt" localSheetId="2" hidden="1">1</definedName>
    <definedName name="solver_nwt" localSheetId="4" hidden="1">1</definedName>
    <definedName name="solver_opt" localSheetId="0" hidden="1">'Dual form of LP'!$H$5</definedName>
    <definedName name="solver_opt" localSheetId="2" hidden="1">'Transport example'!$C$7</definedName>
    <definedName name="solver_opt" localSheetId="4" hidden="1">'Transport example (2)'!$C$7</definedName>
    <definedName name="solver_pre" localSheetId="0" hidden="1">0.000001</definedName>
    <definedName name="solver_pre" localSheetId="2" hidden="1">0.000001</definedName>
    <definedName name="solver_pre" localSheetId="4" hidden="1">0.000001</definedName>
    <definedName name="solver_rbv" localSheetId="0" hidden="1">2</definedName>
    <definedName name="solver_rbv" localSheetId="2" hidden="1">1</definedName>
    <definedName name="solver_rbv" localSheetId="4" hidden="1">1</definedName>
    <definedName name="solver_rel1" localSheetId="0" hidden="1">1</definedName>
    <definedName name="solver_rel1" localSheetId="2" hidden="1">3</definedName>
    <definedName name="solver_rel1" localSheetId="4" hidden="1">1</definedName>
    <definedName name="solver_rel2" localSheetId="0" hidden="1">3</definedName>
    <definedName name="solver_rel2" localSheetId="2" hidden="1">1</definedName>
    <definedName name="solver_rel2" localSheetId="4" hidden="1">3</definedName>
    <definedName name="solver_rel3" localSheetId="0" hidden="1">1</definedName>
    <definedName name="solver_rel3" localSheetId="4" hidden="1">3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hs1" localSheetId="0" hidden="1">'Dual form of LP'!$J$12</definedName>
    <definedName name="solver_rhs1" localSheetId="2" hidden="1">'Transport example'!$F$6:$I$6</definedName>
    <definedName name="solver_rhs1" localSheetId="4" hidden="1">'Transport example (2)'!$F$6:$I$6</definedName>
    <definedName name="solver_rhs2" localSheetId="0" hidden="1">'Dual form of LP'!$J$13</definedName>
    <definedName name="solver_rhs2" localSheetId="2" hidden="1">'Transport example'!$K$2:$K$4</definedName>
    <definedName name="solver_rhs2" localSheetId="4" hidden="1">180</definedName>
    <definedName name="solver_rhs3" localSheetId="0" hidden="1">'Dual form of LP'!$J$14</definedName>
    <definedName name="solver_rhs3" localSheetId="4" hidden="1">'Transport example (2)'!$K$2:$K$4</definedName>
    <definedName name="solver_rhs4" localSheetId="0" hidden="1">'Dual form of LP'!$J$15:$J$16</definedName>
    <definedName name="solver_rhs5" localSheetId="0" hidden="1">'Dual form of LP'!$J$17:$J$18</definedName>
    <definedName name="solver_rhs6" localSheetId="0" hidden="1">'Dual form of LP'!$J$7:$J$11</definedName>
    <definedName name="solver_rlx" localSheetId="0" hidden="1">2</definedName>
    <definedName name="solver_rlx" localSheetId="2" hidden="1">2</definedName>
    <definedName name="solver_rlx" localSheetId="4" hidden="1">2</definedName>
    <definedName name="solver_rsd" localSheetId="0" hidden="1">0</definedName>
    <definedName name="solver_rsd" localSheetId="2" hidden="1">0</definedName>
    <definedName name="solver_rsd" localSheetId="4" hidden="1">0</definedName>
    <definedName name="solver_scl" localSheetId="0" hidden="1">2</definedName>
    <definedName name="solver_scl" localSheetId="2" hidden="1">1</definedName>
    <definedName name="solver_scl" localSheetId="4" hidden="1">1</definedName>
    <definedName name="solver_sho" localSheetId="0" hidden="1">2</definedName>
    <definedName name="solver_sho" localSheetId="2" hidden="1">2</definedName>
    <definedName name="solver_sho" localSheetId="4" hidden="1">2</definedName>
    <definedName name="solver_ssz" localSheetId="0" hidden="1">100</definedName>
    <definedName name="solver_ssz" localSheetId="2" hidden="1">100</definedName>
    <definedName name="solver_ssz" localSheetId="4" hidden="1">100</definedName>
    <definedName name="solver_tim" localSheetId="0" hidden="1">2147483647</definedName>
    <definedName name="solver_tim" localSheetId="2" hidden="1">2147483647</definedName>
    <definedName name="solver_tim" localSheetId="4" hidden="1">2147483647</definedName>
    <definedName name="solver_tol" localSheetId="0" hidden="1">0.01</definedName>
    <definedName name="solver_tol" localSheetId="2" hidden="1">0.01</definedName>
    <definedName name="solver_tol" localSheetId="4" hidden="1">0.01</definedName>
    <definedName name="solver_typ" localSheetId="0" hidden="1">1</definedName>
    <definedName name="solver_typ" localSheetId="2" hidden="1">2</definedName>
    <definedName name="solver_typ" localSheetId="4" hidden="1">2</definedName>
    <definedName name="solver_val" localSheetId="0" hidden="1">0</definedName>
    <definedName name="solver_val" localSheetId="2" hidden="1">0</definedName>
    <definedName name="solver_val" localSheetId="4" hidden="1">0</definedName>
    <definedName name="solver_ver" localSheetId="0" hidden="1">3</definedName>
    <definedName name="solver_ver" localSheetId="2" hidden="1">3</definedName>
    <definedName name="solver_ver" localSheetId="4" hidden="1">3</definedName>
  </definedNames>
  <calcPr calcId="152511"/>
</workbook>
</file>

<file path=xl/calcChain.xml><?xml version="1.0" encoding="utf-8"?>
<calcChain xmlns="http://schemas.openxmlformats.org/spreadsheetml/2006/main">
  <c r="C7" i="4" l="1"/>
  <c r="I5" i="4"/>
  <c r="H5" i="4"/>
  <c r="G5" i="4"/>
  <c r="F5" i="4"/>
  <c r="J4" i="4"/>
  <c r="J3" i="4"/>
  <c r="J2" i="4"/>
  <c r="J3" i="1"/>
  <c r="J4" i="1"/>
  <c r="J2" i="1"/>
  <c r="G5" i="1"/>
  <c r="H5" i="1"/>
  <c r="I5" i="1"/>
  <c r="F5" i="1"/>
  <c r="C7" i="1"/>
  <c r="H18" i="2"/>
  <c r="H17" i="2"/>
  <c r="H16" i="2"/>
  <c r="H15" i="2"/>
  <c r="H14" i="2"/>
  <c r="H13" i="2"/>
  <c r="H12" i="2"/>
  <c r="H11" i="2"/>
  <c r="H10" i="2"/>
  <c r="H9" i="2"/>
  <c r="H8" i="2"/>
  <c r="H7" i="2"/>
  <c r="H5" i="2"/>
</calcChain>
</file>

<file path=xl/sharedStrings.xml><?xml version="1.0" encoding="utf-8"?>
<sst xmlns="http://schemas.openxmlformats.org/spreadsheetml/2006/main" count="215" uniqueCount="90">
  <si>
    <t>Solving example problem from slides using Excel Solver</t>
  </si>
  <si>
    <t>l1</t>
  </si>
  <si>
    <t>l2</t>
  </si>
  <si>
    <t>r1</t>
  </si>
  <si>
    <t>r2</t>
  </si>
  <si>
    <t>Variable values --&gt;</t>
  </si>
  <si>
    <t>Below is</t>
  </si>
  <si>
    <t>Equation coefficients of each variable</t>
  </si>
  <si>
    <t>Equation values</t>
  </si>
  <si>
    <t>Objective Maximize</t>
  </si>
  <si>
    <t>=</t>
  </si>
  <si>
    <t>Constraints RHS</t>
  </si>
  <si>
    <t>Constraints</t>
  </si>
  <si>
    <t>&gt;=</t>
  </si>
  <si>
    <t>&lt;=</t>
  </si>
  <si>
    <t>Primal problem:</t>
  </si>
  <si>
    <t>(In simplex form, all constraints are &lt;=)</t>
  </si>
  <si>
    <t>A matrix</t>
  </si>
  <si>
    <t>x1</t>
  </si>
  <si>
    <t>x2</t>
  </si>
  <si>
    <t>x3</t>
  </si>
  <si>
    <t>x4</t>
  </si>
  <si>
    <t>b matrix</t>
  </si>
  <si>
    <t>c matrix</t>
  </si>
  <si>
    <t>Dual form</t>
  </si>
  <si>
    <t>Minimize Q=yb=</t>
  </si>
  <si>
    <t>-30y1-30y2-20y3-20y4-200y5+300y6-120y7+150y8</t>
  </si>
  <si>
    <t>Constraints:</t>
  </si>
  <si>
    <t>Cost matrix</t>
  </si>
  <si>
    <t>Amount supplied</t>
  </si>
  <si>
    <t>Total cost=</t>
  </si>
  <si>
    <t>Demand</t>
  </si>
  <si>
    <t>Supply</t>
  </si>
  <si>
    <t>Col tot</t>
  </si>
  <si>
    <t>Row tot</t>
  </si>
  <si>
    <t>Microsoft Excel 15.0 Sensitivity Report</t>
  </si>
  <si>
    <t>Worksheet: [CCC831 Session 4.xlsx]Transport example</t>
  </si>
  <si>
    <t>Report Created: 10/15/2019 10:06:32 AM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</si>
  <si>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</si>
  <si>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</si>
  <si>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</si>
  <si>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</si>
  <si>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</si>
  <si>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</si>
  <si>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</si>
  <si>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</si>
  <si>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</si>
  <si>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</si>
  <si>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</si>
  <si>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</si>
  <si>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</si>
  <si>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</si>
  <si>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</si>
  <si>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</si>
  <si>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$F$2</t>
  </si>
  <si>
    <t>$G$2</t>
  </si>
  <si>
    <t>$H$2</t>
  </si>
  <si>
    <t>$I$2</t>
  </si>
  <si>
    <t>$F$3</t>
  </si>
  <si>
    <t>$G$3</t>
  </si>
  <si>
    <t>$H$3</t>
  </si>
  <si>
    <t>$I$3</t>
  </si>
  <si>
    <t>$F$4</t>
  </si>
  <si>
    <t>$G$4</t>
  </si>
  <si>
    <t>$H$4</t>
  </si>
  <si>
    <t>$I$4</t>
  </si>
  <si>
    <t>$F$5</t>
  </si>
  <si>
    <t>Col tot Amount supplied</t>
  </si>
  <si>
    <t>$G$5</t>
  </si>
  <si>
    <t>$H$5</t>
  </si>
  <si>
    <t>$I$5</t>
  </si>
  <si>
    <t>$J$2</t>
  </si>
  <si>
    <t>$J$3</t>
  </si>
  <si>
    <t>$J$4</t>
  </si>
  <si>
    <t>$F$2:$I$4</t>
  </si>
  <si>
    <t>$F$5:$I$5 &gt;= $F$6:$I$6</t>
  </si>
  <si>
    <t>$J$2:$J$4 &lt;= $K$2:$K$4</t>
  </si>
  <si>
    <t>Each market must receive at least 180 supply</t>
  </si>
  <si>
    <t>Worksheet: [CCC831 Session 4.xlsx]Transport example (2)</t>
  </si>
  <si>
    <t>Report Created: 10/15/2019 10:24:01 AM</t>
  </si>
  <si>
    <t>$F$5:$I$5 &lt;= $F$6:$I$6</t>
  </si>
  <si>
    <t>$F$5:$I$5 &gt;= 180</t>
  </si>
  <si>
    <t>$J$2:$J$4 &gt;= $K$2:$K$4</t>
  </si>
  <si>
    <t>-y1-y5+y6+2y9-4y11&gt;=6</t>
  </si>
  <si>
    <t>-y2-y5+y6+2y10-4y12&gt;=3</t>
  </si>
  <si>
    <t>-y3-y7+y8-5y9+5y11&gt;=5</t>
  </si>
  <si>
    <t>-y4-y7+y8-5y10+5y12&gt;=7</t>
  </si>
  <si>
    <t>&lt;-- Even if certain y-variables are not present in objective function, still include them in the constraints</t>
  </si>
  <si>
    <t>All y&gt;=0</t>
  </si>
  <si>
    <t>yA&gt;=c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</si>
</sst>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/>
    <xf numFmtId="0" fontId="2" fillId="0" borderId="0" xfId="0" applyFont="1"/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topLeftCell="A28" zoomScale="106" zoomScaleNormal="106" workbookViewId="0">
      <selection activeCell="B43" sqref="B43"/>
    </sheetView>
  </sheetViews>
  <sheetFormatPr defaultRowHeight="15" x14ac:dyDescent="0.25"/>
  <sheetData>
    <row r="1" spans="1:10" x14ac:dyDescent="0.25">
      <c r="C1" s="1" t="s">
        <v>0</v>
      </c>
    </row>
    <row r="2" spans="1:10" x14ac:dyDescent="0.25">
      <c r="C2" t="s">
        <v>1</v>
      </c>
      <c r="D2" t="s">
        <v>2</v>
      </c>
      <c r="E2" t="s">
        <v>3</v>
      </c>
      <c r="F2" t="s">
        <v>4</v>
      </c>
    </row>
    <row r="3" spans="1:10" x14ac:dyDescent="0.25">
      <c r="A3" s="1" t="s">
        <v>5</v>
      </c>
      <c r="C3">
        <v>270</v>
      </c>
      <c r="D3">
        <v>30</v>
      </c>
      <c r="E3">
        <v>126</v>
      </c>
      <c r="F3">
        <v>24</v>
      </c>
    </row>
    <row r="4" spans="1:10" x14ac:dyDescent="0.25">
      <c r="B4" s="1" t="s">
        <v>6</v>
      </c>
      <c r="C4" s="1" t="s">
        <v>7</v>
      </c>
      <c r="H4" s="1" t="s">
        <v>8</v>
      </c>
    </row>
    <row r="5" spans="1:10" x14ac:dyDescent="0.25">
      <c r="A5" t="s">
        <v>9</v>
      </c>
      <c r="C5">
        <v>6</v>
      </c>
      <c r="D5">
        <v>3</v>
      </c>
      <c r="E5">
        <v>5</v>
      </c>
      <c r="F5">
        <v>7</v>
      </c>
      <c r="G5" s="2" t="s">
        <v>10</v>
      </c>
      <c r="H5">
        <f>SUMPRODUCT(C3:F3,C5:F5)-95</f>
        <v>2413</v>
      </c>
    </row>
    <row r="6" spans="1:10" x14ac:dyDescent="0.25">
      <c r="I6" s="1" t="s">
        <v>11</v>
      </c>
    </row>
    <row r="7" spans="1:10" x14ac:dyDescent="0.25">
      <c r="A7" t="s">
        <v>12</v>
      </c>
      <c r="C7">
        <v>1</v>
      </c>
      <c r="D7">
        <v>0</v>
      </c>
      <c r="E7">
        <v>0</v>
      </c>
      <c r="F7">
        <v>0</v>
      </c>
      <c r="G7" s="2" t="s">
        <v>10</v>
      </c>
      <c r="H7">
        <f>SUMPRODUCT($C$3:$F$3,C7:F7)</f>
        <v>270</v>
      </c>
      <c r="I7" t="s">
        <v>13</v>
      </c>
      <c r="J7">
        <v>30</v>
      </c>
    </row>
    <row r="8" spans="1:10" x14ac:dyDescent="0.25">
      <c r="C8">
        <v>0</v>
      </c>
      <c r="D8">
        <v>1</v>
      </c>
      <c r="E8">
        <v>0</v>
      </c>
      <c r="F8">
        <v>0</v>
      </c>
      <c r="G8" s="2" t="s">
        <v>10</v>
      </c>
      <c r="H8">
        <f>SUMPRODUCT($C$3:$F$3,C8:F8)</f>
        <v>30</v>
      </c>
      <c r="I8" t="s">
        <v>13</v>
      </c>
      <c r="J8">
        <v>30</v>
      </c>
    </row>
    <row r="9" spans="1:10" x14ac:dyDescent="0.25">
      <c r="C9">
        <v>0</v>
      </c>
      <c r="D9">
        <v>0</v>
      </c>
      <c r="E9">
        <v>1</v>
      </c>
      <c r="F9">
        <v>0</v>
      </c>
      <c r="G9" s="2" t="s">
        <v>10</v>
      </c>
      <c r="H9">
        <f t="shared" ref="H9:H18" si="0">SUMPRODUCT($C$3:$F$3,C9:F9)</f>
        <v>126</v>
      </c>
      <c r="I9" t="s">
        <v>13</v>
      </c>
      <c r="J9">
        <v>20</v>
      </c>
    </row>
    <row r="10" spans="1:10" x14ac:dyDescent="0.25">
      <c r="C10">
        <v>0</v>
      </c>
      <c r="D10">
        <v>0</v>
      </c>
      <c r="E10">
        <v>0</v>
      </c>
      <c r="F10">
        <v>1</v>
      </c>
      <c r="G10" s="2" t="s">
        <v>10</v>
      </c>
      <c r="H10">
        <f t="shared" si="0"/>
        <v>24</v>
      </c>
      <c r="I10" t="s">
        <v>13</v>
      </c>
      <c r="J10">
        <v>20</v>
      </c>
    </row>
    <row r="11" spans="1:10" x14ac:dyDescent="0.25">
      <c r="C11">
        <v>1</v>
      </c>
      <c r="D11">
        <v>1</v>
      </c>
      <c r="E11">
        <v>0</v>
      </c>
      <c r="F11">
        <v>0</v>
      </c>
      <c r="G11" s="2" t="s">
        <v>10</v>
      </c>
      <c r="H11">
        <f t="shared" si="0"/>
        <v>300</v>
      </c>
      <c r="I11" t="s">
        <v>13</v>
      </c>
      <c r="J11">
        <v>200</v>
      </c>
    </row>
    <row r="12" spans="1:10" x14ac:dyDescent="0.25">
      <c r="C12">
        <v>1</v>
      </c>
      <c r="D12">
        <v>1</v>
      </c>
      <c r="E12">
        <v>0</v>
      </c>
      <c r="F12">
        <v>0</v>
      </c>
      <c r="G12" s="2" t="s">
        <v>10</v>
      </c>
      <c r="H12">
        <f t="shared" si="0"/>
        <v>300</v>
      </c>
      <c r="I12" t="s">
        <v>14</v>
      </c>
      <c r="J12">
        <v>300</v>
      </c>
    </row>
    <row r="13" spans="1:10" x14ac:dyDescent="0.25">
      <c r="C13">
        <v>0</v>
      </c>
      <c r="D13">
        <v>0</v>
      </c>
      <c r="E13">
        <v>1</v>
      </c>
      <c r="F13">
        <v>1</v>
      </c>
      <c r="G13" s="2" t="s">
        <v>10</v>
      </c>
      <c r="H13">
        <f t="shared" si="0"/>
        <v>150</v>
      </c>
      <c r="I13" t="s">
        <v>13</v>
      </c>
      <c r="J13">
        <v>120</v>
      </c>
    </row>
    <row r="14" spans="1:10" x14ac:dyDescent="0.25">
      <c r="C14">
        <v>0</v>
      </c>
      <c r="D14">
        <v>0</v>
      </c>
      <c r="E14">
        <v>1</v>
      </c>
      <c r="F14">
        <v>1</v>
      </c>
      <c r="G14" s="2" t="s">
        <v>10</v>
      </c>
      <c r="H14">
        <f t="shared" si="0"/>
        <v>150</v>
      </c>
      <c r="I14" t="s">
        <v>14</v>
      </c>
      <c r="J14">
        <v>150</v>
      </c>
    </row>
    <row r="15" spans="1:10" x14ac:dyDescent="0.25">
      <c r="C15">
        <v>-2</v>
      </c>
      <c r="D15">
        <v>0</v>
      </c>
      <c r="E15">
        <v>5</v>
      </c>
      <c r="F15">
        <v>0</v>
      </c>
      <c r="G15" s="2" t="s">
        <v>10</v>
      </c>
      <c r="H15">
        <f>SUMPRODUCT($C$3:$F$3,C15:F15)</f>
        <v>90</v>
      </c>
      <c r="I15" t="s">
        <v>13</v>
      </c>
      <c r="J15">
        <v>0</v>
      </c>
    </row>
    <row r="16" spans="1:10" x14ac:dyDescent="0.25">
      <c r="C16">
        <v>0</v>
      </c>
      <c r="D16">
        <v>-2</v>
      </c>
      <c r="E16">
        <v>0</v>
      </c>
      <c r="F16">
        <v>5</v>
      </c>
      <c r="G16" s="2" t="s">
        <v>10</v>
      </c>
      <c r="H16">
        <f t="shared" si="0"/>
        <v>60</v>
      </c>
      <c r="I16" t="s">
        <v>13</v>
      </c>
      <c r="J16">
        <v>0</v>
      </c>
    </row>
    <row r="17" spans="2:10" x14ac:dyDescent="0.25">
      <c r="C17">
        <v>-4</v>
      </c>
      <c r="D17">
        <v>0</v>
      </c>
      <c r="E17">
        <v>5</v>
      </c>
      <c r="F17">
        <v>0</v>
      </c>
      <c r="G17" s="2" t="s">
        <v>10</v>
      </c>
      <c r="H17">
        <f t="shared" si="0"/>
        <v>-450</v>
      </c>
      <c r="I17" t="s">
        <v>14</v>
      </c>
      <c r="J17">
        <v>0</v>
      </c>
    </row>
    <row r="18" spans="2:10" x14ac:dyDescent="0.25">
      <c r="C18">
        <v>0</v>
      </c>
      <c r="D18">
        <v>-4</v>
      </c>
      <c r="E18">
        <v>0</v>
      </c>
      <c r="F18">
        <v>5</v>
      </c>
      <c r="G18" s="2" t="s">
        <v>10</v>
      </c>
      <c r="H18">
        <f t="shared" si="0"/>
        <v>0</v>
      </c>
      <c r="I18" t="s">
        <v>14</v>
      </c>
      <c r="J18">
        <v>0</v>
      </c>
    </row>
    <row r="19" spans="2:10" x14ac:dyDescent="0.25">
      <c r="E19" s="3"/>
    </row>
    <row r="20" spans="2:10" x14ac:dyDescent="0.25">
      <c r="E20" s="3"/>
    </row>
    <row r="21" spans="2:10" x14ac:dyDescent="0.25">
      <c r="C21" s="3" t="s">
        <v>15</v>
      </c>
      <c r="E21" s="1" t="s">
        <v>16</v>
      </c>
    </row>
    <row r="22" spans="2:10" x14ac:dyDescent="0.25">
      <c r="C22" s="4" t="s">
        <v>18</v>
      </c>
      <c r="D22" s="4" t="s">
        <v>19</v>
      </c>
      <c r="E22" s="4" t="s">
        <v>20</v>
      </c>
      <c r="F22" s="4" t="s">
        <v>21</v>
      </c>
      <c r="H22" s="3" t="s">
        <v>22</v>
      </c>
    </row>
    <row r="23" spans="2:10" x14ac:dyDescent="0.25">
      <c r="C23">
        <v>-1</v>
      </c>
      <c r="D23">
        <v>0</v>
      </c>
      <c r="E23">
        <v>0</v>
      </c>
      <c r="F23">
        <v>0</v>
      </c>
      <c r="G23" t="s">
        <v>14</v>
      </c>
      <c r="H23">
        <v>-30</v>
      </c>
    </row>
    <row r="24" spans="2:10" x14ac:dyDescent="0.25">
      <c r="B24" s="3" t="s">
        <v>17</v>
      </c>
      <c r="C24">
        <v>0</v>
      </c>
      <c r="D24">
        <v>-1</v>
      </c>
      <c r="E24">
        <v>0</v>
      </c>
      <c r="F24">
        <v>0</v>
      </c>
      <c r="G24" t="s">
        <v>14</v>
      </c>
      <c r="H24">
        <v>-30</v>
      </c>
    </row>
    <row r="25" spans="2:10" x14ac:dyDescent="0.25">
      <c r="C25">
        <v>0</v>
      </c>
      <c r="D25">
        <v>0</v>
      </c>
      <c r="E25">
        <v>-1</v>
      </c>
      <c r="F25">
        <v>0</v>
      </c>
      <c r="G25" t="s">
        <v>14</v>
      </c>
      <c r="H25">
        <v>-20</v>
      </c>
    </row>
    <row r="26" spans="2:10" x14ac:dyDescent="0.25">
      <c r="C26">
        <v>0</v>
      </c>
      <c r="D26">
        <v>0</v>
      </c>
      <c r="E26">
        <v>0</v>
      </c>
      <c r="F26">
        <v>-1</v>
      </c>
      <c r="G26" t="s">
        <v>14</v>
      </c>
      <c r="H26">
        <v>-20</v>
      </c>
    </row>
    <row r="27" spans="2:10" x14ac:dyDescent="0.25">
      <c r="C27">
        <v>-1</v>
      </c>
      <c r="D27">
        <v>-1</v>
      </c>
      <c r="E27">
        <v>0</v>
      </c>
      <c r="F27">
        <v>0</v>
      </c>
      <c r="G27" t="s">
        <v>14</v>
      </c>
      <c r="H27">
        <v>-200</v>
      </c>
    </row>
    <row r="28" spans="2:10" x14ac:dyDescent="0.25">
      <c r="C28">
        <v>1</v>
      </c>
      <c r="D28">
        <v>1</v>
      </c>
      <c r="E28">
        <v>0</v>
      </c>
      <c r="F28">
        <v>0</v>
      </c>
      <c r="G28" t="s">
        <v>14</v>
      </c>
      <c r="H28">
        <v>300</v>
      </c>
    </row>
    <row r="29" spans="2:10" x14ac:dyDescent="0.25">
      <c r="C29">
        <v>0</v>
      </c>
      <c r="D29">
        <v>0</v>
      </c>
      <c r="E29">
        <v>-1</v>
      </c>
      <c r="F29">
        <v>-1</v>
      </c>
      <c r="G29" t="s">
        <v>14</v>
      </c>
      <c r="H29">
        <v>-120</v>
      </c>
    </row>
    <row r="30" spans="2:10" x14ac:dyDescent="0.25">
      <c r="C30">
        <v>0</v>
      </c>
      <c r="D30">
        <v>0</v>
      </c>
      <c r="E30">
        <v>1</v>
      </c>
      <c r="F30">
        <v>1</v>
      </c>
      <c r="G30" t="s">
        <v>14</v>
      </c>
      <c r="H30">
        <v>150</v>
      </c>
    </row>
    <row r="31" spans="2:10" x14ac:dyDescent="0.25">
      <c r="C31">
        <v>2</v>
      </c>
      <c r="D31">
        <v>0</v>
      </c>
      <c r="E31">
        <v>-5</v>
      </c>
      <c r="F31">
        <v>0</v>
      </c>
      <c r="G31" t="s">
        <v>14</v>
      </c>
      <c r="H31">
        <v>0</v>
      </c>
    </row>
    <row r="32" spans="2:10" x14ac:dyDescent="0.25">
      <c r="C32">
        <v>0</v>
      </c>
      <c r="D32">
        <v>2</v>
      </c>
      <c r="E32">
        <v>0</v>
      </c>
      <c r="F32">
        <v>-5</v>
      </c>
      <c r="G32" t="s">
        <v>14</v>
      </c>
      <c r="H32">
        <v>0</v>
      </c>
    </row>
    <row r="33" spans="2:8" x14ac:dyDescent="0.25">
      <c r="C33">
        <v>-4</v>
      </c>
      <c r="D33">
        <v>0</v>
      </c>
      <c r="E33">
        <v>5</v>
      </c>
      <c r="F33">
        <v>0</v>
      </c>
      <c r="G33" t="s">
        <v>14</v>
      </c>
      <c r="H33">
        <v>0</v>
      </c>
    </row>
    <row r="34" spans="2:8" x14ac:dyDescent="0.25">
      <c r="C34">
        <v>0</v>
      </c>
      <c r="D34">
        <v>-4</v>
      </c>
      <c r="E34">
        <v>0</v>
      </c>
      <c r="F34">
        <v>5</v>
      </c>
      <c r="G34" t="s">
        <v>14</v>
      </c>
      <c r="H34">
        <v>0</v>
      </c>
    </row>
    <row r="36" spans="2:8" x14ac:dyDescent="0.25">
      <c r="B36" s="3" t="s">
        <v>23</v>
      </c>
      <c r="C36">
        <v>6</v>
      </c>
      <c r="D36">
        <v>3</v>
      </c>
      <c r="E36">
        <v>5</v>
      </c>
      <c r="F36">
        <v>7</v>
      </c>
    </row>
    <row r="38" spans="2:8" x14ac:dyDescent="0.25">
      <c r="B38" s="3" t="s">
        <v>24</v>
      </c>
    </row>
    <row r="39" spans="2:8" x14ac:dyDescent="0.25">
      <c r="B39" t="s">
        <v>25</v>
      </c>
      <c r="D39" s="2" t="s">
        <v>26</v>
      </c>
    </row>
    <row r="41" spans="2:8" x14ac:dyDescent="0.25">
      <c r="B41" s="3" t="s">
        <v>27</v>
      </c>
      <c r="D41" s="2" t="s">
        <v>83</v>
      </c>
    </row>
    <row r="42" spans="2:8" x14ac:dyDescent="0.25">
      <c r="B42" t="s">
        <v>89</v>
      </c>
      <c r="D42" s="2" t="s">
        <v>84</v>
      </c>
      <c r="G42" s="1" t="s">
        <v>87</v>
      </c>
    </row>
    <row r="43" spans="2:8" x14ac:dyDescent="0.25">
      <c r="D43" s="2" t="s">
        <v>85</v>
      </c>
    </row>
    <row r="44" spans="2:8" x14ac:dyDescent="0.25">
      <c r="D44" s="2" t="s">
        <v>86</v>
      </c>
    </row>
    <row r="45" spans="2:8" x14ac:dyDescent="0.25">
      <c r="D45" t="s">
        <v>88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topLeftCell="A3" workbookViewId="0"/>
  </sheetViews>
  <sheetFormatPr defaultRowHeight="15" outlineLevelRow="1" x14ac:dyDescent="0.25"/>
  <cols>
    <col min="1" max="1" width="2.28515625" customWidth="1"/>
    <col min="2" max="2" width="5.28515625" bestFit="1" customWidth="1"/>
    <col min="3" max="3" width="23" bestFit="1" customWidth="1"/>
    <col min="4" max="4" width="6.140625" customWidth="1"/>
    <col min="5" max="5" width="8.7109375" bestFit="1" customWidth="1"/>
    <col min="6" max="6" width="10.85546875" bestFit="1" customWidth="1"/>
    <col min="7" max="8" width="10" bestFit="1" customWidth="1"/>
  </cols>
  <sheetData>
    <row r="1" spans="1:8" x14ac:dyDescent="0.25">
      <c r="A1" s="4" t="s">
        <v>35</v>
      </c>
    </row>
    <row r="2" spans="1:8" x14ac:dyDescent="0.25">
      <c r="A2" s="4" t="s">
        <v>36</v>
      </c>
    </row>
    <row r="3" spans="1:8" x14ac:dyDescent="0.25">
      <c r="A3" s="4" t="s">
        <v>37</v>
      </c>
    </row>
    <row r="6" spans="1:8" ht="15.75" thickBot="1" x14ac:dyDescent="0.3">
      <c r="A6" t="s">
        <v>38</v>
      </c>
    </row>
    <row r="7" spans="1:8" x14ac:dyDescent="0.25">
      <c r="B7" s="8"/>
      <c r="C7" s="8"/>
      <c r="D7" s="8" t="s">
        <v>41</v>
      </c>
      <c r="E7" s="8" t="s">
        <v>43</v>
      </c>
      <c r="F7" s="8" t="s">
        <v>45</v>
      </c>
      <c r="G7" s="8" t="s">
        <v>47</v>
      </c>
      <c r="H7" s="8" t="s">
        <v>47</v>
      </c>
    </row>
    <row r="8" spans="1:8" ht="15.75" thickBot="1" x14ac:dyDescent="0.3">
      <c r="B8" s="9" t="s">
        <v>39</v>
      </c>
      <c r="C8" s="9" t="s">
        <v>40</v>
      </c>
      <c r="D8" s="9" t="s">
        <v>42</v>
      </c>
      <c r="E8" s="9" t="s">
        <v>44</v>
      </c>
      <c r="F8" s="9" t="s">
        <v>46</v>
      </c>
      <c r="G8" s="9" t="s">
        <v>48</v>
      </c>
      <c r="H8" s="9" t="s">
        <v>49</v>
      </c>
    </row>
    <row r="9" spans="1:8" x14ac:dyDescent="0.25">
      <c r="B9" s="11" t="s">
        <v>74</v>
      </c>
      <c r="C9" s="10"/>
      <c r="D9" s="10"/>
      <c r="E9" s="10"/>
      <c r="F9" s="10"/>
      <c r="G9" s="10"/>
      <c r="H9" s="10"/>
    </row>
    <row r="10" spans="1:8" hidden="1" outlineLevel="1" x14ac:dyDescent="0.25">
      <c r="B10" s="6" t="s">
        <v>54</v>
      </c>
      <c r="C10" s="6" t="s">
        <v>29</v>
      </c>
      <c r="D10" s="6">
        <v>200</v>
      </c>
      <c r="E10" s="6">
        <v>0</v>
      </c>
      <c r="F10" s="6">
        <v>2</v>
      </c>
      <c r="G10" s="6">
        <v>1</v>
      </c>
      <c r="H10" s="6">
        <v>7</v>
      </c>
    </row>
    <row r="11" spans="1:8" hidden="1" outlineLevel="1" x14ac:dyDescent="0.25">
      <c r="B11" s="6" t="s">
        <v>55</v>
      </c>
      <c r="C11" s="6"/>
      <c r="D11" s="6">
        <v>0</v>
      </c>
      <c r="E11" s="6">
        <v>7</v>
      </c>
      <c r="F11" s="6">
        <v>4</v>
      </c>
      <c r="G11" s="6">
        <v>1E+30</v>
      </c>
      <c r="H11" s="6">
        <v>7</v>
      </c>
    </row>
    <row r="12" spans="1:8" hidden="1" outlineLevel="1" x14ac:dyDescent="0.25">
      <c r="B12" s="6" t="s">
        <v>56</v>
      </c>
      <c r="C12" s="6"/>
      <c r="D12" s="6">
        <v>100</v>
      </c>
      <c r="E12" s="6">
        <v>0</v>
      </c>
      <c r="F12" s="6">
        <v>1</v>
      </c>
      <c r="G12" s="6">
        <v>4</v>
      </c>
      <c r="H12" s="6">
        <v>1</v>
      </c>
    </row>
    <row r="13" spans="1:8" hidden="1" outlineLevel="1" x14ac:dyDescent="0.25">
      <c r="B13" s="6" t="s">
        <v>57</v>
      </c>
      <c r="C13" s="6"/>
      <c r="D13" s="6">
        <v>0</v>
      </c>
      <c r="E13" s="6">
        <v>4</v>
      </c>
      <c r="F13" s="6">
        <v>3</v>
      </c>
      <c r="G13" s="6">
        <v>1E+30</v>
      </c>
      <c r="H13" s="6">
        <v>4</v>
      </c>
    </row>
    <row r="14" spans="1:8" hidden="1" outlineLevel="1" x14ac:dyDescent="0.25">
      <c r="B14" s="6" t="s">
        <v>58</v>
      </c>
      <c r="C14" s="6" t="s">
        <v>29</v>
      </c>
      <c r="D14" s="6">
        <v>0</v>
      </c>
      <c r="E14" s="6">
        <v>1</v>
      </c>
      <c r="F14" s="6">
        <v>8</v>
      </c>
      <c r="G14" s="6">
        <v>1E+30</v>
      </c>
      <c r="H14" s="6">
        <v>1</v>
      </c>
    </row>
    <row r="15" spans="1:8" hidden="1" outlineLevel="1" x14ac:dyDescent="0.25">
      <c r="B15" s="6" t="s">
        <v>59</v>
      </c>
      <c r="C15" s="6"/>
      <c r="D15" s="6">
        <v>200</v>
      </c>
      <c r="E15" s="6">
        <v>0</v>
      </c>
      <c r="F15" s="6">
        <v>2</v>
      </c>
      <c r="G15" s="6">
        <v>1</v>
      </c>
      <c r="H15" s="6">
        <v>2</v>
      </c>
    </row>
    <row r="16" spans="1:8" hidden="1" outlineLevel="1" x14ac:dyDescent="0.25">
      <c r="B16" s="6" t="s">
        <v>60</v>
      </c>
      <c r="C16" s="6"/>
      <c r="D16" s="6">
        <v>100</v>
      </c>
      <c r="E16" s="6">
        <v>0</v>
      </c>
      <c r="F16" s="6">
        <v>6</v>
      </c>
      <c r="G16" s="6">
        <v>1</v>
      </c>
      <c r="H16" s="6">
        <v>1</v>
      </c>
    </row>
    <row r="17" spans="1:8" hidden="1" outlineLevel="1" x14ac:dyDescent="0.25">
      <c r="B17" s="6" t="s">
        <v>61</v>
      </c>
      <c r="C17" s="6"/>
      <c r="D17" s="6">
        <v>0</v>
      </c>
      <c r="E17" s="6">
        <v>1</v>
      </c>
      <c r="F17" s="6">
        <v>5</v>
      </c>
      <c r="G17" s="6">
        <v>1E+30</v>
      </c>
      <c r="H17" s="6">
        <v>1</v>
      </c>
    </row>
    <row r="18" spans="1:8" hidden="1" outlineLevel="1" x14ac:dyDescent="0.25">
      <c r="B18" s="6" t="s">
        <v>62</v>
      </c>
      <c r="C18" s="6" t="s">
        <v>29</v>
      </c>
      <c r="D18" s="6">
        <v>0</v>
      </c>
      <c r="E18" s="6">
        <v>1</v>
      </c>
      <c r="F18" s="6">
        <v>6</v>
      </c>
      <c r="G18" s="6">
        <v>1E+30</v>
      </c>
      <c r="H18" s="6">
        <v>1</v>
      </c>
    </row>
    <row r="19" spans="1:8" hidden="1" outlineLevel="1" x14ac:dyDescent="0.25">
      <c r="B19" s="6" t="s">
        <v>63</v>
      </c>
      <c r="C19" s="6"/>
      <c r="D19" s="6">
        <v>0</v>
      </c>
      <c r="E19" s="6">
        <v>1</v>
      </c>
      <c r="F19" s="6">
        <v>1</v>
      </c>
      <c r="G19" s="6">
        <v>1E+30</v>
      </c>
      <c r="H19" s="6">
        <v>1</v>
      </c>
    </row>
    <row r="20" spans="1:8" hidden="1" outlineLevel="1" x14ac:dyDescent="0.25">
      <c r="B20" s="6" t="s">
        <v>64</v>
      </c>
      <c r="C20" s="6"/>
      <c r="D20" s="6">
        <v>100</v>
      </c>
      <c r="E20" s="6">
        <v>0</v>
      </c>
      <c r="F20" s="6">
        <v>4</v>
      </c>
      <c r="G20" s="6">
        <v>1</v>
      </c>
      <c r="H20" s="6">
        <v>1</v>
      </c>
    </row>
    <row r="21" spans="1:8" ht="15.75" hidden="1" outlineLevel="1" thickBot="1" x14ac:dyDescent="0.3">
      <c r="B21" s="7" t="s">
        <v>65</v>
      </c>
      <c r="C21" s="7"/>
      <c r="D21" s="7">
        <v>100</v>
      </c>
      <c r="E21" s="7">
        <v>0</v>
      </c>
      <c r="F21" s="7">
        <v>2</v>
      </c>
      <c r="G21" s="7">
        <v>1</v>
      </c>
      <c r="H21" s="7">
        <v>4</v>
      </c>
    </row>
    <row r="22" spans="1:8" collapsed="1" x14ac:dyDescent="0.25">
      <c r="B22" s="5"/>
      <c r="C22" s="5"/>
      <c r="D22" s="5"/>
      <c r="E22" s="5"/>
      <c r="F22" s="5"/>
      <c r="G22" s="5"/>
      <c r="H22" s="5"/>
    </row>
    <row r="24" spans="1:8" ht="15.75" thickBot="1" x14ac:dyDescent="0.3">
      <c r="A24" t="s">
        <v>12</v>
      </c>
    </row>
    <row r="25" spans="1:8" x14ac:dyDescent="0.25">
      <c r="B25" s="8"/>
      <c r="C25" s="8"/>
      <c r="D25" s="8" t="s">
        <v>41</v>
      </c>
      <c r="E25" s="8" t="s">
        <v>50</v>
      </c>
      <c r="F25" s="8" t="s">
        <v>52</v>
      </c>
      <c r="G25" s="8" t="s">
        <v>47</v>
      </c>
      <c r="H25" s="8" t="s">
        <v>47</v>
      </c>
    </row>
    <row r="26" spans="1:8" ht="15.75" thickBot="1" x14ac:dyDescent="0.3">
      <c r="B26" s="9" t="s">
        <v>39</v>
      </c>
      <c r="C26" s="9" t="s">
        <v>40</v>
      </c>
      <c r="D26" s="9" t="s">
        <v>42</v>
      </c>
      <c r="E26" s="9" t="s">
        <v>51</v>
      </c>
      <c r="F26" s="9" t="s">
        <v>53</v>
      </c>
      <c r="G26" s="9" t="s">
        <v>48</v>
      </c>
      <c r="H26" s="9" t="s">
        <v>49</v>
      </c>
    </row>
    <row r="27" spans="1:8" x14ac:dyDescent="0.25">
      <c r="B27" s="11" t="s">
        <v>75</v>
      </c>
      <c r="C27" s="10"/>
      <c r="D27" s="10"/>
      <c r="E27" s="10"/>
      <c r="F27" s="10"/>
      <c r="G27" s="10"/>
      <c r="H27" s="10"/>
    </row>
    <row r="28" spans="1:8" outlineLevel="1" x14ac:dyDescent="0.25">
      <c r="B28" s="6" t="s">
        <v>66</v>
      </c>
      <c r="C28" s="6" t="s">
        <v>67</v>
      </c>
      <c r="D28" s="6">
        <v>200</v>
      </c>
      <c r="E28" s="6">
        <v>7</v>
      </c>
      <c r="F28" s="6">
        <v>200</v>
      </c>
      <c r="G28" s="6">
        <v>0</v>
      </c>
      <c r="H28" s="6">
        <v>100</v>
      </c>
    </row>
    <row r="29" spans="1:8" outlineLevel="1" x14ac:dyDescent="0.25">
      <c r="B29" s="6" t="s">
        <v>68</v>
      </c>
      <c r="C29" s="6" t="s">
        <v>33</v>
      </c>
      <c r="D29" s="6">
        <v>200</v>
      </c>
      <c r="E29" s="6">
        <v>2</v>
      </c>
      <c r="F29" s="6">
        <v>200</v>
      </c>
      <c r="G29" s="6">
        <v>0</v>
      </c>
      <c r="H29" s="6">
        <v>200</v>
      </c>
    </row>
    <row r="30" spans="1:8" outlineLevel="1" x14ac:dyDescent="0.25">
      <c r="B30" s="6" t="s">
        <v>69</v>
      </c>
      <c r="C30" s="6" t="s">
        <v>33</v>
      </c>
      <c r="D30" s="6">
        <v>300</v>
      </c>
      <c r="E30" s="6">
        <v>6</v>
      </c>
      <c r="F30" s="6">
        <v>300</v>
      </c>
      <c r="G30" s="6">
        <v>0</v>
      </c>
      <c r="H30" s="6">
        <v>100</v>
      </c>
    </row>
    <row r="31" spans="1:8" outlineLevel="1" x14ac:dyDescent="0.25">
      <c r="B31" s="6" t="s">
        <v>70</v>
      </c>
      <c r="C31" s="6" t="s">
        <v>33</v>
      </c>
      <c r="D31" s="6">
        <v>100</v>
      </c>
      <c r="E31" s="6">
        <v>4</v>
      </c>
      <c r="F31" s="6">
        <v>100</v>
      </c>
      <c r="G31" s="6">
        <v>0</v>
      </c>
      <c r="H31" s="6">
        <v>100</v>
      </c>
    </row>
    <row r="32" spans="1:8" x14ac:dyDescent="0.25">
      <c r="B32" s="6"/>
      <c r="C32" s="6"/>
      <c r="D32" s="6"/>
      <c r="E32" s="6"/>
      <c r="F32" s="6"/>
      <c r="G32" s="6"/>
      <c r="H32" s="6"/>
    </row>
    <row r="33" spans="2:8" x14ac:dyDescent="0.25">
      <c r="B33" s="12" t="s">
        <v>76</v>
      </c>
      <c r="C33" s="6"/>
      <c r="D33" s="6"/>
      <c r="E33" s="6"/>
      <c r="F33" s="6"/>
      <c r="G33" s="6"/>
      <c r="H33" s="6"/>
    </row>
    <row r="34" spans="2:8" outlineLevel="1" x14ac:dyDescent="0.25">
      <c r="B34" s="6" t="s">
        <v>71</v>
      </c>
      <c r="C34" s="6" t="s">
        <v>34</v>
      </c>
      <c r="D34" s="6">
        <v>300</v>
      </c>
      <c r="E34" s="6">
        <v>-5</v>
      </c>
      <c r="F34" s="6">
        <v>300</v>
      </c>
      <c r="G34" s="6">
        <v>100</v>
      </c>
      <c r="H34" s="6">
        <v>0</v>
      </c>
    </row>
    <row r="35" spans="2:8" outlineLevel="1" x14ac:dyDescent="0.25">
      <c r="B35" s="6" t="s">
        <v>72</v>
      </c>
      <c r="C35" s="6" t="s">
        <v>34</v>
      </c>
      <c r="D35" s="6">
        <v>300</v>
      </c>
      <c r="E35" s="6">
        <v>0</v>
      </c>
      <c r="F35" s="6">
        <v>300</v>
      </c>
      <c r="G35" s="6">
        <v>1E+30</v>
      </c>
      <c r="H35" s="6">
        <v>0</v>
      </c>
    </row>
    <row r="36" spans="2:8" ht="15.75" outlineLevel="1" thickBot="1" x14ac:dyDescent="0.3">
      <c r="B36" s="7" t="s">
        <v>73</v>
      </c>
      <c r="C36" s="7" t="s">
        <v>34</v>
      </c>
      <c r="D36" s="7">
        <v>200</v>
      </c>
      <c r="E36" s="7">
        <v>-2</v>
      </c>
      <c r="F36" s="7">
        <v>200</v>
      </c>
      <c r="G36" s="7">
        <v>100</v>
      </c>
      <c r="H36" s="7">
        <v>0</v>
      </c>
    </row>
    <row r="37" spans="2:8" x14ac:dyDescent="0.25">
      <c r="B37" s="5"/>
      <c r="C37" s="5"/>
      <c r="D37" s="5"/>
      <c r="E37" s="5"/>
      <c r="F37" s="5"/>
      <c r="G37" s="5"/>
      <c r="H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opLeftCell="D1" zoomScale="166" zoomScaleNormal="166" workbookViewId="0">
      <selection activeCell="L7" sqref="L7"/>
    </sheetView>
  </sheetViews>
  <sheetFormatPr defaultRowHeight="15" x14ac:dyDescent="0.25"/>
  <sheetData>
    <row r="1" spans="1:11" x14ac:dyDescent="0.25">
      <c r="A1" t="s">
        <v>28</v>
      </c>
      <c r="F1" t="s">
        <v>29</v>
      </c>
      <c r="J1" t="s">
        <v>34</v>
      </c>
      <c r="K1" t="s">
        <v>32</v>
      </c>
    </row>
    <row r="2" spans="1:11" x14ac:dyDescent="0.25">
      <c r="A2">
        <v>2</v>
      </c>
      <c r="B2">
        <v>4</v>
      </c>
      <c r="C2">
        <v>1</v>
      </c>
      <c r="D2">
        <v>3</v>
      </c>
      <c r="F2">
        <v>200</v>
      </c>
      <c r="G2">
        <v>0</v>
      </c>
      <c r="H2">
        <v>100</v>
      </c>
      <c r="I2">
        <v>0</v>
      </c>
      <c r="J2">
        <f>SUM(F2:I2)</f>
        <v>300</v>
      </c>
      <c r="K2">
        <v>300</v>
      </c>
    </row>
    <row r="3" spans="1:11" x14ac:dyDescent="0.25">
      <c r="A3">
        <v>8</v>
      </c>
      <c r="B3">
        <v>2</v>
      </c>
      <c r="C3">
        <v>6</v>
      </c>
      <c r="D3">
        <v>5</v>
      </c>
      <c r="F3">
        <v>0</v>
      </c>
      <c r="G3">
        <v>200</v>
      </c>
      <c r="H3">
        <v>100</v>
      </c>
      <c r="I3">
        <v>0</v>
      </c>
      <c r="J3">
        <f t="shared" ref="J3:J4" si="0">SUM(F3:I3)</f>
        <v>300</v>
      </c>
      <c r="K3">
        <v>300</v>
      </c>
    </row>
    <row r="4" spans="1:11" x14ac:dyDescent="0.25">
      <c r="A4">
        <v>6</v>
      </c>
      <c r="B4">
        <v>1</v>
      </c>
      <c r="C4">
        <v>4</v>
      </c>
      <c r="D4">
        <v>2</v>
      </c>
      <c r="F4">
        <v>0</v>
      </c>
      <c r="G4">
        <v>0</v>
      </c>
      <c r="H4">
        <v>100</v>
      </c>
      <c r="I4">
        <v>100</v>
      </c>
      <c r="J4">
        <f t="shared" si="0"/>
        <v>200</v>
      </c>
      <c r="K4">
        <v>200</v>
      </c>
    </row>
    <row r="5" spans="1:11" x14ac:dyDescent="0.25">
      <c r="E5" t="s">
        <v>33</v>
      </c>
      <c r="F5">
        <f>SUM(F2:F4)</f>
        <v>200</v>
      </c>
      <c r="G5">
        <f t="shared" ref="G5:I5" si="1">SUM(G2:G4)</f>
        <v>200</v>
      </c>
      <c r="H5">
        <f t="shared" si="1"/>
        <v>300</v>
      </c>
      <c r="I5">
        <f t="shared" si="1"/>
        <v>100</v>
      </c>
    </row>
    <row r="6" spans="1:11" x14ac:dyDescent="0.25">
      <c r="E6" t="s">
        <v>31</v>
      </c>
      <c r="F6">
        <v>200</v>
      </c>
      <c r="G6">
        <v>200</v>
      </c>
      <c r="H6">
        <v>300</v>
      </c>
      <c r="I6">
        <v>100</v>
      </c>
    </row>
    <row r="7" spans="1:11" x14ac:dyDescent="0.25">
      <c r="B7" t="s">
        <v>30</v>
      </c>
      <c r="C7">
        <f>SUMPRODUCT(A2:D4,F2:I4)</f>
        <v>2100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topLeftCell="A24" workbookViewId="0">
      <selection activeCell="A46" sqref="A46"/>
    </sheetView>
  </sheetViews>
  <sheetFormatPr defaultRowHeight="15" outlineLevelRow="1" x14ac:dyDescent="0.25"/>
  <cols>
    <col min="1" max="1" width="2.28515625" customWidth="1"/>
    <col min="2" max="2" width="5.28515625" bestFit="1" customWidth="1"/>
    <col min="3" max="3" width="23" bestFit="1" customWidth="1"/>
    <col min="4" max="4" width="6.140625" customWidth="1"/>
    <col min="5" max="5" width="8.7109375" bestFit="1" customWidth="1"/>
    <col min="6" max="6" width="10.85546875" bestFit="1" customWidth="1"/>
    <col min="7" max="8" width="10" bestFit="1" customWidth="1"/>
  </cols>
  <sheetData>
    <row r="1" spans="1:8" x14ac:dyDescent="0.25">
      <c r="A1" s="4" t="s">
        <v>35</v>
      </c>
    </row>
    <row r="2" spans="1:8" x14ac:dyDescent="0.25">
      <c r="A2" s="4" t="s">
        <v>78</v>
      </c>
    </row>
    <row r="3" spans="1:8" x14ac:dyDescent="0.25">
      <c r="A3" s="4" t="s">
        <v>79</v>
      </c>
    </row>
    <row r="6" spans="1:8" ht="15.75" thickBot="1" x14ac:dyDescent="0.3">
      <c r="A6" t="s">
        <v>38</v>
      </c>
    </row>
    <row r="7" spans="1:8" x14ac:dyDescent="0.25">
      <c r="B7" s="8"/>
      <c r="C7" s="8"/>
      <c r="D7" s="8" t="s">
        <v>41</v>
      </c>
      <c r="E7" s="8" t="s">
        <v>43</v>
      </c>
      <c r="F7" s="8" t="s">
        <v>45</v>
      </c>
      <c r="G7" s="8" t="s">
        <v>47</v>
      </c>
      <c r="H7" s="8" t="s">
        <v>47</v>
      </c>
    </row>
    <row r="8" spans="1:8" ht="15.75" thickBot="1" x14ac:dyDescent="0.3">
      <c r="B8" s="9" t="s">
        <v>39</v>
      </c>
      <c r="C8" s="9" t="s">
        <v>40</v>
      </c>
      <c r="D8" s="9" t="s">
        <v>42</v>
      </c>
      <c r="E8" s="9" t="s">
        <v>44</v>
      </c>
      <c r="F8" s="9" t="s">
        <v>46</v>
      </c>
      <c r="G8" s="9" t="s">
        <v>48</v>
      </c>
      <c r="H8" s="9" t="s">
        <v>49</v>
      </c>
    </row>
    <row r="9" spans="1:8" x14ac:dyDescent="0.25">
      <c r="B9" s="11" t="s">
        <v>74</v>
      </c>
      <c r="C9" s="10"/>
      <c r="D9" s="10"/>
      <c r="E9" s="10"/>
      <c r="F9" s="10"/>
      <c r="G9" s="10"/>
      <c r="H9" s="10"/>
    </row>
    <row r="10" spans="1:8" hidden="1" outlineLevel="1" x14ac:dyDescent="0.25">
      <c r="B10" s="6" t="s">
        <v>54</v>
      </c>
      <c r="C10" s="6" t="s">
        <v>29</v>
      </c>
      <c r="D10" s="6">
        <v>180</v>
      </c>
      <c r="E10" s="6">
        <v>0</v>
      </c>
      <c r="F10" s="6">
        <v>2</v>
      </c>
      <c r="G10" s="6">
        <v>1</v>
      </c>
      <c r="H10" s="6">
        <v>2</v>
      </c>
    </row>
    <row r="11" spans="1:8" hidden="1" outlineLevel="1" x14ac:dyDescent="0.25">
      <c r="B11" s="6" t="s">
        <v>55</v>
      </c>
      <c r="C11" s="6"/>
      <c r="D11" s="6">
        <v>0</v>
      </c>
      <c r="E11" s="6">
        <v>7</v>
      </c>
      <c r="F11" s="6">
        <v>4</v>
      </c>
      <c r="G11" s="6">
        <v>1E+30</v>
      </c>
      <c r="H11" s="6">
        <v>7</v>
      </c>
    </row>
    <row r="12" spans="1:8" hidden="1" outlineLevel="1" x14ac:dyDescent="0.25">
      <c r="B12" s="6" t="s">
        <v>56</v>
      </c>
      <c r="C12" s="6"/>
      <c r="D12" s="6">
        <v>120</v>
      </c>
      <c r="E12" s="6">
        <v>0</v>
      </c>
      <c r="F12" s="6">
        <v>1</v>
      </c>
      <c r="G12" s="6">
        <v>2</v>
      </c>
      <c r="H12" s="6">
        <v>0</v>
      </c>
    </row>
    <row r="13" spans="1:8" hidden="1" outlineLevel="1" x14ac:dyDescent="0.25">
      <c r="B13" s="6" t="s">
        <v>57</v>
      </c>
      <c r="C13" s="6"/>
      <c r="D13" s="6">
        <v>0</v>
      </c>
      <c r="E13" s="6">
        <v>3</v>
      </c>
      <c r="F13" s="6">
        <v>3</v>
      </c>
      <c r="G13" s="6">
        <v>1E+30</v>
      </c>
      <c r="H13" s="6">
        <v>3</v>
      </c>
    </row>
    <row r="14" spans="1:8" hidden="1" outlineLevel="1" x14ac:dyDescent="0.25">
      <c r="B14" s="6" t="s">
        <v>58</v>
      </c>
      <c r="C14" s="6" t="s">
        <v>29</v>
      </c>
      <c r="D14" s="6">
        <v>0</v>
      </c>
      <c r="E14" s="6">
        <v>1</v>
      </c>
      <c r="F14" s="6">
        <v>8</v>
      </c>
      <c r="G14" s="6">
        <v>1E+30</v>
      </c>
      <c r="H14" s="6">
        <v>1</v>
      </c>
    </row>
    <row r="15" spans="1:8" hidden="1" outlineLevel="1" x14ac:dyDescent="0.25">
      <c r="B15" s="6" t="s">
        <v>59</v>
      </c>
      <c r="C15" s="6"/>
      <c r="D15" s="6">
        <v>400</v>
      </c>
      <c r="E15" s="6">
        <v>0</v>
      </c>
      <c r="F15" s="6">
        <v>2</v>
      </c>
      <c r="G15" s="6">
        <v>2</v>
      </c>
      <c r="H15" s="6">
        <v>1E+30</v>
      </c>
    </row>
    <row r="16" spans="1:8" hidden="1" outlineLevel="1" x14ac:dyDescent="0.25">
      <c r="B16" s="6" t="s">
        <v>60</v>
      </c>
      <c r="C16" s="6"/>
      <c r="D16" s="6">
        <v>60</v>
      </c>
      <c r="E16" s="6">
        <v>0</v>
      </c>
      <c r="F16" s="6">
        <v>6</v>
      </c>
      <c r="G16" s="6">
        <v>0</v>
      </c>
      <c r="H16" s="6">
        <v>1</v>
      </c>
    </row>
    <row r="17" spans="1:8" hidden="1" outlineLevel="1" x14ac:dyDescent="0.25">
      <c r="B17" s="6" t="s">
        <v>61</v>
      </c>
      <c r="C17" s="6"/>
      <c r="D17" s="6">
        <v>40</v>
      </c>
      <c r="E17" s="6">
        <v>0</v>
      </c>
      <c r="F17" s="6">
        <v>5</v>
      </c>
      <c r="G17" s="6">
        <v>1</v>
      </c>
      <c r="H17" s="6">
        <v>0</v>
      </c>
    </row>
    <row r="18" spans="1:8" hidden="1" outlineLevel="1" x14ac:dyDescent="0.25">
      <c r="B18" s="6" t="s">
        <v>62</v>
      </c>
      <c r="C18" s="6" t="s">
        <v>29</v>
      </c>
      <c r="D18" s="6">
        <v>0</v>
      </c>
      <c r="E18" s="6">
        <v>2</v>
      </c>
      <c r="F18" s="6">
        <v>6</v>
      </c>
      <c r="G18" s="6">
        <v>1E+30</v>
      </c>
      <c r="H18" s="6">
        <v>2</v>
      </c>
    </row>
    <row r="19" spans="1:8" hidden="1" outlineLevel="1" x14ac:dyDescent="0.25">
      <c r="B19" s="6" t="s">
        <v>63</v>
      </c>
      <c r="C19" s="6"/>
      <c r="D19" s="6">
        <v>0</v>
      </c>
      <c r="E19" s="6">
        <v>2</v>
      </c>
      <c r="F19" s="6">
        <v>1</v>
      </c>
      <c r="G19" s="6">
        <v>1E+30</v>
      </c>
      <c r="H19" s="6">
        <v>2</v>
      </c>
    </row>
    <row r="20" spans="1:8" hidden="1" outlineLevel="1" x14ac:dyDescent="0.25">
      <c r="B20" s="6" t="s">
        <v>64</v>
      </c>
      <c r="C20" s="6"/>
      <c r="D20" s="6">
        <v>0</v>
      </c>
      <c r="E20" s="6">
        <v>1</v>
      </c>
      <c r="F20" s="6">
        <v>4</v>
      </c>
      <c r="G20" s="6">
        <v>1E+30</v>
      </c>
      <c r="H20" s="6">
        <v>1</v>
      </c>
    </row>
    <row r="21" spans="1:8" ht="15.75" hidden="1" outlineLevel="1" thickBot="1" x14ac:dyDescent="0.3">
      <c r="B21" s="7" t="s">
        <v>65</v>
      </c>
      <c r="C21" s="7"/>
      <c r="D21" s="7">
        <v>300</v>
      </c>
      <c r="E21" s="7">
        <v>0</v>
      </c>
      <c r="F21" s="7">
        <v>2</v>
      </c>
      <c r="G21" s="7">
        <v>1</v>
      </c>
      <c r="H21" s="7">
        <v>2</v>
      </c>
    </row>
    <row r="22" spans="1:8" collapsed="1" x14ac:dyDescent="0.25">
      <c r="B22" s="5"/>
      <c r="C22" s="5"/>
      <c r="D22" s="5"/>
      <c r="E22" s="5"/>
      <c r="F22" s="5"/>
      <c r="G22" s="5"/>
      <c r="H22" s="5"/>
    </row>
    <row r="24" spans="1:8" ht="15.75" thickBot="1" x14ac:dyDescent="0.3">
      <c r="A24" t="s">
        <v>12</v>
      </c>
    </row>
    <row r="25" spans="1:8" x14ac:dyDescent="0.25">
      <c r="B25" s="8"/>
      <c r="C25" s="8"/>
      <c r="D25" s="8" t="s">
        <v>41</v>
      </c>
      <c r="E25" s="8" t="s">
        <v>50</v>
      </c>
      <c r="F25" s="8" t="s">
        <v>52</v>
      </c>
      <c r="G25" s="8" t="s">
        <v>47</v>
      </c>
      <c r="H25" s="8" t="s">
        <v>47</v>
      </c>
    </row>
    <row r="26" spans="1:8" ht="15.75" thickBot="1" x14ac:dyDescent="0.3">
      <c r="B26" s="9" t="s">
        <v>39</v>
      </c>
      <c r="C26" s="9" t="s">
        <v>40</v>
      </c>
      <c r="D26" s="9" t="s">
        <v>42</v>
      </c>
      <c r="E26" s="9" t="s">
        <v>51</v>
      </c>
      <c r="F26" s="9" t="s">
        <v>53</v>
      </c>
      <c r="G26" s="9" t="s">
        <v>48</v>
      </c>
      <c r="H26" s="9" t="s">
        <v>49</v>
      </c>
    </row>
    <row r="27" spans="1:8" x14ac:dyDescent="0.25">
      <c r="B27" s="11" t="s">
        <v>80</v>
      </c>
      <c r="C27" s="10"/>
      <c r="D27" s="10"/>
      <c r="E27" s="10"/>
      <c r="F27" s="10"/>
      <c r="G27" s="10"/>
      <c r="H27" s="10"/>
    </row>
    <row r="28" spans="1:8" outlineLevel="1" x14ac:dyDescent="0.25">
      <c r="B28" s="6" t="s">
        <v>66</v>
      </c>
      <c r="C28" s="6" t="s">
        <v>67</v>
      </c>
      <c r="D28" s="6">
        <v>180</v>
      </c>
      <c r="E28" s="6">
        <v>0</v>
      </c>
      <c r="F28" s="6">
        <v>400</v>
      </c>
      <c r="G28" s="6">
        <v>1E+30</v>
      </c>
      <c r="H28" s="6">
        <v>220</v>
      </c>
    </row>
    <row r="29" spans="1:8" outlineLevel="1" x14ac:dyDescent="0.25">
      <c r="B29" s="6" t="s">
        <v>68</v>
      </c>
      <c r="C29" s="6" t="s">
        <v>33</v>
      </c>
      <c r="D29" s="6">
        <v>400</v>
      </c>
      <c r="E29" s="6">
        <v>-3</v>
      </c>
      <c r="F29" s="6">
        <v>400</v>
      </c>
      <c r="G29" s="6">
        <v>40</v>
      </c>
      <c r="H29" s="6">
        <v>60</v>
      </c>
    </row>
    <row r="30" spans="1:8" outlineLevel="1" x14ac:dyDescent="0.25">
      <c r="B30" s="6" t="s">
        <v>69</v>
      </c>
      <c r="C30" s="6" t="s">
        <v>33</v>
      </c>
      <c r="D30" s="6">
        <v>180</v>
      </c>
      <c r="E30" s="6">
        <v>0</v>
      </c>
      <c r="F30" s="6">
        <v>400</v>
      </c>
      <c r="G30" s="6">
        <v>1E+30</v>
      </c>
      <c r="H30" s="6">
        <v>220</v>
      </c>
    </row>
    <row r="31" spans="1:8" outlineLevel="1" x14ac:dyDescent="0.25">
      <c r="B31" s="6" t="s">
        <v>70</v>
      </c>
      <c r="C31" s="6" t="s">
        <v>33</v>
      </c>
      <c r="D31" s="6">
        <v>340</v>
      </c>
      <c r="E31" s="6">
        <v>0</v>
      </c>
      <c r="F31" s="6">
        <v>400</v>
      </c>
      <c r="G31" s="6">
        <v>1E+30</v>
      </c>
      <c r="H31" s="6">
        <v>60</v>
      </c>
    </row>
    <row r="32" spans="1:8" x14ac:dyDescent="0.25">
      <c r="B32" s="6"/>
      <c r="C32" s="6"/>
      <c r="D32" s="6"/>
      <c r="E32" s="6"/>
      <c r="F32" s="6"/>
      <c r="G32" s="6"/>
      <c r="H32" s="6"/>
    </row>
    <row r="33" spans="2:8" x14ac:dyDescent="0.25">
      <c r="B33" s="12" t="s">
        <v>81</v>
      </c>
      <c r="C33" s="6"/>
      <c r="D33" s="6"/>
      <c r="E33" s="6"/>
      <c r="F33" s="6"/>
      <c r="G33" s="6"/>
      <c r="H33" s="6"/>
    </row>
    <row r="34" spans="2:8" outlineLevel="1" x14ac:dyDescent="0.25">
      <c r="B34" s="6" t="s">
        <v>66</v>
      </c>
      <c r="C34" s="6" t="s">
        <v>67</v>
      </c>
      <c r="D34" s="6">
        <v>180</v>
      </c>
      <c r="E34" s="6">
        <v>2</v>
      </c>
      <c r="F34" s="6">
        <v>180</v>
      </c>
      <c r="G34" s="6">
        <v>40</v>
      </c>
      <c r="H34" s="6">
        <v>60</v>
      </c>
    </row>
    <row r="35" spans="2:8" outlineLevel="1" x14ac:dyDescent="0.25">
      <c r="B35" s="6" t="s">
        <v>68</v>
      </c>
      <c r="C35" s="6" t="s">
        <v>33</v>
      </c>
      <c r="D35" s="6">
        <v>400</v>
      </c>
      <c r="E35" s="6">
        <v>0</v>
      </c>
      <c r="F35" s="6">
        <v>180</v>
      </c>
      <c r="G35" s="6">
        <v>220</v>
      </c>
      <c r="H35" s="6">
        <v>1E+30</v>
      </c>
    </row>
    <row r="36" spans="2:8" outlineLevel="1" x14ac:dyDescent="0.25">
      <c r="B36" s="6" t="s">
        <v>69</v>
      </c>
      <c r="C36" s="6" t="s">
        <v>33</v>
      </c>
      <c r="D36" s="6">
        <v>180</v>
      </c>
      <c r="E36" s="6">
        <v>1</v>
      </c>
      <c r="F36" s="6">
        <v>180</v>
      </c>
      <c r="G36" s="6">
        <v>40</v>
      </c>
      <c r="H36" s="6">
        <v>60</v>
      </c>
    </row>
    <row r="37" spans="2:8" outlineLevel="1" x14ac:dyDescent="0.25">
      <c r="B37" s="6" t="s">
        <v>70</v>
      </c>
      <c r="C37" s="6" t="s">
        <v>33</v>
      </c>
      <c r="D37" s="6">
        <v>340</v>
      </c>
      <c r="E37" s="6">
        <v>0</v>
      </c>
      <c r="F37" s="6">
        <v>180</v>
      </c>
      <c r="G37" s="6">
        <v>160</v>
      </c>
      <c r="H37" s="6">
        <v>1E+30</v>
      </c>
    </row>
    <row r="38" spans="2:8" x14ac:dyDescent="0.25">
      <c r="B38" s="6"/>
      <c r="C38" s="6"/>
      <c r="D38" s="6"/>
      <c r="E38" s="6"/>
      <c r="F38" s="6"/>
      <c r="G38" s="6"/>
      <c r="H38" s="6"/>
    </row>
    <row r="39" spans="2:8" x14ac:dyDescent="0.25">
      <c r="B39" s="12" t="s">
        <v>82</v>
      </c>
      <c r="C39" s="6"/>
      <c r="D39" s="6"/>
      <c r="E39" s="6"/>
      <c r="F39" s="6"/>
      <c r="G39" s="6"/>
      <c r="H39" s="6"/>
    </row>
    <row r="40" spans="2:8" outlineLevel="1" x14ac:dyDescent="0.25">
      <c r="B40" s="6" t="s">
        <v>71</v>
      </c>
      <c r="C40" s="6" t="s">
        <v>34</v>
      </c>
      <c r="D40" s="6">
        <v>300</v>
      </c>
      <c r="E40" s="6">
        <v>0</v>
      </c>
      <c r="F40" s="6">
        <v>300</v>
      </c>
      <c r="G40" s="6">
        <v>60</v>
      </c>
      <c r="H40" s="6">
        <v>40</v>
      </c>
    </row>
    <row r="41" spans="2:8" outlineLevel="1" x14ac:dyDescent="0.25">
      <c r="B41" s="6" t="s">
        <v>72</v>
      </c>
      <c r="C41" s="6" t="s">
        <v>34</v>
      </c>
      <c r="D41" s="6">
        <v>500</v>
      </c>
      <c r="E41" s="6">
        <v>5</v>
      </c>
      <c r="F41" s="6">
        <v>500</v>
      </c>
      <c r="G41" s="6">
        <v>60</v>
      </c>
      <c r="H41" s="6">
        <v>40</v>
      </c>
    </row>
    <row r="42" spans="2:8" ht="15.75" outlineLevel="1" thickBot="1" x14ac:dyDescent="0.3">
      <c r="B42" s="7" t="s">
        <v>73</v>
      </c>
      <c r="C42" s="7" t="s">
        <v>34</v>
      </c>
      <c r="D42" s="7">
        <v>300</v>
      </c>
      <c r="E42" s="7">
        <v>2</v>
      </c>
      <c r="F42" s="7">
        <v>300</v>
      </c>
      <c r="G42" s="7">
        <v>60</v>
      </c>
      <c r="H42" s="7">
        <v>160</v>
      </c>
    </row>
    <row r="43" spans="2:8" x14ac:dyDescent="0.25">
      <c r="B43" s="5"/>
      <c r="C43" s="5"/>
      <c r="D43" s="5"/>
      <c r="E43" s="5"/>
      <c r="F43" s="5"/>
      <c r="G43" s="5"/>
      <c r="H4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opLeftCell="B1" zoomScale="166" zoomScaleNormal="166" workbookViewId="0">
      <selection activeCell="E10" sqref="E10"/>
    </sheetView>
  </sheetViews>
  <sheetFormatPr defaultRowHeight="15" x14ac:dyDescent="0.25"/>
  <sheetData>
    <row r="1" spans="1:11" x14ac:dyDescent="0.25">
      <c r="A1" t="s">
        <v>28</v>
      </c>
      <c r="F1" t="s">
        <v>29</v>
      </c>
      <c r="J1" t="s">
        <v>34</v>
      </c>
      <c r="K1" t="s">
        <v>32</v>
      </c>
    </row>
    <row r="2" spans="1:11" x14ac:dyDescent="0.25">
      <c r="A2">
        <v>2</v>
      </c>
      <c r="B2">
        <v>4</v>
      </c>
      <c r="C2">
        <v>1</v>
      </c>
      <c r="D2">
        <v>3</v>
      </c>
      <c r="F2">
        <v>180</v>
      </c>
      <c r="G2">
        <v>0</v>
      </c>
      <c r="H2">
        <v>120</v>
      </c>
      <c r="I2">
        <v>0</v>
      </c>
      <c r="J2">
        <f>SUM(F2:I2)</f>
        <v>300</v>
      </c>
      <c r="K2">
        <v>300</v>
      </c>
    </row>
    <row r="3" spans="1:11" x14ac:dyDescent="0.25">
      <c r="A3">
        <v>8</v>
      </c>
      <c r="B3">
        <v>2</v>
      </c>
      <c r="C3">
        <v>6</v>
      </c>
      <c r="D3">
        <v>5</v>
      </c>
      <c r="F3">
        <v>0</v>
      </c>
      <c r="G3">
        <v>400</v>
      </c>
      <c r="H3">
        <v>60</v>
      </c>
      <c r="I3">
        <v>40</v>
      </c>
      <c r="J3">
        <f t="shared" ref="J3:J4" si="0">SUM(F3:I3)</f>
        <v>500</v>
      </c>
      <c r="K3">
        <v>500</v>
      </c>
    </row>
    <row r="4" spans="1:11" x14ac:dyDescent="0.25">
      <c r="A4">
        <v>6</v>
      </c>
      <c r="B4">
        <v>1</v>
      </c>
      <c r="C4">
        <v>4</v>
      </c>
      <c r="D4">
        <v>2</v>
      </c>
      <c r="F4">
        <v>0</v>
      </c>
      <c r="G4">
        <v>0</v>
      </c>
      <c r="H4">
        <v>0</v>
      </c>
      <c r="I4">
        <v>300</v>
      </c>
      <c r="J4">
        <f t="shared" si="0"/>
        <v>300</v>
      </c>
      <c r="K4">
        <v>300</v>
      </c>
    </row>
    <row r="5" spans="1:11" x14ac:dyDescent="0.25">
      <c r="E5" t="s">
        <v>33</v>
      </c>
      <c r="F5">
        <f>SUM(F2:F4)</f>
        <v>180</v>
      </c>
      <c r="G5">
        <f t="shared" ref="G5:I5" si="1">SUM(G2:G4)</f>
        <v>400</v>
      </c>
      <c r="H5">
        <f t="shared" si="1"/>
        <v>180</v>
      </c>
      <c r="I5">
        <f t="shared" si="1"/>
        <v>340</v>
      </c>
    </row>
    <row r="6" spans="1:11" x14ac:dyDescent="0.25">
      <c r="E6" t="s">
        <v>31</v>
      </c>
      <c r="F6">
        <v>400</v>
      </c>
      <c r="G6">
        <v>400</v>
      </c>
      <c r="H6">
        <v>400</v>
      </c>
      <c r="I6">
        <v>400</v>
      </c>
    </row>
    <row r="7" spans="1:11" x14ac:dyDescent="0.25">
      <c r="B7" t="s">
        <v>30</v>
      </c>
      <c r="C7">
        <f>SUMPRODUCT(A2:D4,F2:I4)</f>
        <v>2440</v>
      </c>
      <c r="E7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Dual form of LP</vt:lpstr>
      <vt:lpstr>Sensitivity Report 1</vt:lpstr>
      <vt:lpstr>Transport example</vt:lpstr>
      <vt:lpstr>Sensitivity Report 2</vt:lpstr>
      <vt:lpstr>Transport example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2019-10-15T06:43:12Z</dcterms:modified>
</cp:coreProperties>
</file>