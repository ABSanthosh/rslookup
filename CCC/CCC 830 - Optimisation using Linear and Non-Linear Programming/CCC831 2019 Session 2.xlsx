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activeTab="1"/>
  </bookViews>
  <sheets>
    <sheet name="Sheet1" sheetId="1" r:id="rId1"/>
    <sheet name="Sheet2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Sheet1!$C$1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I23" i="2" l="1"/>
  <c r="I24" i="2"/>
  <c r="I22" i="2"/>
  <c r="D21" i="2"/>
  <c r="I16" i="2"/>
  <c r="I17" i="2"/>
  <c r="I15" i="2"/>
  <c r="T19" i="1"/>
  <c r="T20" i="1"/>
  <c r="T21" i="1"/>
  <c r="T22" i="1"/>
  <c r="T23" i="1"/>
  <c r="T24" i="1"/>
  <c r="T25" i="1"/>
  <c r="T26" i="1"/>
  <c r="T27" i="1"/>
  <c r="T28" i="1"/>
  <c r="T29" i="1"/>
  <c r="T18" i="1"/>
</calcChain>
</file>

<file path=xl/sharedStrings.xml><?xml version="1.0" encoding="utf-8"?>
<sst xmlns="http://schemas.openxmlformats.org/spreadsheetml/2006/main" count="118" uniqueCount="80">
  <si>
    <t>Example from ppt</t>
  </si>
  <si>
    <t>-l1+s1=</t>
  </si>
  <si>
    <t>-l2+s2=</t>
  </si>
  <si>
    <t>-r1+s3=</t>
  </si>
  <si>
    <t>-r2+s4=</t>
  </si>
  <si>
    <t>l1+l2+s5=</t>
  </si>
  <si>
    <t>-l1-l2+s6=</t>
  </si>
  <si>
    <t>r1+r2+s7=</t>
  </si>
  <si>
    <t>-r1-r2+s8=</t>
  </si>
  <si>
    <t>-5r1+2l1+s9=</t>
  </si>
  <si>
    <t>Z</t>
  </si>
  <si>
    <t>l1</t>
  </si>
  <si>
    <t>r1</t>
  </si>
  <si>
    <t>l2</t>
  </si>
  <si>
    <t>r2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</si>
  <si>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</si>
  <si>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</si>
  <si>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</si>
  <si>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</si>
  <si>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</si>
  <si>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</si>
  <si>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</si>
  <si>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</si>
  <si>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</si>
  <si>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</si>
  <si>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</si>
  <si>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</si>
  <si>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RHS</t>
  </si>
  <si>
    <t>Z-6l1-5r1-3l2-7r2=</t>
  </si>
  <si>
    <t>5r1-4l1+s10=</t>
  </si>
  <si>
    <t>5r2-4l2+s12=</t>
  </si>
  <si>
    <t>-5r2+2l2+s11=</t>
  </si>
  <si>
    <t>Basic V</t>
  </si>
  <si>
    <t>RHS/r2</t>
  </si>
  <si>
    <t>Entering BV: r2</t>
  </si>
  <si>
    <t>Minimize</t>
  </si>
  <si>
    <t>P = 3x - 2y</t>
  </si>
  <si>
    <t>2y&lt;=12</t>
  </si>
  <si>
    <t>x,y&gt;=0</t>
  </si>
  <si>
    <t>becomes</t>
  </si>
  <si>
    <t>Maximize -P = -3x+2y</t>
  </si>
  <si>
    <t>After introducing slack and variables:</t>
  </si>
  <si>
    <t>2y+b=</t>
  </si>
  <si>
    <t>3x+2y+c=</t>
  </si>
  <si>
    <t>-P+3x-2y+Mc=</t>
  </si>
  <si>
    <t>where M is an arbitrarily large value</t>
  </si>
  <si>
    <t>Starting table:</t>
  </si>
  <si>
    <t>P</t>
  </si>
  <si>
    <t>x</t>
  </si>
  <si>
    <t>y</t>
  </si>
  <si>
    <t>a</t>
  </si>
  <si>
    <t>b</t>
  </si>
  <si>
    <t>c</t>
  </si>
  <si>
    <t>x&gt;=3</t>
  </si>
  <si>
    <t>-x+a=</t>
  </si>
  <si>
    <t>3x+2y=21</t>
  </si>
  <si>
    <t>R1 -&gt; R1 - M*R4</t>
  </si>
  <si>
    <t>3-3M</t>
  </si>
  <si>
    <t>-2-2M</t>
  </si>
  <si>
    <t>-21M</t>
  </si>
  <si>
    <t>Entering BV: x</t>
  </si>
  <si>
    <t>RHS/x</t>
  </si>
  <si>
    <t>Leaving BV: a</t>
  </si>
  <si>
    <t>BVs</t>
  </si>
  <si>
    <t>R1 -&gt; R1-(1-M)R4</t>
  </si>
  <si>
    <t>M-1</t>
  </si>
  <si>
    <t>R4-&gt; R4+3R2</t>
  </si>
  <si>
    <t>R2-&gt; -R2</t>
  </si>
  <si>
    <t>Entering BV: y</t>
  </si>
  <si>
    <t>RHS/y</t>
  </si>
  <si>
    <t>Leaving BV: b</t>
  </si>
  <si>
    <t>R1-&gt; R1+2R4; R4-&gt; R4-R3; R3-&gt; R3/2</t>
  </si>
  <si>
    <t>M+1</t>
  </si>
  <si>
    <t>NBS a and b are non-negative in top row, optimal condition reached</t>
  </si>
  <si>
    <t>P=</t>
  </si>
  <si>
    <t>x=</t>
  </si>
  <si>
    <t>y=</t>
  </si>
  <si>
    <r>
      <t xml:space="preserve">&lt;-- </t>
    </r>
    <r>
      <rPr>
        <b/>
        <sz val="11"/>
        <color theme="1"/>
        <rFont val="Calibri"/>
        <family val="2"/>
        <scheme val="minor"/>
      </rPr>
      <t>negative zero</t>
    </r>
    <r>
      <rPr>
        <sz val="11"/>
        <color theme="1"/>
        <rFont val="Calibri"/>
        <family val="2"/>
        <scheme val="minor"/>
      </rPr>
      <t xml:space="preserve"> (0/-5), not suitable for leaving BV</t>
    </r>
  </si>
  <si>
    <t>&lt;-- positive zero (0/5), acceptable as leaving BV</t>
  </si>
  <si>
    <t>Leaving BV: 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</si>
</sst>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3" fillId="0" borderId="0" xfId="0" applyFont="1" applyFill="1"/>
    <xf numFmtId="0" fontId="0" fillId="2" borderId="0" xfId="0" quotePrefix="1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zoomScale="166" zoomScaleNormal="166" workbookViewId="0"/>
  </sheetViews>
  <sheetFormatPr defaultRowHeight="15" x14ac:dyDescent="0.25"/>
  <sheetData>
    <row r="1" spans="1:19" x14ac:dyDescent="0.25">
      <c r="A1" t="s">
        <v>0</v>
      </c>
    </row>
    <row r="2" spans="1:19" x14ac:dyDescent="0.25">
      <c r="C2" t="s">
        <v>28</v>
      </c>
      <c r="E2">
        <v>-95</v>
      </c>
    </row>
    <row r="3" spans="1:19" x14ac:dyDescent="0.25">
      <c r="D3" s="1" t="s">
        <v>1</v>
      </c>
      <c r="E3">
        <v>-30</v>
      </c>
    </row>
    <row r="4" spans="1:19" x14ac:dyDescent="0.25">
      <c r="D4" s="1" t="s">
        <v>2</v>
      </c>
      <c r="E4">
        <v>-30</v>
      </c>
    </row>
    <row r="5" spans="1:19" x14ac:dyDescent="0.25">
      <c r="D5" s="1" t="s">
        <v>3</v>
      </c>
      <c r="E5">
        <v>-20</v>
      </c>
    </row>
    <row r="6" spans="1:19" x14ac:dyDescent="0.25">
      <c r="D6" s="1" t="s">
        <v>4</v>
      </c>
      <c r="E6">
        <v>-20</v>
      </c>
    </row>
    <row r="7" spans="1:19" x14ac:dyDescent="0.25">
      <c r="D7" t="s">
        <v>5</v>
      </c>
      <c r="E7">
        <v>300</v>
      </c>
    </row>
    <row r="8" spans="1:19" x14ac:dyDescent="0.25">
      <c r="D8" s="1" t="s">
        <v>6</v>
      </c>
      <c r="E8">
        <v>-200</v>
      </c>
    </row>
    <row r="9" spans="1:19" x14ac:dyDescent="0.25">
      <c r="D9" t="s">
        <v>7</v>
      </c>
      <c r="E9">
        <v>150</v>
      </c>
    </row>
    <row r="10" spans="1:19" x14ac:dyDescent="0.25">
      <c r="D10" s="1" t="s">
        <v>8</v>
      </c>
      <c r="E10">
        <v>-120</v>
      </c>
    </row>
    <row r="11" spans="1:19" x14ac:dyDescent="0.25">
      <c r="C11" s="1" t="s">
        <v>9</v>
      </c>
      <c r="E11">
        <v>0</v>
      </c>
    </row>
    <row r="12" spans="1:19" x14ac:dyDescent="0.25">
      <c r="C12" t="s">
        <v>29</v>
      </c>
      <c r="E12">
        <v>0</v>
      </c>
    </row>
    <row r="13" spans="1:19" x14ac:dyDescent="0.25">
      <c r="C13" s="1" t="s">
        <v>31</v>
      </c>
      <c r="E13">
        <v>0</v>
      </c>
    </row>
    <row r="14" spans="1:19" x14ac:dyDescent="0.25">
      <c r="C14" t="s">
        <v>30</v>
      </c>
      <c r="E14">
        <v>0</v>
      </c>
    </row>
    <row r="16" spans="1:19" x14ac:dyDescent="0.25"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 t="s">
        <v>18</v>
      </c>
      <c r="K16" t="s">
        <v>19</v>
      </c>
      <c r="L16" t="s">
        <v>20</v>
      </c>
      <c r="M16" t="s">
        <v>21</v>
      </c>
      <c r="N16" t="s">
        <v>22</v>
      </c>
      <c r="O16" t="s">
        <v>23</v>
      </c>
      <c r="P16" t="s">
        <v>24</v>
      </c>
      <c r="Q16" t="s">
        <v>25</v>
      </c>
      <c r="R16" t="s">
        <v>26</v>
      </c>
      <c r="S16" t="s">
        <v>27</v>
      </c>
    </row>
    <row r="17" spans="1:21" x14ac:dyDescent="0.25">
      <c r="A17" s="2" t="s">
        <v>32</v>
      </c>
      <c r="B17">
        <v>1</v>
      </c>
      <c r="C17">
        <v>-6</v>
      </c>
      <c r="D17">
        <v>-5</v>
      </c>
      <c r="E17">
        <v>-3</v>
      </c>
      <c r="F17" s="3">
        <v>-7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-95</v>
      </c>
      <c r="T17" s="2" t="s">
        <v>33</v>
      </c>
    </row>
    <row r="18" spans="1:21" x14ac:dyDescent="0.25">
      <c r="A18" t="s">
        <v>15</v>
      </c>
      <c r="B18">
        <v>0</v>
      </c>
      <c r="C18">
        <v>-1</v>
      </c>
      <c r="D18">
        <v>0</v>
      </c>
      <c r="E18">
        <v>0</v>
      </c>
      <c r="F18" s="3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-30</v>
      </c>
      <c r="T18" t="e">
        <f>S18/F18</f>
        <v>#DIV/0!</v>
      </c>
    </row>
    <row r="19" spans="1:21" x14ac:dyDescent="0.25">
      <c r="A19" t="s">
        <v>16</v>
      </c>
      <c r="B19">
        <v>0</v>
      </c>
      <c r="C19">
        <v>0</v>
      </c>
      <c r="D19">
        <v>0</v>
      </c>
      <c r="E19">
        <v>-1</v>
      </c>
      <c r="F19" s="3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-30</v>
      </c>
      <c r="T19" t="e">
        <f t="shared" ref="T19:T29" si="0">S19/F19</f>
        <v>#DIV/0!</v>
      </c>
    </row>
    <row r="20" spans="1:21" x14ac:dyDescent="0.25">
      <c r="A20" t="s">
        <v>17</v>
      </c>
      <c r="B20">
        <v>0</v>
      </c>
      <c r="C20">
        <v>0</v>
      </c>
      <c r="D20">
        <v>-1</v>
      </c>
      <c r="E20">
        <v>0</v>
      </c>
      <c r="F20" s="3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-20</v>
      </c>
      <c r="T20" t="e">
        <f t="shared" si="0"/>
        <v>#DIV/0!</v>
      </c>
    </row>
    <row r="21" spans="1:21" x14ac:dyDescent="0.25">
      <c r="A21" t="s">
        <v>18</v>
      </c>
      <c r="B21">
        <v>0</v>
      </c>
      <c r="C21">
        <v>0</v>
      </c>
      <c r="D21">
        <v>0</v>
      </c>
      <c r="E21">
        <v>0</v>
      </c>
      <c r="F21" s="3">
        <v>-1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-20</v>
      </c>
      <c r="T21">
        <f t="shared" si="0"/>
        <v>20</v>
      </c>
    </row>
    <row r="22" spans="1:21" x14ac:dyDescent="0.25">
      <c r="A22" t="s">
        <v>19</v>
      </c>
      <c r="B22">
        <v>0</v>
      </c>
      <c r="C22">
        <v>1</v>
      </c>
      <c r="D22">
        <v>0</v>
      </c>
      <c r="E22">
        <v>1</v>
      </c>
      <c r="F22" s="3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300</v>
      </c>
      <c r="T22" t="e">
        <f t="shared" si="0"/>
        <v>#DIV/0!</v>
      </c>
    </row>
    <row r="23" spans="1:21" x14ac:dyDescent="0.25">
      <c r="A23" t="s">
        <v>20</v>
      </c>
      <c r="B23">
        <v>0</v>
      </c>
      <c r="C23">
        <v>-1</v>
      </c>
      <c r="D23">
        <v>0</v>
      </c>
      <c r="E23">
        <v>-1</v>
      </c>
      <c r="F23" s="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-200</v>
      </c>
      <c r="T23" t="e">
        <f t="shared" si="0"/>
        <v>#DIV/0!</v>
      </c>
    </row>
    <row r="24" spans="1:21" x14ac:dyDescent="0.25">
      <c r="A24" t="s">
        <v>21</v>
      </c>
      <c r="B24">
        <v>0</v>
      </c>
      <c r="C24">
        <v>0</v>
      </c>
      <c r="D24">
        <v>1</v>
      </c>
      <c r="E24">
        <v>0</v>
      </c>
      <c r="F24" s="3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150</v>
      </c>
      <c r="T24">
        <f t="shared" si="0"/>
        <v>150</v>
      </c>
    </row>
    <row r="25" spans="1:21" x14ac:dyDescent="0.25">
      <c r="A25" t="s">
        <v>22</v>
      </c>
      <c r="B25">
        <v>0</v>
      </c>
      <c r="C25">
        <v>0</v>
      </c>
      <c r="D25">
        <v>-1</v>
      </c>
      <c r="E25">
        <v>0</v>
      </c>
      <c r="F25" s="3">
        <v>-1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-120</v>
      </c>
      <c r="T25">
        <f t="shared" si="0"/>
        <v>120</v>
      </c>
    </row>
    <row r="26" spans="1:21" x14ac:dyDescent="0.25">
      <c r="A26" t="s">
        <v>23</v>
      </c>
      <c r="B26">
        <v>0</v>
      </c>
      <c r="C26">
        <v>2</v>
      </c>
      <c r="D26">
        <v>-5</v>
      </c>
      <c r="E26">
        <v>0</v>
      </c>
      <c r="F26" s="3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 t="e">
        <f t="shared" si="0"/>
        <v>#DIV/0!</v>
      </c>
    </row>
    <row r="27" spans="1:21" x14ac:dyDescent="0.25">
      <c r="A27" t="s">
        <v>24</v>
      </c>
      <c r="B27">
        <v>0</v>
      </c>
      <c r="C27">
        <v>-4</v>
      </c>
      <c r="D27">
        <v>5</v>
      </c>
      <c r="E27">
        <v>0</v>
      </c>
      <c r="F27" s="3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 t="e">
        <f t="shared" si="0"/>
        <v>#DIV/0!</v>
      </c>
    </row>
    <row r="28" spans="1:21" x14ac:dyDescent="0.25">
      <c r="A28" t="s">
        <v>25</v>
      </c>
      <c r="B28">
        <v>0</v>
      </c>
      <c r="C28">
        <v>0</v>
      </c>
      <c r="D28">
        <v>0</v>
      </c>
      <c r="E28">
        <v>2</v>
      </c>
      <c r="F28" s="3">
        <v>-5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f t="shared" si="0"/>
        <v>0</v>
      </c>
      <c r="U28" t="s">
        <v>77</v>
      </c>
    </row>
    <row r="29" spans="1:21" x14ac:dyDescent="0.25">
      <c r="A29" t="s">
        <v>26</v>
      </c>
      <c r="B29">
        <v>0</v>
      </c>
      <c r="C29">
        <v>0</v>
      </c>
      <c r="D29">
        <v>0</v>
      </c>
      <c r="E29">
        <v>-4</v>
      </c>
      <c r="F29" s="4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f t="shared" si="0"/>
        <v>0</v>
      </c>
      <c r="U29" t="s">
        <v>78</v>
      </c>
    </row>
    <row r="30" spans="1:21" x14ac:dyDescent="0.25">
      <c r="D30" t="s">
        <v>34</v>
      </c>
      <c r="F3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"/>
  <sheetViews>
    <sheetView tabSelected="1" topLeftCell="A25" zoomScale="160" zoomScaleNormal="160" workbookViewId="0">
      <selection activeCell="C38" sqref="C38"/>
    </sheetView>
  </sheetViews>
  <sheetFormatPr defaultRowHeight="15" x14ac:dyDescent="0.25"/>
  <sheetData>
    <row r="2" spans="1:9" x14ac:dyDescent="0.25">
      <c r="B2" t="s">
        <v>35</v>
      </c>
      <c r="C2" t="s">
        <v>36</v>
      </c>
      <c r="D2" t="s">
        <v>39</v>
      </c>
      <c r="E2" t="s">
        <v>40</v>
      </c>
    </row>
    <row r="3" spans="1:9" x14ac:dyDescent="0.25">
      <c r="C3" t="s">
        <v>53</v>
      </c>
    </row>
    <row r="4" spans="1:9" x14ac:dyDescent="0.25">
      <c r="C4" t="s">
        <v>37</v>
      </c>
    </row>
    <row r="5" spans="1:9" x14ac:dyDescent="0.25">
      <c r="C5" t="s">
        <v>55</v>
      </c>
    </row>
    <row r="6" spans="1:9" x14ac:dyDescent="0.25">
      <c r="C6" t="s">
        <v>38</v>
      </c>
    </row>
    <row r="7" spans="1:9" x14ac:dyDescent="0.25">
      <c r="B7" t="s">
        <v>41</v>
      </c>
    </row>
    <row r="8" spans="1:9" x14ac:dyDescent="0.25">
      <c r="A8" s="1" t="s">
        <v>44</v>
      </c>
      <c r="C8">
        <v>0</v>
      </c>
      <c r="D8" t="s">
        <v>45</v>
      </c>
    </row>
    <row r="9" spans="1:9" x14ac:dyDescent="0.25">
      <c r="B9" s="1" t="s">
        <v>54</v>
      </c>
      <c r="C9">
        <v>-3</v>
      </c>
    </row>
    <row r="10" spans="1:9" x14ac:dyDescent="0.25">
      <c r="B10" t="s">
        <v>42</v>
      </c>
      <c r="C10">
        <v>12</v>
      </c>
    </row>
    <row r="11" spans="1:9" x14ac:dyDescent="0.25">
      <c r="B11" t="s">
        <v>43</v>
      </c>
      <c r="C11">
        <v>21</v>
      </c>
    </row>
    <row r="12" spans="1:9" x14ac:dyDescent="0.25">
      <c r="D12" t="s">
        <v>46</v>
      </c>
    </row>
    <row r="13" spans="1:9" x14ac:dyDescent="0.25"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27</v>
      </c>
      <c r="I13" t="s">
        <v>61</v>
      </c>
    </row>
    <row r="14" spans="1:9" x14ac:dyDescent="0.25">
      <c r="A14" s="2" t="s">
        <v>63</v>
      </c>
      <c r="B14">
        <v>-1</v>
      </c>
      <c r="C14" s="3" t="s">
        <v>57</v>
      </c>
      <c r="D14" s="1" t="s">
        <v>58</v>
      </c>
      <c r="E14">
        <v>0</v>
      </c>
      <c r="F14">
        <v>0</v>
      </c>
      <c r="G14">
        <v>0</v>
      </c>
      <c r="H14" s="1" t="s">
        <v>59</v>
      </c>
    </row>
    <row r="15" spans="1:9" x14ac:dyDescent="0.25">
      <c r="A15" t="s">
        <v>50</v>
      </c>
      <c r="B15">
        <v>0</v>
      </c>
      <c r="C15" s="4">
        <v>-1</v>
      </c>
      <c r="D15">
        <v>0</v>
      </c>
      <c r="E15">
        <v>1</v>
      </c>
      <c r="F15">
        <v>0</v>
      </c>
      <c r="G15">
        <v>0</v>
      </c>
      <c r="H15">
        <v>-3</v>
      </c>
      <c r="I15">
        <f>H22/C22</f>
        <v>3</v>
      </c>
    </row>
    <row r="16" spans="1:9" x14ac:dyDescent="0.25">
      <c r="A16" t="s">
        <v>51</v>
      </c>
      <c r="B16">
        <v>0</v>
      </c>
      <c r="C16" s="3">
        <v>0</v>
      </c>
      <c r="D16">
        <v>2</v>
      </c>
      <c r="E16">
        <v>0</v>
      </c>
      <c r="F16">
        <v>1</v>
      </c>
      <c r="G16">
        <v>0</v>
      </c>
      <c r="H16">
        <v>12</v>
      </c>
      <c r="I16" t="e">
        <f>H23/C23</f>
        <v>#DIV/0!</v>
      </c>
    </row>
    <row r="17" spans="1:9" x14ac:dyDescent="0.25">
      <c r="A17" t="s">
        <v>52</v>
      </c>
      <c r="B17">
        <v>0</v>
      </c>
      <c r="C17" s="3">
        <v>3</v>
      </c>
      <c r="D17">
        <v>2</v>
      </c>
      <c r="E17">
        <v>0</v>
      </c>
      <c r="F17">
        <v>0</v>
      </c>
      <c r="G17">
        <v>1</v>
      </c>
      <c r="H17">
        <v>21</v>
      </c>
      <c r="I17" t="e">
        <f>H24/C24</f>
        <v>#DIV/0!</v>
      </c>
    </row>
    <row r="18" spans="1:9" x14ac:dyDescent="0.25">
      <c r="C18" t="s">
        <v>56</v>
      </c>
    </row>
    <row r="19" spans="1:9" x14ac:dyDescent="0.25">
      <c r="C19" t="s">
        <v>60</v>
      </c>
      <c r="E19" t="s">
        <v>62</v>
      </c>
    </row>
    <row r="20" spans="1:9" x14ac:dyDescent="0.25"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27</v>
      </c>
    </row>
    <row r="21" spans="1:9" x14ac:dyDescent="0.25">
      <c r="A21" s="2" t="s">
        <v>63</v>
      </c>
      <c r="B21">
        <v>-1</v>
      </c>
      <c r="C21" s="5">
        <v>0</v>
      </c>
      <c r="D21" s="7">
        <f>-4</f>
        <v>-4</v>
      </c>
      <c r="E21">
        <v>0</v>
      </c>
      <c r="F21">
        <v>0</v>
      </c>
      <c r="G21" t="s">
        <v>65</v>
      </c>
      <c r="H21" s="1">
        <v>-21</v>
      </c>
      <c r="I21" t="s">
        <v>69</v>
      </c>
    </row>
    <row r="22" spans="1:9" x14ac:dyDescent="0.25">
      <c r="A22" t="s">
        <v>48</v>
      </c>
      <c r="B22">
        <v>0</v>
      </c>
      <c r="C22" s="6">
        <v>1</v>
      </c>
      <c r="D22" s="3">
        <v>0</v>
      </c>
      <c r="E22">
        <v>-1</v>
      </c>
      <c r="F22">
        <v>0</v>
      </c>
      <c r="G22">
        <v>0</v>
      </c>
      <c r="H22">
        <v>3</v>
      </c>
      <c r="I22" t="e">
        <f>H22/D22</f>
        <v>#DIV/0!</v>
      </c>
    </row>
    <row r="23" spans="1:9" x14ac:dyDescent="0.25">
      <c r="A23" t="s">
        <v>51</v>
      </c>
      <c r="B23">
        <v>0</v>
      </c>
      <c r="C23" s="5">
        <v>0</v>
      </c>
      <c r="D23" s="4">
        <v>2</v>
      </c>
      <c r="E23">
        <v>0</v>
      </c>
      <c r="F23">
        <v>1</v>
      </c>
      <c r="G23">
        <v>0</v>
      </c>
      <c r="H23">
        <v>12</v>
      </c>
      <c r="I23">
        <f t="shared" ref="I23:I24" si="0">H23/D23</f>
        <v>6</v>
      </c>
    </row>
    <row r="24" spans="1:9" x14ac:dyDescent="0.25">
      <c r="A24" t="s">
        <v>52</v>
      </c>
      <c r="B24">
        <v>0</v>
      </c>
      <c r="C24" s="5">
        <v>0</v>
      </c>
      <c r="D24" s="3">
        <v>2</v>
      </c>
      <c r="E24">
        <v>3</v>
      </c>
      <c r="F24">
        <v>0</v>
      </c>
      <c r="G24">
        <v>1</v>
      </c>
      <c r="H24">
        <v>12</v>
      </c>
      <c r="I24">
        <f t="shared" si="0"/>
        <v>6</v>
      </c>
    </row>
    <row r="25" spans="1:9" x14ac:dyDescent="0.25">
      <c r="B25" t="s">
        <v>64</v>
      </c>
      <c r="D25" t="s">
        <v>66</v>
      </c>
      <c r="F25" t="s">
        <v>67</v>
      </c>
    </row>
    <row r="26" spans="1:9" x14ac:dyDescent="0.25">
      <c r="C26" t="s">
        <v>68</v>
      </c>
      <c r="E26" t="s">
        <v>70</v>
      </c>
    </row>
    <row r="27" spans="1:9" x14ac:dyDescent="0.25"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27</v>
      </c>
    </row>
    <row r="28" spans="1:9" x14ac:dyDescent="0.25">
      <c r="A28" s="2" t="s">
        <v>63</v>
      </c>
      <c r="B28">
        <v>-1</v>
      </c>
      <c r="C28" s="5">
        <v>0</v>
      </c>
      <c r="D28" s="8">
        <v>0</v>
      </c>
      <c r="E28">
        <v>0</v>
      </c>
      <c r="F28">
        <v>0</v>
      </c>
      <c r="G28" t="s">
        <v>72</v>
      </c>
      <c r="H28" s="1">
        <v>3</v>
      </c>
    </row>
    <row r="29" spans="1:9" x14ac:dyDescent="0.25">
      <c r="A29" t="s">
        <v>48</v>
      </c>
      <c r="B29">
        <v>0</v>
      </c>
      <c r="C29" s="6">
        <v>1</v>
      </c>
      <c r="D29" s="5">
        <v>0</v>
      </c>
      <c r="E29">
        <v>-1</v>
      </c>
      <c r="F29">
        <v>0</v>
      </c>
      <c r="G29">
        <v>0</v>
      </c>
      <c r="H29">
        <v>3</v>
      </c>
    </row>
    <row r="30" spans="1:9" x14ac:dyDescent="0.25">
      <c r="A30" t="s">
        <v>49</v>
      </c>
      <c r="B30">
        <v>0</v>
      </c>
      <c r="C30" s="5">
        <v>0</v>
      </c>
      <c r="D30" s="6">
        <v>1</v>
      </c>
      <c r="E30">
        <v>0</v>
      </c>
      <c r="F30">
        <v>0.5</v>
      </c>
      <c r="G30">
        <v>0</v>
      </c>
      <c r="H30">
        <v>6</v>
      </c>
    </row>
    <row r="31" spans="1:9" x14ac:dyDescent="0.25">
      <c r="A31" t="s">
        <v>52</v>
      </c>
      <c r="B31">
        <v>0</v>
      </c>
      <c r="C31" s="5">
        <v>0</v>
      </c>
      <c r="D31" s="5">
        <v>0</v>
      </c>
      <c r="E31">
        <v>3</v>
      </c>
      <c r="F31">
        <v>-1</v>
      </c>
      <c r="G31">
        <v>1</v>
      </c>
      <c r="H31">
        <v>0</v>
      </c>
    </row>
    <row r="32" spans="1:9" x14ac:dyDescent="0.25">
      <c r="B32" t="s">
        <v>71</v>
      </c>
    </row>
    <row r="33" spans="2:3" x14ac:dyDescent="0.25">
      <c r="B33" t="s">
        <v>73</v>
      </c>
    </row>
    <row r="34" spans="2:3" x14ac:dyDescent="0.25">
      <c r="B34" t="s">
        <v>74</v>
      </c>
      <c r="C34">
        <v>-3</v>
      </c>
    </row>
    <row r="35" spans="2:3" x14ac:dyDescent="0.25">
      <c r="B35" t="s">
        <v>75</v>
      </c>
      <c r="C35">
        <v>3</v>
      </c>
    </row>
    <row r="36" spans="2:3" x14ac:dyDescent="0.25">
      <c r="B36" t="s">
        <v>76</v>
      </c>
      <c r="C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2019-10-01T05:26:18Z</dcterms:modified>
</cp:coreProperties>
</file>