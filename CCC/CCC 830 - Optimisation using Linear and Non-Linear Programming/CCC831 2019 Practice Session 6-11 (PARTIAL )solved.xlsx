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 activeTab="1"/>
  </bookViews>
  <sheets>
    <sheet name="Q1" sheetId="1" r:id="rId1"/>
    <sheet name="Q4" sheetId="2" r:id="rId2"/>
  </sheets>
  <definedNames>
    <definedName name="solver_adj" localSheetId="0" hidden="1">'Q1'!$D$11,'Q1'!$D$13</definedName>
    <definedName name="solver_adj" localSheetId="1" hidden="1">'Q4'!$G$2:$J$5,'Q4'!$G$8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'Q1'!$D$11</definedName>
    <definedName name="solver_lhs1" localSheetId="1" hidden="1">'Q4'!$G$2:$J$5</definedName>
    <definedName name="solver_lhs2" localSheetId="0" hidden="1">'Q1'!$D$11</definedName>
    <definedName name="solver_lhs2" localSheetId="1" hidden="1">'Q4'!$G$6:$J$6</definedName>
    <definedName name="solver_lhs3" localSheetId="0" hidden="1">'Q1'!$D$13</definedName>
    <definedName name="solver_lhs3" localSheetId="1" hidden="1">'Q4'!$G$8</definedName>
    <definedName name="solver_lhs4" localSheetId="0" hidden="1">'Q1'!$D$13</definedName>
    <definedName name="solver_lhs4" localSheetId="1" hidden="1">'Q4'!$K$2:$K$5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1</definedName>
    <definedName name="solver_msl" localSheetId="1" hidden="1">1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3</definedName>
    <definedName name="solver_num" localSheetId="1" hidden="1">4</definedName>
    <definedName name="solver_nwt" localSheetId="0" hidden="1">1</definedName>
    <definedName name="solver_nwt" localSheetId="1" hidden="1">1</definedName>
    <definedName name="solver_opt" localSheetId="0" hidden="1">'Q1'!$D$16</definedName>
    <definedName name="solver_opt" localSheetId="1" hidden="1">'Q4'!$G$14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1" localSheetId="1" hidden="1">1</definedName>
    <definedName name="solver_rel2" localSheetId="0" hidden="1">3</definedName>
    <definedName name="solver_rel2" localSheetId="1" hidden="1">2</definedName>
    <definedName name="solver_rel3" localSheetId="0" hidden="1">1</definedName>
    <definedName name="solver_rel3" localSheetId="1" hidden="1">1</definedName>
    <definedName name="solver_rel4" localSheetId="0" hidden="1">1</definedName>
    <definedName name="solver_rel4" localSheetId="1" hidden="1">2</definedName>
    <definedName name="solver_rhs1" localSheetId="0" hidden="1">5000000</definedName>
    <definedName name="solver_rhs1" localSheetId="1" hidden="1">1</definedName>
    <definedName name="solver_rhs2" localSheetId="0" hidden="1">3000000</definedName>
    <definedName name="solver_rhs2" localSheetId="1" hidden="1">1</definedName>
    <definedName name="solver_rhs3" localSheetId="0" hidden="1">'Q1'!$F$20</definedName>
    <definedName name="solver_rhs3" localSheetId="1" hidden="1">350</definedName>
    <definedName name="solver_rhs4" localSheetId="0" hidden="1">'Q1'!$F$20</definedName>
    <definedName name="solver_rhs4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52511"/>
</workbook>
</file>

<file path=xl/calcChain.xml><?xml version="1.0" encoding="utf-8"?>
<calcChain xmlns="http://schemas.openxmlformats.org/spreadsheetml/2006/main">
  <c r="M5" i="2" l="1"/>
  <c r="M4" i="2"/>
  <c r="M3" i="2"/>
  <c r="M2" i="2"/>
  <c r="G11" i="2"/>
  <c r="L5" i="2"/>
  <c r="L4" i="2"/>
  <c r="L3" i="2"/>
  <c r="L2" i="2"/>
  <c r="H6" i="2"/>
  <c r="I6" i="2"/>
  <c r="J6" i="2"/>
  <c r="G6" i="2"/>
  <c r="K3" i="2"/>
  <c r="K4" i="2"/>
  <c r="K5" i="2"/>
  <c r="K2" i="2"/>
  <c r="F20" i="1"/>
  <c r="D12" i="1"/>
  <c r="D14" i="1" s="1"/>
  <c r="D5" i="1"/>
  <c r="D6" i="1" s="1"/>
  <c r="G9" i="2" l="1"/>
  <c r="G10" i="2" s="1"/>
  <c r="D15" i="1"/>
  <c r="D16" i="1" s="1"/>
  <c r="D7" i="1"/>
  <c r="D8" i="1" s="1"/>
  <c r="G12" i="2" l="1"/>
  <c r="G13" i="2"/>
  <c r="G14" i="2" l="1"/>
</calcChain>
</file>

<file path=xl/sharedStrings.xml><?xml version="1.0" encoding="utf-8"?>
<sst xmlns="http://schemas.openxmlformats.org/spreadsheetml/2006/main" count="58" uniqueCount="48">
  <si>
    <t>Fixed cost:</t>
  </si>
  <si>
    <t>Per unit cost:</t>
  </si>
  <si>
    <t>SP=</t>
  </si>
  <si>
    <t>Income</t>
  </si>
  <si>
    <t>Without marketing:</t>
  </si>
  <si>
    <t>Demand</t>
  </si>
  <si>
    <t>manufacturing cost</t>
  </si>
  <si>
    <t>Profit=</t>
  </si>
  <si>
    <t>(60000-72SP)</t>
  </si>
  <si>
    <t>(Demand * SP)</t>
  </si>
  <si>
    <t>(Demand * CP)</t>
  </si>
  <si>
    <t>With marketing:</t>
  </si>
  <si>
    <t>(Between 3 and 5 million)</t>
  </si>
  <si>
    <t>(.0047y - 165SP)(.00004y+.0012SP)</t>
  </si>
  <si>
    <t>New SP=</t>
  </si>
  <si>
    <t>Manufacturing cost</t>
  </si>
  <si>
    <t>Marketing cost y=</t>
  </si>
  <si>
    <t>New demand</t>
  </si>
  <si>
    <t>Upper bound on SP:</t>
  </si>
  <si>
    <t>Demand should not be negative, so we can say 0.0047y - 165SP&gt;=0</t>
  </si>
  <si>
    <t>Since y has maximum value 5000000, max value of SP=</t>
  </si>
  <si>
    <t>(Income - (Manufacturing cost+Marketig cost+fixed cost))</t>
  </si>
  <si>
    <t>(Income - (Manufacturing cost+fixed cost))</t>
  </si>
  <si>
    <t>Final answer: using marketing is more profitable (4.86 million &gt; 4.68 million)</t>
  </si>
  <si>
    <t>Assignment cost</t>
  </si>
  <si>
    <t>Factory 1</t>
  </si>
  <si>
    <t>Factory 2</t>
  </si>
  <si>
    <t>Factory 3</t>
  </si>
  <si>
    <t>Market A</t>
  </si>
  <si>
    <t>Market B</t>
  </si>
  <si>
    <t>Market C</t>
  </si>
  <si>
    <t>Market D</t>
  </si>
  <si>
    <t>Dummy</t>
  </si>
  <si>
    <t>Assignment matrix</t>
  </si>
  <si>
    <t>Col tot</t>
  </si>
  <si>
    <t>Row tot</t>
  </si>
  <si>
    <t>Total demand</t>
  </si>
  <si>
    <t>(sumproduct cost matrix and assignment matrix)</t>
  </si>
  <si>
    <t>(total demand * 100)</t>
  </si>
  <si>
    <t>(total demand * SP)</t>
  </si>
  <si>
    <t>(sumproduct dummy assignment column and demand)</t>
  </si>
  <si>
    <t>Demand to dummy</t>
  </si>
  <si>
    <t>(Sum of all demand - demand to dummy)</t>
  </si>
  <si>
    <t>All row and column totals = 1</t>
  </si>
  <si>
    <t>Assignment matrix variables between values 0 and 1</t>
  </si>
  <si>
    <t>SP upperbound</t>
  </si>
  <si>
    <t>Variable constraints:</t>
  </si>
  <si>
    <t>Upperbound of SP is minimum of all demand upperbounds, so SP&lt;=350, SP&gt;=0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</si>
</sst>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opLeftCell="A12" zoomScale="172" zoomScaleNormal="172" workbookViewId="0">
      <selection activeCell="A24" sqref="A24"/>
    </sheetView>
  </sheetViews>
  <sheetFormatPr defaultRowHeight="15" x14ac:dyDescent="0.25"/>
  <cols>
    <col min="4" max="4" width="10.28515625" bestFit="1" customWidth="1"/>
  </cols>
  <sheetData>
    <row r="1" spans="1:5" x14ac:dyDescent="0.25">
      <c r="A1" t="s">
        <v>0</v>
      </c>
      <c r="D1">
        <v>5000000</v>
      </c>
    </row>
    <row r="2" spans="1:5" x14ac:dyDescent="0.25">
      <c r="A2" t="s">
        <v>1</v>
      </c>
      <c r="D2">
        <v>100</v>
      </c>
    </row>
    <row r="3" spans="1:5" x14ac:dyDescent="0.25">
      <c r="A3" t="s">
        <v>2</v>
      </c>
      <c r="D3">
        <v>466.66666588441416</v>
      </c>
    </row>
    <row r="4" spans="1:5" x14ac:dyDescent="0.25">
      <c r="A4" s="1" t="s">
        <v>4</v>
      </c>
    </row>
    <row r="5" spans="1:5" x14ac:dyDescent="0.25">
      <c r="A5" t="s">
        <v>5</v>
      </c>
      <c r="D5">
        <f>60000-72*D3</f>
        <v>26400.000056322184</v>
      </c>
      <c r="E5" s="2" t="s">
        <v>8</v>
      </c>
    </row>
    <row r="6" spans="1:5" x14ac:dyDescent="0.25">
      <c r="A6" t="s">
        <v>3</v>
      </c>
      <c r="D6">
        <f>D5*D3</f>
        <v>12320000.00563222</v>
      </c>
      <c r="E6" s="2" t="s">
        <v>9</v>
      </c>
    </row>
    <row r="7" spans="1:5" x14ac:dyDescent="0.25">
      <c r="A7" t="s">
        <v>6</v>
      </c>
      <c r="D7">
        <f>D5*D2</f>
        <v>2640000.0056322184</v>
      </c>
      <c r="E7" s="2" t="s">
        <v>10</v>
      </c>
    </row>
    <row r="8" spans="1:5" x14ac:dyDescent="0.25">
      <c r="A8" t="s">
        <v>7</v>
      </c>
      <c r="D8">
        <f>D6-(D7+D1)</f>
        <v>4680000.0000000019</v>
      </c>
      <c r="E8" s="2" t="s">
        <v>22</v>
      </c>
    </row>
    <row r="10" spans="1:5" x14ac:dyDescent="0.25">
      <c r="A10" s="1" t="s">
        <v>11</v>
      </c>
    </row>
    <row r="11" spans="1:5" x14ac:dyDescent="0.25">
      <c r="A11" t="s">
        <v>16</v>
      </c>
      <c r="D11">
        <v>5000000.0000000009</v>
      </c>
      <c r="E11" s="2" t="s">
        <v>12</v>
      </c>
    </row>
    <row r="12" spans="1:5" x14ac:dyDescent="0.25">
      <c r="A12" t="s">
        <v>17</v>
      </c>
      <c r="D12">
        <f>(0.0047*D11-165*D13)*(0.00004*D11+0.0012*D13)</f>
        <v>700464.56628381473</v>
      </c>
      <c r="E12" s="2" t="s">
        <v>13</v>
      </c>
    </row>
    <row r="13" spans="1:5" x14ac:dyDescent="0.25">
      <c r="A13" t="s">
        <v>14</v>
      </c>
      <c r="D13">
        <v>121.21346963412611</v>
      </c>
    </row>
    <row r="14" spans="1:5" x14ac:dyDescent="0.25">
      <c r="A14" t="s">
        <v>3</v>
      </c>
      <c r="D14">
        <f>D12*D13</f>
        <v>84905740.4350245</v>
      </c>
      <c r="E14" s="2" t="s">
        <v>9</v>
      </c>
    </row>
    <row r="15" spans="1:5" x14ac:dyDescent="0.25">
      <c r="A15" t="s">
        <v>15</v>
      </c>
      <c r="D15">
        <f>D12*D2</f>
        <v>70046456.628381476</v>
      </c>
      <c r="E15" s="2" t="s">
        <v>10</v>
      </c>
    </row>
    <row r="16" spans="1:5" x14ac:dyDescent="0.25">
      <c r="A16" t="s">
        <v>7</v>
      </c>
      <c r="D16">
        <f>D14-(D15+D11+D1)</f>
        <v>4859283.8066430241</v>
      </c>
      <c r="E16" s="2" t="s">
        <v>21</v>
      </c>
    </row>
    <row r="18" spans="1:6" x14ac:dyDescent="0.25">
      <c r="A18" t="s">
        <v>18</v>
      </c>
    </row>
    <row r="19" spans="1:6" x14ac:dyDescent="0.25">
      <c r="A19" t="s">
        <v>19</v>
      </c>
    </row>
    <row r="20" spans="1:6" x14ac:dyDescent="0.25">
      <c r="A20" t="s">
        <v>20</v>
      </c>
      <c r="F20">
        <f>0.0047*5000000/165</f>
        <v>142.42424242424244</v>
      </c>
    </row>
    <row r="22" spans="1:6" x14ac:dyDescent="0.25">
      <c r="A22" t="s">
        <v>23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zoomScale="178" zoomScaleNormal="178" workbookViewId="0">
      <selection activeCell="G1" sqref="G1"/>
    </sheetView>
  </sheetViews>
  <sheetFormatPr defaultRowHeight="15" x14ac:dyDescent="0.25"/>
  <cols>
    <col min="1" max="1" width="14.28515625" customWidth="1"/>
  </cols>
  <sheetData>
    <row r="1" spans="1:13" x14ac:dyDescent="0.25">
      <c r="A1" t="s">
        <v>24</v>
      </c>
      <c r="B1" t="s">
        <v>25</v>
      </c>
      <c r="C1" t="s">
        <v>26</v>
      </c>
      <c r="D1" t="s">
        <v>27</v>
      </c>
      <c r="E1" t="s">
        <v>32</v>
      </c>
      <c r="G1" t="s">
        <v>33</v>
      </c>
      <c r="K1" t="s">
        <v>34</v>
      </c>
      <c r="L1" t="s">
        <v>5</v>
      </c>
      <c r="M1" t="s">
        <v>45</v>
      </c>
    </row>
    <row r="2" spans="1:13" x14ac:dyDescent="0.25">
      <c r="A2" t="s">
        <v>28</v>
      </c>
      <c r="B2">
        <v>53000</v>
      </c>
      <c r="C2">
        <v>34000</v>
      </c>
      <c r="D2">
        <v>36000</v>
      </c>
      <c r="E2">
        <v>0</v>
      </c>
      <c r="G2">
        <v>0</v>
      </c>
      <c r="H2">
        <v>0</v>
      </c>
      <c r="I2">
        <v>-6.5154370317554177E-9</v>
      </c>
      <c r="J2">
        <v>1</v>
      </c>
      <c r="K2">
        <f>SUM(G2:J2)</f>
        <v>0.99999999348456292</v>
      </c>
      <c r="L2">
        <f>500-G8</f>
        <v>246.4285721716862</v>
      </c>
      <c r="M2">
        <f>500/1</f>
        <v>500</v>
      </c>
    </row>
    <row r="3" spans="1:13" x14ac:dyDescent="0.25">
      <c r="A3" t="s">
        <v>29</v>
      </c>
      <c r="B3">
        <v>33000</v>
      </c>
      <c r="C3">
        <v>40000</v>
      </c>
      <c r="D3">
        <v>38000</v>
      </c>
      <c r="E3">
        <v>0</v>
      </c>
      <c r="G3">
        <v>1.0000000877299493</v>
      </c>
      <c r="H3">
        <v>0</v>
      </c>
      <c r="I3">
        <v>-3.5924955202735147E-8</v>
      </c>
      <c r="J3">
        <v>-6.0687625588874375E-8</v>
      </c>
      <c r="K3">
        <f t="shared" ref="K3:K5" si="0">SUM(G3:J3)</f>
        <v>0.99999999111736848</v>
      </c>
      <c r="L3">
        <f>1050-3*G8</f>
        <v>289.28571651505854</v>
      </c>
      <c r="M3">
        <f>1050/3</f>
        <v>350</v>
      </c>
    </row>
    <row r="4" spans="1:13" x14ac:dyDescent="0.25">
      <c r="A4" t="s">
        <v>30</v>
      </c>
      <c r="B4">
        <v>49000</v>
      </c>
      <c r="C4">
        <v>44000</v>
      </c>
      <c r="D4">
        <v>50000</v>
      </c>
      <c r="E4">
        <v>0</v>
      </c>
      <c r="G4">
        <v>1.1017412891864427E-8</v>
      </c>
      <c r="H4">
        <v>1.8309458605924882E-8</v>
      </c>
      <c r="I4">
        <v>1</v>
      </c>
      <c r="J4">
        <v>0</v>
      </c>
      <c r="K4">
        <f t="shared" si="0"/>
        <v>1.0000000293268716</v>
      </c>
      <c r="L4">
        <f>800-1.5*G8</f>
        <v>419.64285825752927</v>
      </c>
      <c r="M4">
        <f>800/1.5</f>
        <v>533.33333333333337</v>
      </c>
    </row>
    <row r="5" spans="1:13" x14ac:dyDescent="0.25">
      <c r="A5" t="s">
        <v>31</v>
      </c>
      <c r="B5">
        <v>55000</v>
      </c>
      <c r="C5">
        <v>33000</v>
      </c>
      <c r="D5">
        <v>46000</v>
      </c>
      <c r="E5">
        <v>0</v>
      </c>
      <c r="G5">
        <v>0</v>
      </c>
      <c r="H5">
        <v>0.99999998760518594</v>
      </c>
      <c r="I5">
        <v>0</v>
      </c>
      <c r="J5">
        <v>0</v>
      </c>
      <c r="K5">
        <f t="shared" si="0"/>
        <v>0.99999998760518594</v>
      </c>
      <c r="L5">
        <f>1000-2.5*G8</f>
        <v>366.07143042921552</v>
      </c>
      <c r="M5">
        <f>1000/2.5</f>
        <v>400</v>
      </c>
    </row>
    <row r="6" spans="1:13" x14ac:dyDescent="0.25">
      <c r="F6" t="s">
        <v>35</v>
      </c>
      <c r="G6">
        <f>SUM(G2:G5)</f>
        <v>1.0000000987473623</v>
      </c>
      <c r="H6">
        <f t="shared" ref="H6:J6" si="1">SUM(H2:H5)</f>
        <v>1.0000000059146446</v>
      </c>
      <c r="I6">
        <f t="shared" si="1"/>
        <v>0.9999999575596078</v>
      </c>
      <c r="J6">
        <f t="shared" si="1"/>
        <v>0.99999993931237441</v>
      </c>
    </row>
    <row r="8" spans="1:13" x14ac:dyDescent="0.25">
      <c r="F8" t="s">
        <v>2</v>
      </c>
      <c r="G8">
        <v>253.5714278283138</v>
      </c>
    </row>
    <row r="9" spans="1:13" x14ac:dyDescent="0.25">
      <c r="E9" t="s">
        <v>41</v>
      </c>
      <c r="G9">
        <f>SUMPRODUCT(J2:J5,L2:L5)</f>
        <v>246.42855461562294</v>
      </c>
      <c r="H9" s="2" t="s">
        <v>40</v>
      </c>
    </row>
    <row r="10" spans="1:13" x14ac:dyDescent="0.25">
      <c r="E10" t="s">
        <v>36</v>
      </c>
      <c r="G10">
        <f>SUM(L2:L5)-G9</f>
        <v>1075.0000227578666</v>
      </c>
      <c r="H10" s="2" t="s">
        <v>42</v>
      </c>
    </row>
    <row r="11" spans="1:13" x14ac:dyDescent="0.25">
      <c r="E11" t="s">
        <v>24</v>
      </c>
      <c r="G11">
        <f>SUMPRODUCT(B2:E5,G2:J5)</f>
        <v>116000.00223182485</v>
      </c>
      <c r="H11" s="2" t="s">
        <v>37</v>
      </c>
    </row>
    <row r="12" spans="1:13" x14ac:dyDescent="0.25">
      <c r="E12" t="s">
        <v>15</v>
      </c>
      <c r="G12">
        <f>G10*100</f>
        <v>107500.00227578667</v>
      </c>
      <c r="H12" s="2" t="s">
        <v>38</v>
      </c>
    </row>
    <row r="13" spans="1:13" x14ac:dyDescent="0.25">
      <c r="E13" t="s">
        <v>3</v>
      </c>
      <c r="G13">
        <f>G10*G8</f>
        <v>272589.2906861821</v>
      </c>
      <c r="H13" s="2" t="s">
        <v>39</v>
      </c>
    </row>
    <row r="14" spans="1:13" x14ac:dyDescent="0.25">
      <c r="E14" t="s">
        <v>7</v>
      </c>
      <c r="G14">
        <f>G13-(G12+G11)</f>
        <v>49089.28617857059</v>
      </c>
    </row>
    <row r="15" spans="1:13" x14ac:dyDescent="0.25">
      <c r="D15" s="1" t="s">
        <v>46</v>
      </c>
    </row>
    <row r="16" spans="1:13" x14ac:dyDescent="0.25">
      <c r="D16" t="s">
        <v>43</v>
      </c>
    </row>
    <row r="17" spans="4:4" x14ac:dyDescent="0.25">
      <c r="D17" t="s">
        <v>44</v>
      </c>
    </row>
    <row r="18" spans="4:4" x14ac:dyDescent="0.25">
      <c r="D18" t="s">
        <v>47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Q4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2019-11-07T05:21:32Z</dcterms:modified>
</cp:coreProperties>
</file>