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7650"/>
  </bookViews>
  <sheets>
    <sheet name="Sheet1" sheetId="1" r:id="rId1"/>
  </sheets>
  <definedNames>
    <definedName name="solver_adj" localSheetId="0" hidden="1">Sheet1!$A$30:$N$30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Sheet1!$A$30:$E$30</definedName>
    <definedName name="solver_lhs2" localSheetId="0" hidden="1">Sheet1!$P$32:$P$37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Sheet1!$C$27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2</definedName>
    <definedName name="solver_rhs1" localSheetId="0" hidden="1">100</definedName>
    <definedName name="solver_rhs2" localSheetId="0" hidden="1">Sheet1!$R$32:$R$37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52511"/>
</workbook>
</file>

<file path=xl/calcChain.xml><?xml version="1.0" encoding="utf-8"?>
<calcChain xmlns="http://schemas.openxmlformats.org/spreadsheetml/2006/main">
  <c r="P33" i="1" l="1"/>
  <c r="P34" i="1"/>
  <c r="P35" i="1"/>
  <c r="P36" i="1"/>
  <c r="P37" i="1"/>
  <c r="P32" i="1"/>
  <c r="C27" i="1"/>
</calcChain>
</file>

<file path=xl/sharedStrings.xml><?xml version="1.0" encoding="utf-8"?>
<sst xmlns="http://schemas.openxmlformats.org/spreadsheetml/2006/main" count="58" uniqueCount="52">
  <si>
    <t>A company has the following short-term financing problem:</t>
  </si>
  <si>
    <t>Net cash flow requirements are given in thousands of dollars. The company has the following sources of funds:</t>
  </si>
  <si>
    <t>in any of the first three months, it can issue 90-day commercial paper bearing a total interest of 2% for the three month period</t>
  </si>
  <si>
    <t>excess funds can be invested at an interest rate of 0.3% per month</t>
  </si>
  <si>
    <t>Month</t>
  </si>
  <si>
    <t>Jan</t>
  </si>
  <si>
    <t>Feb</t>
  </si>
  <si>
    <t>Mar</t>
  </si>
  <si>
    <t>Apr</t>
  </si>
  <si>
    <t>May</t>
  </si>
  <si>
    <t>Jun</t>
  </si>
  <si>
    <t>Net cash flow</t>
  </si>
  <si>
    <t>January:</t>
  </si>
  <si>
    <t xml:space="preserve">Credit borrowing: xi;  Commercial paper: yi; Excess cash zi;  </t>
  </si>
  <si>
    <t>Since it is cash flow problem, objective to maximize excess cash at end of problem</t>
  </si>
  <si>
    <t>Objective: Maximize z6</t>
  </si>
  <si>
    <t>(z acts as a slack variable, so '=' constraint)</t>
  </si>
  <si>
    <t>x1+y1-150=z1, thus; x1+y1-z1 = 150</t>
  </si>
  <si>
    <t>Februaury</t>
  </si>
  <si>
    <t>x2+y2+1.003z1-1.01x1-100=z2, thus; -1.01x1+x2+y2+1.003z1-z2=100</t>
  </si>
  <si>
    <t>March</t>
  </si>
  <si>
    <t>x3+y3+1.003z2-1.01x2+200=z3, thus; -1.01x2+x3+y3+1.003z2-z3=-200</t>
  </si>
  <si>
    <t>April</t>
  </si>
  <si>
    <t>x4+1.003z3-1.01x3-1.02y1-200=z4, thus; -1.01x3+x4-1.02y1+1.003z3-z4=200</t>
  </si>
  <si>
    <t>June</t>
  </si>
  <si>
    <t>x5+1.003z4-1.01x4-1.02y2+50=z5, thus; -1.01x4+x5-1.02y2+1.003z4-z5=-50</t>
  </si>
  <si>
    <t>1.003z5-1.01x5-1.02y3+300=z6, thus; -1.01x5-1.02y3+1.003z5-z6=-300</t>
  </si>
  <si>
    <t>Net cash flow is the constraint, so one constraint for each month</t>
  </si>
  <si>
    <t>Other constraints:</t>
  </si>
  <si>
    <t>a line of credit of up to 100 at an interest rate of 1% per month, unavailable in last month</t>
  </si>
  <si>
    <t>All x&lt;=100, all x,y,z&gt;=0</t>
  </si>
  <si>
    <t>Variables</t>
  </si>
  <si>
    <t>x1</t>
  </si>
  <si>
    <t>x2</t>
  </si>
  <si>
    <t>x3</t>
  </si>
  <si>
    <t>x4</t>
  </si>
  <si>
    <t>x5</t>
  </si>
  <si>
    <t>y1</t>
  </si>
  <si>
    <t>y2</t>
  </si>
  <si>
    <t>y3</t>
  </si>
  <si>
    <t>z1</t>
  </si>
  <si>
    <t>z2</t>
  </si>
  <si>
    <t>z3</t>
  </si>
  <si>
    <t>z4</t>
  </si>
  <si>
    <t>z5</t>
  </si>
  <si>
    <t>z6</t>
  </si>
  <si>
    <t>Constraints</t>
  </si>
  <si>
    <t>Objective: Max. z6 =</t>
  </si>
  <si>
    <t>Value</t>
  </si>
  <si>
    <t>RHS</t>
  </si>
  <si>
    <t>Logic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</si>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</sst>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0" fillId="0" borderId="0" xfId="0" quotePrefix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tabSelected="1" topLeftCell="A22" zoomScale="106" zoomScaleNormal="106" workbookViewId="0">
      <selection activeCell="A43" sqref="A43"/>
    </sheetView>
  </sheetViews>
  <sheetFormatPr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</row>
    <row r="3" spans="1:5" x14ac:dyDescent="0.25">
      <c r="A3" t="s">
        <v>29</v>
      </c>
    </row>
    <row r="4" spans="1:5" x14ac:dyDescent="0.25">
      <c r="A4" t="s">
        <v>2</v>
      </c>
    </row>
    <row r="5" spans="1:5" x14ac:dyDescent="0.25">
      <c r="A5" t="s">
        <v>3</v>
      </c>
    </row>
    <row r="7" spans="1:5" x14ac:dyDescent="0.25">
      <c r="A7" t="s">
        <v>4</v>
      </c>
      <c r="C7" t="s">
        <v>11</v>
      </c>
      <c r="E7" s="2" t="s">
        <v>27</v>
      </c>
    </row>
    <row r="8" spans="1:5" x14ac:dyDescent="0.25">
      <c r="A8" t="s">
        <v>5</v>
      </c>
      <c r="C8">
        <v>-150</v>
      </c>
    </row>
    <row r="9" spans="1:5" x14ac:dyDescent="0.25">
      <c r="A9" t="s">
        <v>6</v>
      </c>
      <c r="C9">
        <v>-100</v>
      </c>
    </row>
    <row r="10" spans="1:5" x14ac:dyDescent="0.25">
      <c r="A10" t="s">
        <v>7</v>
      </c>
      <c r="C10">
        <v>200</v>
      </c>
    </row>
    <row r="11" spans="1:5" x14ac:dyDescent="0.25">
      <c r="A11" t="s">
        <v>8</v>
      </c>
      <c r="C11">
        <v>-200</v>
      </c>
    </row>
    <row r="12" spans="1:5" x14ac:dyDescent="0.25">
      <c r="A12" t="s">
        <v>9</v>
      </c>
      <c r="C12">
        <v>50</v>
      </c>
    </row>
    <row r="13" spans="1:5" x14ac:dyDescent="0.25">
      <c r="A13" t="s">
        <v>10</v>
      </c>
      <c r="C13">
        <v>300</v>
      </c>
    </row>
    <row r="15" spans="1:5" x14ac:dyDescent="0.25">
      <c r="A15" t="s">
        <v>13</v>
      </c>
    </row>
    <row r="16" spans="1:5" x14ac:dyDescent="0.25">
      <c r="A16" t="s">
        <v>14</v>
      </c>
    </row>
    <row r="17" spans="1:18" x14ac:dyDescent="0.25">
      <c r="A17" s="1" t="s">
        <v>15</v>
      </c>
    </row>
    <row r="19" spans="1:18" x14ac:dyDescent="0.25">
      <c r="A19" s="1" t="s">
        <v>12</v>
      </c>
      <c r="B19" t="s">
        <v>17</v>
      </c>
      <c r="F19" s="2" t="s">
        <v>16</v>
      </c>
    </row>
    <row r="20" spans="1:18" x14ac:dyDescent="0.25">
      <c r="A20" s="1" t="s">
        <v>18</v>
      </c>
      <c r="B20" t="s">
        <v>19</v>
      </c>
    </row>
    <row r="21" spans="1:18" x14ac:dyDescent="0.25">
      <c r="A21" s="1" t="s">
        <v>20</v>
      </c>
      <c r="B21" t="s">
        <v>21</v>
      </c>
    </row>
    <row r="22" spans="1:18" x14ac:dyDescent="0.25">
      <c r="A22" s="1" t="s">
        <v>22</v>
      </c>
      <c r="B22" t="s">
        <v>23</v>
      </c>
    </row>
    <row r="23" spans="1:18" x14ac:dyDescent="0.25">
      <c r="A23" s="1" t="s">
        <v>9</v>
      </c>
      <c r="B23" t="s">
        <v>25</v>
      </c>
    </row>
    <row r="24" spans="1:18" x14ac:dyDescent="0.25">
      <c r="A24" s="1" t="s">
        <v>24</v>
      </c>
      <c r="B24" t="s">
        <v>26</v>
      </c>
    </row>
    <row r="26" spans="1:18" x14ac:dyDescent="0.25">
      <c r="A26" s="1" t="s">
        <v>28</v>
      </c>
      <c r="C26" t="s">
        <v>30</v>
      </c>
    </row>
    <row r="27" spans="1:18" x14ac:dyDescent="0.25">
      <c r="A27" s="1" t="s">
        <v>47</v>
      </c>
      <c r="C27">
        <f>N30</f>
        <v>92.4969491525423</v>
      </c>
    </row>
    <row r="28" spans="1:18" x14ac:dyDescent="0.25">
      <c r="A28" s="5" t="s">
        <v>31</v>
      </c>
    </row>
    <row r="29" spans="1:18" x14ac:dyDescent="0.25">
      <c r="A29" s="3" t="s">
        <v>32</v>
      </c>
      <c r="B29" t="s">
        <v>33</v>
      </c>
      <c r="C29" t="s">
        <v>34</v>
      </c>
      <c r="D29" t="s">
        <v>35</v>
      </c>
      <c r="E29" t="s">
        <v>36</v>
      </c>
      <c r="F29" t="s">
        <v>37</v>
      </c>
      <c r="G29" t="s">
        <v>38</v>
      </c>
      <c r="H29" t="s">
        <v>39</v>
      </c>
      <c r="I29" t="s">
        <v>40</v>
      </c>
      <c r="J29" t="s">
        <v>41</v>
      </c>
      <c r="K29" t="s">
        <v>42</v>
      </c>
      <c r="L29" t="s">
        <v>43</v>
      </c>
      <c r="M29" t="s">
        <v>44</v>
      </c>
      <c r="N29" t="s">
        <v>45</v>
      </c>
    </row>
    <row r="30" spans="1:18" x14ac:dyDescent="0.25">
      <c r="A30">
        <v>0</v>
      </c>
      <c r="B30">
        <v>0</v>
      </c>
      <c r="C30">
        <v>0</v>
      </c>
      <c r="D30">
        <v>0</v>
      </c>
      <c r="E30">
        <v>52.000000000000007</v>
      </c>
      <c r="F30">
        <v>150</v>
      </c>
      <c r="G30">
        <v>100</v>
      </c>
      <c r="H30">
        <v>151.94416749750752</v>
      </c>
      <c r="I30">
        <v>0</v>
      </c>
      <c r="J30">
        <v>0</v>
      </c>
      <c r="K30">
        <v>351.94416749750758</v>
      </c>
      <c r="L30">
        <v>0</v>
      </c>
      <c r="M30">
        <v>0</v>
      </c>
      <c r="N30">
        <v>92.4969491525423</v>
      </c>
    </row>
    <row r="31" spans="1:18" x14ac:dyDescent="0.25">
      <c r="A31" s="5" t="s">
        <v>46</v>
      </c>
      <c r="P31" s="2" t="s">
        <v>48</v>
      </c>
      <c r="Q31" s="2" t="s">
        <v>50</v>
      </c>
      <c r="R31" s="2" t="s">
        <v>49</v>
      </c>
    </row>
    <row r="32" spans="1:18" x14ac:dyDescent="0.25">
      <c r="A32">
        <v>1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-1</v>
      </c>
      <c r="J32">
        <v>0</v>
      </c>
      <c r="K32">
        <v>0</v>
      </c>
      <c r="L32">
        <v>0</v>
      </c>
      <c r="M32">
        <v>0</v>
      </c>
      <c r="N32">
        <v>0</v>
      </c>
      <c r="P32">
        <f>SUMPRODUCT($A$30:$N$30,A32:N32)</f>
        <v>150</v>
      </c>
      <c r="Q32" s="4" t="s">
        <v>51</v>
      </c>
      <c r="R32">
        <v>150</v>
      </c>
    </row>
    <row r="33" spans="1:18" x14ac:dyDescent="0.25">
      <c r="A33">
        <v>-1.01</v>
      </c>
      <c r="B33">
        <v>1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1.0029999999999999</v>
      </c>
      <c r="J33">
        <v>-1</v>
      </c>
      <c r="K33">
        <v>0</v>
      </c>
      <c r="L33">
        <v>0</v>
      </c>
      <c r="M33">
        <v>0</v>
      </c>
      <c r="N33">
        <v>0</v>
      </c>
      <c r="P33">
        <f t="shared" ref="P33:P37" si="0">SUMPRODUCT($A$30:$N$30,A33:N33)</f>
        <v>100</v>
      </c>
      <c r="Q33" s="4" t="s">
        <v>51</v>
      </c>
      <c r="R33">
        <v>100</v>
      </c>
    </row>
    <row r="34" spans="1:18" x14ac:dyDescent="0.25">
      <c r="A34">
        <v>0</v>
      </c>
      <c r="B34">
        <v>-1.01</v>
      </c>
      <c r="C34">
        <v>1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1.0029999999999999</v>
      </c>
      <c r="K34">
        <v>-1</v>
      </c>
      <c r="L34">
        <v>0</v>
      </c>
      <c r="M34">
        <v>0</v>
      </c>
      <c r="N34">
        <v>0</v>
      </c>
      <c r="P34">
        <f t="shared" si="0"/>
        <v>-200.00000000000006</v>
      </c>
      <c r="Q34" s="4" t="s">
        <v>51</v>
      </c>
      <c r="R34">
        <v>-200</v>
      </c>
    </row>
    <row r="35" spans="1:18" x14ac:dyDescent="0.25">
      <c r="A35">
        <v>0</v>
      </c>
      <c r="B35">
        <v>0</v>
      </c>
      <c r="C35">
        <v>-1.01</v>
      </c>
      <c r="D35">
        <v>1</v>
      </c>
      <c r="E35">
        <v>0</v>
      </c>
      <c r="F35">
        <v>-1.02</v>
      </c>
      <c r="G35">
        <v>0</v>
      </c>
      <c r="H35">
        <v>0</v>
      </c>
      <c r="I35">
        <v>0</v>
      </c>
      <c r="J35">
        <v>0</v>
      </c>
      <c r="K35">
        <v>1.0029999999999999</v>
      </c>
      <c r="L35">
        <v>-1</v>
      </c>
      <c r="M35">
        <v>0</v>
      </c>
      <c r="N35">
        <v>0</v>
      </c>
      <c r="P35">
        <f t="shared" si="0"/>
        <v>200.00000000000006</v>
      </c>
      <c r="Q35" s="4" t="s">
        <v>51</v>
      </c>
      <c r="R35">
        <v>200</v>
      </c>
    </row>
    <row r="36" spans="1:18" x14ac:dyDescent="0.25">
      <c r="A36">
        <v>0</v>
      </c>
      <c r="B36">
        <v>0</v>
      </c>
      <c r="C36">
        <v>0</v>
      </c>
      <c r="D36">
        <v>-1.01</v>
      </c>
      <c r="E36">
        <v>1</v>
      </c>
      <c r="F36">
        <v>0</v>
      </c>
      <c r="G36">
        <v>-1.02</v>
      </c>
      <c r="H36">
        <v>0</v>
      </c>
      <c r="I36">
        <v>0</v>
      </c>
      <c r="J36">
        <v>0</v>
      </c>
      <c r="K36">
        <v>0</v>
      </c>
      <c r="L36">
        <v>1.0029999999999999</v>
      </c>
      <c r="M36">
        <v>-1</v>
      </c>
      <c r="N36">
        <v>0</v>
      </c>
      <c r="P36">
        <f t="shared" si="0"/>
        <v>-49.999999999999993</v>
      </c>
      <c r="Q36" s="4" t="s">
        <v>51</v>
      </c>
      <c r="R36">
        <v>-50</v>
      </c>
    </row>
    <row r="37" spans="1:18" x14ac:dyDescent="0.25">
      <c r="A37">
        <v>0</v>
      </c>
      <c r="B37">
        <v>0</v>
      </c>
      <c r="C37">
        <v>0</v>
      </c>
      <c r="D37">
        <v>0</v>
      </c>
      <c r="E37">
        <v>-1.01</v>
      </c>
      <c r="F37">
        <v>0</v>
      </c>
      <c r="G37">
        <v>0</v>
      </c>
      <c r="H37">
        <v>-1.02</v>
      </c>
      <c r="I37">
        <v>0</v>
      </c>
      <c r="J37">
        <v>0</v>
      </c>
      <c r="K37">
        <v>0</v>
      </c>
      <c r="L37">
        <v>0</v>
      </c>
      <c r="M37">
        <v>1.0029999999999999</v>
      </c>
      <c r="N37">
        <v>-1</v>
      </c>
      <c r="P37">
        <f t="shared" si="0"/>
        <v>-300</v>
      </c>
      <c r="Q37" s="4" t="s">
        <v>51</v>
      </c>
      <c r="R37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2019-10-22T06:30:00Z</dcterms:modified>
</cp:coreProperties>
</file>