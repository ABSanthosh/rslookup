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972" activeTab="2"/>
  </bookViews>
  <sheets>
    <sheet name="Eg. 1" sheetId="1" r:id="rId1"/>
    <sheet name="RETRY E1" sheetId="3" r:id="rId2"/>
    <sheet name="Eg. 2" sheetId="2" r:id="rId3"/>
    <sheet name="RETRY E2" sheetId="4" r:id="rId4"/>
  </sheets>
  <definedNames>
    <definedName name="solver_adj" localSheetId="2" hidden="1">'Eg. 2'!$D$22</definedName>
    <definedName name="solver_adj" localSheetId="1" hidden="1">'RETRY E1'!$D$6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drv" localSheetId="2" hidden="1">1</definedName>
    <definedName name="solver_drv" localSheetId="1" hidden="1">1</definedName>
    <definedName name="solver_drv" localSheetId="3" hidden="1">1</definedName>
    <definedName name="solver_eng" localSheetId="2" hidden="1">1</definedName>
    <definedName name="solver_eng" localSheetId="1" hidden="1">1</definedName>
    <definedName name="solver_eng" localSheetId="3" hidden="1">1</definedName>
    <definedName name="solver_est" localSheetId="2" hidden="1">1</definedName>
    <definedName name="solver_est" localSheetId="1" hidden="1">1</definedName>
    <definedName name="solver_est" localSheetId="3" hidden="1">1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lhs1" localSheetId="2" hidden="1">'Eg. 2'!$D$22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neg" localSheetId="2" hidden="1">1</definedName>
    <definedName name="solver_neg" localSheetId="1" hidden="1">1</definedName>
    <definedName name="solver_neg" localSheetId="3" hidden="1">1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um" localSheetId="2" hidden="1">1</definedName>
    <definedName name="solver_num" localSheetId="1" hidden="1">0</definedName>
    <definedName name="solver_num" localSheetId="3" hidden="1">0</definedName>
    <definedName name="solver_nwt" localSheetId="2" hidden="1">1</definedName>
    <definedName name="solver_nwt" localSheetId="1" hidden="1">1</definedName>
    <definedName name="solver_nwt" localSheetId="3" hidden="1">1</definedName>
    <definedName name="solver_opt" localSheetId="2" hidden="1">'Eg. 2'!$D$32</definedName>
    <definedName name="solver_opt" localSheetId="1" hidden="1">'RETRY E1'!$G$6</definedName>
    <definedName name="solver_opt" localSheetId="3" hidden="1">'RETRY E2'!$I$8</definedName>
    <definedName name="solver_pre" localSheetId="2" hidden="1">0.000001</definedName>
    <definedName name="solver_pre" localSheetId="1" hidden="1">0.000001</definedName>
    <definedName name="solver_pre" localSheetId="3" hidden="1">0.000001</definedName>
    <definedName name="solver_rbv" localSheetId="2" hidden="1">1</definedName>
    <definedName name="solver_rbv" localSheetId="1" hidden="1">1</definedName>
    <definedName name="solver_rbv" localSheetId="3" hidden="1">1</definedName>
    <definedName name="solver_rel1" localSheetId="2" hidden="1">1</definedName>
    <definedName name="solver_rhs1" localSheetId="2" hidden="1">92.75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scl" localSheetId="2" hidden="1">1</definedName>
    <definedName name="solver_scl" localSheetId="1" hidden="1">1</definedName>
    <definedName name="solver_scl" localSheetId="3" hidden="1">1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yp" localSheetId="2" hidden="1">1</definedName>
    <definedName name="solver_typ" localSheetId="1" hidden="1">1</definedName>
    <definedName name="solver_typ" localSheetId="3" hidden="1">1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er" localSheetId="2" hidden="1">3</definedName>
    <definedName name="solver_ver" localSheetId="1" hidden="1">3</definedName>
    <definedName name="solver_ver" localSheetId="3" hidden="1">3</definedName>
  </definedNames>
  <calcPr calcId="152511"/>
</workbook>
</file>

<file path=xl/calcChain.xml><?xml version="1.0" encoding="utf-8"?>
<calcChain xmlns="http://schemas.openxmlformats.org/spreadsheetml/2006/main">
  <c r="F14" i="4" l="1"/>
  <c r="F7" i="4"/>
  <c r="F11" i="4" s="1"/>
  <c r="F6" i="4"/>
  <c r="E10" i="2"/>
  <c r="G6" i="3"/>
  <c r="E6" i="1"/>
  <c r="F11" i="1"/>
  <c r="F13" i="4" l="1"/>
  <c r="F12" i="4"/>
  <c r="F15" i="4" s="1"/>
  <c r="D13" i="2"/>
  <c r="D31" i="2"/>
  <c r="D24" i="2"/>
  <c r="D28" i="2" s="1"/>
  <c r="D23" i="2"/>
  <c r="C18" i="2"/>
  <c r="C17" i="2"/>
  <c r="C16" i="2"/>
  <c r="C15" i="2"/>
  <c r="C13" i="2"/>
  <c r="E11" i="2"/>
  <c r="G10" i="2"/>
  <c r="E9" i="1"/>
  <c r="E8" i="1"/>
  <c r="D30" i="2" l="1"/>
  <c r="D29" i="2"/>
  <c r="D32" i="2" l="1"/>
</calcChain>
</file>

<file path=xl/sharedStrings.xml><?xml version="1.0" encoding="utf-8"?>
<sst xmlns="http://schemas.openxmlformats.org/spreadsheetml/2006/main" count="60" uniqueCount="50">
  <si>
    <t>A farmer sees demand for his product at (10000- 27*SP) where SP is the selling price</t>
  </si>
  <si>
    <t>per unit of the product. The farmer has a fixed cost of Rs. 50,000 and a per-unit</t>
  </si>
  <si>
    <t>cost of production of Rs. 70. What is his SP to maximize profit, assuming he produces</t>
  </si>
  <si>
    <t>exactly as much as he can sell.</t>
  </si>
  <si>
    <t>(10000 - 27SP)*(SP-70) - 50000</t>
  </si>
  <si>
    <t>Profit P=</t>
  </si>
  <si>
    <t>=</t>
  </si>
  <si>
    <t>SP - 27SP^2 - 750000</t>
  </si>
  <si>
    <t>So, dP/dSP = 0 =</t>
  </si>
  <si>
    <t>11890  -54SP, so SP=</t>
  </si>
  <si>
    <t>P=</t>
  </si>
  <si>
    <t>There are 'x' number of salesmen selling a product. The per unit selling price of the product</t>
  </si>
  <si>
    <t>is 75 - 0.8x, and the per unit cost of the product is 30. Each salesman on average sells</t>
  </si>
  <si>
    <t>50+1.7x units of the product. If each salesman costs Rs. 300, how many should be used to</t>
  </si>
  <si>
    <t>maximise profit.</t>
  </si>
  <si>
    <t xml:space="preserve">No. of items sold = </t>
  </si>
  <si>
    <t>x(50+1.7x)</t>
  </si>
  <si>
    <t>Per unit profit=</t>
  </si>
  <si>
    <t>(75 - .8x - 30) = (45-0.8x)</t>
  </si>
  <si>
    <t>Salesman cost =</t>
  </si>
  <si>
    <t>300x</t>
  </si>
  <si>
    <t>x(50+1.7x)(45 - 0.8x) - 300x =</t>
  </si>
  <si>
    <t>x^3+</t>
  </si>
  <si>
    <t>x</t>
  </si>
  <si>
    <t>x^2+</t>
  </si>
  <si>
    <t>So, dP/dx = 0 =</t>
  </si>
  <si>
    <t xml:space="preserve">Profit=P= </t>
  </si>
  <si>
    <t>and x&gt;=0</t>
  </si>
  <si>
    <t>-4.08x^2+73x+1950</t>
  </si>
  <si>
    <t>Since x&gt;=0, x = 32.5675</t>
  </si>
  <si>
    <t>P =</t>
  </si>
  <si>
    <t>No. of items sold</t>
  </si>
  <si>
    <t>Salesmen cost=</t>
  </si>
  <si>
    <t>SP=</t>
  </si>
  <si>
    <t>--------------------------------------------------------------------------------------------------</t>
  </si>
  <si>
    <t>Implement above problem using solver</t>
  </si>
  <si>
    <t>So, x=</t>
  </si>
  <si>
    <t>No. of salesmen x=</t>
  </si>
  <si>
    <t>SP of product=</t>
  </si>
  <si>
    <t>No. of items sold per salesman</t>
  </si>
  <si>
    <t>CP of product=</t>
  </si>
  <si>
    <t>Cost per salesman=</t>
  </si>
  <si>
    <t>No. of items sold=</t>
  </si>
  <si>
    <t xml:space="preserve">Income = </t>
  </si>
  <si>
    <t>Total Cost of product =</t>
  </si>
  <si>
    <t>Total cost of salesmen=</t>
  </si>
  <si>
    <t>Profit =</t>
  </si>
  <si>
    <t xml:space="preserve">SP = </t>
  </si>
  <si>
    <t>Profit = (10000 - 27SP)*(SP-70) - 50000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</si>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</sst>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184" zoomScaleNormal="184" workbookViewId="0">
      <selection activeCell="E9" sqref="E9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5" spans="1:6" x14ac:dyDescent="0.3">
      <c r="A5" t="s">
        <v>5</v>
      </c>
    </row>
    <row r="6" spans="1:6" x14ac:dyDescent="0.3">
      <c r="A6" t="s">
        <v>4</v>
      </c>
      <c r="D6" s="1" t="s">
        <v>6</v>
      </c>
      <c r="E6">
        <f>10000+27*70</f>
        <v>11890</v>
      </c>
      <c r="F6" t="s">
        <v>7</v>
      </c>
    </row>
    <row r="8" spans="1:6" x14ac:dyDescent="0.3">
      <c r="A8" t="s">
        <v>8</v>
      </c>
      <c r="C8" t="s">
        <v>9</v>
      </c>
      <c r="E8">
        <f>11890/54</f>
        <v>220.18518518518519</v>
      </c>
    </row>
    <row r="9" spans="1:6" x14ac:dyDescent="0.3">
      <c r="D9" t="s">
        <v>10</v>
      </c>
      <c r="E9">
        <f>11890*E8 - 27*(E8^2) - 750000</f>
        <v>559000.92592592607</v>
      </c>
    </row>
    <row r="11" spans="1:6" x14ac:dyDescent="0.3">
      <c r="F11">
        <f>11890 / 54</f>
        <v>220.18518518518519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8"/>
  <sheetViews>
    <sheetView workbookViewId="0">
      <selection activeCell="G6" sqref="G6"/>
    </sheetView>
  </sheetViews>
  <sheetFormatPr defaultRowHeight="14.4" x14ac:dyDescent="0.3"/>
  <sheetData>
    <row r="6" spans="3:7" x14ac:dyDescent="0.3">
      <c r="C6" t="s">
        <v>47</v>
      </c>
      <c r="D6">
        <v>220.18518481894242</v>
      </c>
      <c r="G6">
        <f>(10000 - 27*D6)*(D6-70) - 50000</f>
        <v>559000.92592592596</v>
      </c>
    </row>
    <row r="8" spans="3:7" x14ac:dyDescent="0.3">
      <c r="C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="172" zoomScaleNormal="172" workbookViewId="0">
      <selection activeCell="F30" sqref="F30"/>
    </sheetView>
  </sheetViews>
  <sheetFormatPr defaultRowHeight="14.4" x14ac:dyDescent="0.3"/>
  <cols>
    <col min="4" max="4" width="9.109375" customWidth="1"/>
  </cols>
  <sheetData>
    <row r="1" spans="1:8" x14ac:dyDescent="0.3">
      <c r="A1" t="s">
        <v>11</v>
      </c>
    </row>
    <row r="2" spans="1:8" x14ac:dyDescent="0.3">
      <c r="A2" t="s">
        <v>12</v>
      </c>
    </row>
    <row r="3" spans="1:8" x14ac:dyDescent="0.3">
      <c r="A3" t="s">
        <v>13</v>
      </c>
    </row>
    <row r="4" spans="1:8" x14ac:dyDescent="0.3">
      <c r="A4" t="s">
        <v>14</v>
      </c>
    </row>
    <row r="6" spans="1:8" x14ac:dyDescent="0.3">
      <c r="A6" t="s">
        <v>15</v>
      </c>
      <c r="C6" t="s">
        <v>16</v>
      </c>
    </row>
    <row r="7" spans="1:8" x14ac:dyDescent="0.3">
      <c r="A7" t="s">
        <v>17</v>
      </c>
      <c r="C7" t="s">
        <v>18</v>
      </c>
    </row>
    <row r="8" spans="1:8" x14ac:dyDescent="0.3">
      <c r="A8" t="s">
        <v>19</v>
      </c>
      <c r="C8" t="s">
        <v>20</v>
      </c>
    </row>
    <row r="10" spans="1:8" x14ac:dyDescent="0.3">
      <c r="A10" t="s">
        <v>26</v>
      </c>
      <c r="B10" t="s">
        <v>21</v>
      </c>
      <c r="E10">
        <f>-0.8*1.7</f>
        <v>-1.36</v>
      </c>
      <c r="F10" t="s">
        <v>22</v>
      </c>
      <c r="G10">
        <f>45*1.7-50*0.8</f>
        <v>36.5</v>
      </c>
      <c r="H10" t="s">
        <v>24</v>
      </c>
    </row>
    <row r="11" spans="1:8" x14ac:dyDescent="0.3">
      <c r="E11">
        <f>50*45-300</f>
        <v>1950</v>
      </c>
      <c r="F11" t="s">
        <v>23</v>
      </c>
      <c r="G11" t="s">
        <v>27</v>
      </c>
    </row>
    <row r="12" spans="1:8" x14ac:dyDescent="0.3">
      <c r="A12" t="s">
        <v>25</v>
      </c>
      <c r="C12" s="1" t="s">
        <v>28</v>
      </c>
    </row>
    <row r="13" spans="1:8" x14ac:dyDescent="0.3">
      <c r="B13" t="s">
        <v>36</v>
      </c>
      <c r="C13">
        <f>(-73+((73^2)+4*4.08*1950)^0.5)/(2*-4.08)</f>
        <v>-14.675384177256436</v>
      </c>
      <c r="D13">
        <f>(-73-((73^2)+4*4.08*1950)^0.5)/(2*-4.08)</f>
        <v>32.567541040001529</v>
      </c>
    </row>
    <row r="14" spans="1:8" x14ac:dyDescent="0.3">
      <c r="B14" t="s">
        <v>29</v>
      </c>
    </row>
    <row r="15" spans="1:8" x14ac:dyDescent="0.3">
      <c r="B15" t="s">
        <v>30</v>
      </c>
      <c r="C15">
        <f>-1.36*D13^3+36.5*D13^2+1950*D13</f>
        <v>55242.314226273571</v>
      </c>
    </row>
    <row r="16" spans="1:8" x14ac:dyDescent="0.3">
      <c r="A16" t="s">
        <v>31</v>
      </c>
      <c r="C16">
        <f>D13*(50+1.7*D13)</f>
        <v>3431.4730919667891</v>
      </c>
    </row>
    <row r="17" spans="1:4" x14ac:dyDescent="0.3">
      <c r="A17" t="s">
        <v>32</v>
      </c>
      <c r="C17">
        <f>300*D13</f>
        <v>9770.2623120004591</v>
      </c>
    </row>
    <row r="18" spans="1:4" x14ac:dyDescent="0.3">
      <c r="B18" t="s">
        <v>33</v>
      </c>
      <c r="C18">
        <f>75 - 0.8*D13</f>
        <v>48.945967167998774</v>
      </c>
    </row>
    <row r="19" spans="1:4" x14ac:dyDescent="0.3">
      <c r="A19" s="1" t="s">
        <v>34</v>
      </c>
    </row>
    <row r="20" spans="1:4" x14ac:dyDescent="0.3">
      <c r="A20" s="2" t="s">
        <v>35</v>
      </c>
    </row>
    <row r="22" spans="1:4" x14ac:dyDescent="0.3">
      <c r="A22" t="s">
        <v>37</v>
      </c>
      <c r="D22">
        <v>32.567540746658167</v>
      </c>
    </row>
    <row r="23" spans="1:4" x14ac:dyDescent="0.3">
      <c r="A23" t="s">
        <v>38</v>
      </c>
      <c r="D23">
        <f>75 - 0.8*D22</f>
        <v>48.94596740267346</v>
      </c>
    </row>
    <row r="24" spans="1:4" x14ac:dyDescent="0.3">
      <c r="A24" t="s">
        <v>39</v>
      </c>
      <c r="D24">
        <f>50+1.7*D22</f>
        <v>105.36481926931889</v>
      </c>
    </row>
    <row r="25" spans="1:4" x14ac:dyDescent="0.3">
      <c r="A25" t="s">
        <v>40</v>
      </c>
      <c r="D25">
        <v>30</v>
      </c>
    </row>
    <row r="26" spans="1:4" x14ac:dyDescent="0.3">
      <c r="A26" t="s">
        <v>41</v>
      </c>
      <c r="D26">
        <v>300</v>
      </c>
    </row>
    <row r="28" spans="1:4" x14ac:dyDescent="0.3">
      <c r="A28" t="s">
        <v>42</v>
      </c>
      <c r="D28">
        <f>D22*D24</f>
        <v>3431.4730448178166</v>
      </c>
    </row>
    <row r="29" spans="1:4" x14ac:dyDescent="0.3">
      <c r="A29" t="s">
        <v>43</v>
      </c>
      <c r="D29">
        <f>D28*D23</f>
        <v>167956.76779480549</v>
      </c>
    </row>
    <row r="30" spans="1:4" x14ac:dyDescent="0.3">
      <c r="A30" t="s">
        <v>44</v>
      </c>
      <c r="D30">
        <f>D28*D25</f>
        <v>102944.1913445345</v>
      </c>
    </row>
    <row r="31" spans="1:4" x14ac:dyDescent="0.3">
      <c r="A31" t="s">
        <v>45</v>
      </c>
      <c r="D31">
        <f>D26*D22</f>
        <v>9770.2622239974498</v>
      </c>
    </row>
    <row r="32" spans="1:4" x14ac:dyDescent="0.3">
      <c r="A32" t="s">
        <v>46</v>
      </c>
      <c r="D32">
        <f>D29-(D30+D31)</f>
        <v>55242.314226273549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5"/>
  <sheetViews>
    <sheetView workbookViewId="0">
      <selection activeCell="F15" sqref="F15"/>
    </sheetView>
  </sheetViews>
  <sheetFormatPr defaultRowHeight="14.4" x14ac:dyDescent="0.3"/>
  <cols>
    <col min="3" max="3" width="27.77734375" bestFit="1" customWidth="1"/>
  </cols>
  <sheetData>
    <row r="3" spans="3:6" x14ac:dyDescent="0.3">
      <c r="E3" t="s">
        <v>49</v>
      </c>
    </row>
    <row r="5" spans="3:6" x14ac:dyDescent="0.3">
      <c r="C5" t="s">
        <v>37</v>
      </c>
    </row>
    <row r="6" spans="3:6" x14ac:dyDescent="0.3">
      <c r="C6" t="s">
        <v>38</v>
      </c>
      <c r="F6">
        <f>75 - 0.8*F5</f>
        <v>75</v>
      </c>
    </row>
    <row r="7" spans="3:6" x14ac:dyDescent="0.3">
      <c r="C7" t="s">
        <v>39</v>
      </c>
      <c r="F7">
        <f>50+1.7*F5</f>
        <v>50</v>
      </c>
    </row>
    <row r="8" spans="3:6" x14ac:dyDescent="0.3">
      <c r="C8" t="s">
        <v>40</v>
      </c>
      <c r="F8">
        <v>30</v>
      </c>
    </row>
    <row r="9" spans="3:6" x14ac:dyDescent="0.3">
      <c r="C9" t="s">
        <v>41</v>
      </c>
      <c r="F9">
        <v>300</v>
      </c>
    </row>
    <row r="11" spans="3:6" x14ac:dyDescent="0.3">
      <c r="C11" t="s">
        <v>42</v>
      </c>
      <c r="F11">
        <f>F5*F7</f>
        <v>0</v>
      </c>
    </row>
    <row r="12" spans="3:6" x14ac:dyDescent="0.3">
      <c r="C12" t="s">
        <v>43</v>
      </c>
      <c r="F12">
        <f>F11*F6</f>
        <v>0</v>
      </c>
    </row>
    <row r="13" spans="3:6" x14ac:dyDescent="0.3">
      <c r="C13" t="s">
        <v>44</v>
      </c>
      <c r="F13">
        <f>F11*F8</f>
        <v>0</v>
      </c>
    </row>
    <row r="14" spans="3:6" x14ac:dyDescent="0.3">
      <c r="C14" t="s">
        <v>45</v>
      </c>
      <c r="F14">
        <f>F9*F5</f>
        <v>0</v>
      </c>
    </row>
    <row r="15" spans="3:6" x14ac:dyDescent="0.3">
      <c r="C15" t="s">
        <v>46</v>
      </c>
      <c r="F15">
        <f>F12-(F13+F14)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Eg. 1</vt:lpstr>
      <vt:lpstr>RETRY E1</vt:lpstr>
      <vt:lpstr>Eg. 2</vt:lpstr>
      <vt:lpstr>RETRY 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2019-11-14T04:40:14Z</dcterms:modified>
</cp:coreProperties>
</file>