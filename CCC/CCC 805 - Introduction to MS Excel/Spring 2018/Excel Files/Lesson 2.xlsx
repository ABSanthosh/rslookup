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6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Kabir\College Work\Semester 2\CCC 805\Excel Files\"/>
    </mc:Choice>
  </mc:AlternateContent>
  <bookViews>
    <workbookView xWindow="0" yWindow="0" windowWidth="20490" windowHeight="7155" tabRatio="526" firstSheet="2" activeTab="6"/>
  </bookViews>
  <sheets>
    <sheet name="Bar Chart" sheetId="1" r:id="rId1"/>
    <sheet name="Horiz Bar Chart" sheetId="2" r:id="rId2"/>
    <sheet name="Pie Chart" sheetId="5" r:id="rId3"/>
    <sheet name="Scatter" sheetId="6" r:id="rId4"/>
    <sheet name="Every nth data point" sheetId="4" r:id="rId5"/>
    <sheet name="Histogram" sheetId="7" r:id="rId6"/>
    <sheet name="Sheet1" sheetId="10" r:id="rId7"/>
    <sheet name="Sheet2" sheetId="9" state="hidden" r:id="rId8"/>
  </sheets>
  <definedNames>
    <definedName name="_xlnm._FilterDatabase" localSheetId="4" hidden="1">'Every nth data point'!$A$7:$C$508</definedName>
    <definedName name="csco">Histogram!$C$3:$C$132</definedName>
    <definedName name="gm">Histogram!$B$3:$B$132</definedName>
  </definedNames>
  <calcPr calcId="162913"/>
</workbook>
</file>

<file path=xl/calcChain.xml><?xml version="1.0" encoding="utf-8"?>
<calcChain xmlns="http://schemas.openxmlformats.org/spreadsheetml/2006/main">
  <c r="I8" i="7" l="1" a="1"/>
  <c r="I8" i="7" s="1"/>
  <c r="I19" i="7" l="1"/>
  <c r="I11" i="7"/>
  <c r="I22" i="7"/>
  <c r="I14" i="7"/>
  <c r="I21" i="7"/>
  <c r="I17" i="7"/>
  <c r="I13" i="7"/>
  <c r="I9" i="7"/>
  <c r="I15" i="7"/>
  <c r="I18" i="7"/>
  <c r="I10" i="7"/>
  <c r="I20" i="7"/>
  <c r="I16" i="7"/>
  <c r="I12" i="7"/>
  <c r="F8" i="7" l="1" a="1"/>
  <c r="F8" i="7" s="1"/>
  <c r="I4" i="7"/>
  <c r="I3" i="7"/>
  <c r="F4" i="7"/>
  <c r="F3" i="7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89" i="4"/>
  <c r="C90" i="4"/>
  <c r="C91" i="4"/>
  <c r="C92" i="4"/>
  <c r="C93" i="4"/>
  <c r="C94" i="4"/>
  <c r="C95" i="4"/>
  <c r="C96" i="4"/>
  <c r="C97" i="4"/>
  <c r="C98" i="4"/>
  <c r="C99" i="4"/>
  <c r="C100" i="4"/>
  <c r="C101" i="4"/>
  <c r="C102" i="4"/>
  <c r="C103" i="4"/>
  <c r="C104" i="4"/>
  <c r="C105" i="4"/>
  <c r="C106" i="4"/>
  <c r="C107" i="4"/>
  <c r="C108" i="4"/>
  <c r="C109" i="4"/>
  <c r="C110" i="4"/>
  <c r="C111" i="4"/>
  <c r="C112" i="4"/>
  <c r="C113" i="4"/>
  <c r="C114" i="4"/>
  <c r="C115" i="4"/>
  <c r="C116" i="4"/>
  <c r="C117" i="4"/>
  <c r="C118" i="4"/>
  <c r="C119" i="4"/>
  <c r="C120" i="4"/>
  <c r="C121" i="4"/>
  <c r="C122" i="4"/>
  <c r="C123" i="4"/>
  <c r="C124" i="4"/>
  <c r="C125" i="4"/>
  <c r="C126" i="4"/>
  <c r="C127" i="4"/>
  <c r="C128" i="4"/>
  <c r="C129" i="4"/>
  <c r="C130" i="4"/>
  <c r="C131" i="4"/>
  <c r="C132" i="4"/>
  <c r="C133" i="4"/>
  <c r="C134" i="4"/>
  <c r="C135" i="4"/>
  <c r="C136" i="4"/>
  <c r="C137" i="4"/>
  <c r="C138" i="4"/>
  <c r="C139" i="4"/>
  <c r="C140" i="4"/>
  <c r="C141" i="4"/>
  <c r="C142" i="4"/>
  <c r="C143" i="4"/>
  <c r="C144" i="4"/>
  <c r="C145" i="4"/>
  <c r="C146" i="4"/>
  <c r="C147" i="4"/>
  <c r="C148" i="4"/>
  <c r="C149" i="4"/>
  <c r="C150" i="4"/>
  <c r="C151" i="4"/>
  <c r="C152" i="4"/>
  <c r="C153" i="4"/>
  <c r="C154" i="4"/>
  <c r="C155" i="4"/>
  <c r="C156" i="4"/>
  <c r="C157" i="4"/>
  <c r="C158" i="4"/>
  <c r="C159" i="4"/>
  <c r="C160" i="4"/>
  <c r="C161" i="4"/>
  <c r="C162" i="4"/>
  <c r="C163" i="4"/>
  <c r="C164" i="4"/>
  <c r="C165" i="4"/>
  <c r="C166" i="4"/>
  <c r="C167" i="4"/>
  <c r="C168" i="4"/>
  <c r="C169" i="4"/>
  <c r="C170" i="4"/>
  <c r="C171" i="4"/>
  <c r="C172" i="4"/>
  <c r="C173" i="4"/>
  <c r="C174" i="4"/>
  <c r="C175" i="4"/>
  <c r="C176" i="4"/>
  <c r="C177" i="4"/>
  <c r="C178" i="4"/>
  <c r="C179" i="4"/>
  <c r="C180" i="4"/>
  <c r="C181" i="4"/>
  <c r="C182" i="4"/>
  <c r="C183" i="4"/>
  <c r="C184" i="4"/>
  <c r="C185" i="4"/>
  <c r="C186" i="4"/>
  <c r="C187" i="4"/>
  <c r="C188" i="4"/>
  <c r="C189" i="4"/>
  <c r="C190" i="4"/>
  <c r="C191" i="4"/>
  <c r="C192" i="4"/>
  <c r="C193" i="4"/>
  <c r="C194" i="4"/>
  <c r="C195" i="4"/>
  <c r="C196" i="4"/>
  <c r="C197" i="4"/>
  <c r="C198" i="4"/>
  <c r="C199" i="4"/>
  <c r="C200" i="4"/>
  <c r="C201" i="4"/>
  <c r="C202" i="4"/>
  <c r="C203" i="4"/>
  <c r="C204" i="4"/>
  <c r="C205" i="4"/>
  <c r="C206" i="4"/>
  <c r="C207" i="4"/>
  <c r="C208" i="4"/>
  <c r="C209" i="4"/>
  <c r="C210" i="4"/>
  <c r="C211" i="4"/>
  <c r="C212" i="4"/>
  <c r="C213" i="4"/>
  <c r="C214" i="4"/>
  <c r="C215" i="4"/>
  <c r="C216" i="4"/>
  <c r="C217" i="4"/>
  <c r="C218" i="4"/>
  <c r="C219" i="4"/>
  <c r="C220" i="4"/>
  <c r="C221" i="4"/>
  <c r="C222" i="4"/>
  <c r="C223" i="4"/>
  <c r="C224" i="4"/>
  <c r="C225" i="4"/>
  <c r="C226" i="4"/>
  <c r="C227" i="4"/>
  <c r="C228" i="4"/>
  <c r="C229" i="4"/>
  <c r="C230" i="4"/>
  <c r="C231" i="4"/>
  <c r="C232" i="4"/>
  <c r="C233" i="4"/>
  <c r="C234" i="4"/>
  <c r="C235" i="4"/>
  <c r="C236" i="4"/>
  <c r="C237" i="4"/>
  <c r="C238" i="4"/>
  <c r="C239" i="4"/>
  <c r="C240" i="4"/>
  <c r="C241" i="4"/>
  <c r="C242" i="4"/>
  <c r="C243" i="4"/>
  <c r="C244" i="4"/>
  <c r="C245" i="4"/>
  <c r="C246" i="4"/>
  <c r="C247" i="4"/>
  <c r="C248" i="4"/>
  <c r="C249" i="4"/>
  <c r="C250" i="4"/>
  <c r="C251" i="4"/>
  <c r="C252" i="4"/>
  <c r="C253" i="4"/>
  <c r="C254" i="4"/>
  <c r="C255" i="4"/>
  <c r="C256" i="4"/>
  <c r="C257" i="4"/>
  <c r="C258" i="4"/>
  <c r="C259" i="4"/>
  <c r="C260" i="4"/>
  <c r="C261" i="4"/>
  <c r="C262" i="4"/>
  <c r="C263" i="4"/>
  <c r="C264" i="4"/>
  <c r="C265" i="4"/>
  <c r="C266" i="4"/>
  <c r="C267" i="4"/>
  <c r="C268" i="4"/>
  <c r="C269" i="4"/>
  <c r="C270" i="4"/>
  <c r="C271" i="4"/>
  <c r="C272" i="4"/>
  <c r="C273" i="4"/>
  <c r="C274" i="4"/>
  <c r="C275" i="4"/>
  <c r="C276" i="4"/>
  <c r="C277" i="4"/>
  <c r="C278" i="4"/>
  <c r="C279" i="4"/>
  <c r="C280" i="4"/>
  <c r="C281" i="4"/>
  <c r="C282" i="4"/>
  <c r="C283" i="4"/>
  <c r="C284" i="4"/>
  <c r="C285" i="4"/>
  <c r="C286" i="4"/>
  <c r="C287" i="4"/>
  <c r="C288" i="4"/>
  <c r="C289" i="4"/>
  <c r="C290" i="4"/>
  <c r="C291" i="4"/>
  <c r="C292" i="4"/>
  <c r="C293" i="4"/>
  <c r="C294" i="4"/>
  <c r="C295" i="4"/>
  <c r="C296" i="4"/>
  <c r="C297" i="4"/>
  <c r="C298" i="4"/>
  <c r="C299" i="4"/>
  <c r="C300" i="4"/>
  <c r="C301" i="4"/>
  <c r="C302" i="4"/>
  <c r="C303" i="4"/>
  <c r="C304" i="4"/>
  <c r="C305" i="4"/>
  <c r="C306" i="4"/>
  <c r="C307" i="4"/>
  <c r="C308" i="4"/>
  <c r="C309" i="4"/>
  <c r="C310" i="4"/>
  <c r="C311" i="4"/>
  <c r="C312" i="4"/>
  <c r="C313" i="4"/>
  <c r="C314" i="4"/>
  <c r="C315" i="4"/>
  <c r="C316" i="4"/>
  <c r="C317" i="4"/>
  <c r="C318" i="4"/>
  <c r="C319" i="4"/>
  <c r="C320" i="4"/>
  <c r="C321" i="4"/>
  <c r="C322" i="4"/>
  <c r="C323" i="4"/>
  <c r="C324" i="4"/>
  <c r="C325" i="4"/>
  <c r="C326" i="4"/>
  <c r="C327" i="4"/>
  <c r="C328" i="4"/>
  <c r="C329" i="4"/>
  <c r="C330" i="4"/>
  <c r="C331" i="4"/>
  <c r="C332" i="4"/>
  <c r="C333" i="4"/>
  <c r="C334" i="4"/>
  <c r="C335" i="4"/>
  <c r="C336" i="4"/>
  <c r="C337" i="4"/>
  <c r="C338" i="4"/>
  <c r="C339" i="4"/>
  <c r="C340" i="4"/>
  <c r="C341" i="4"/>
  <c r="C342" i="4"/>
  <c r="C343" i="4"/>
  <c r="C344" i="4"/>
  <c r="C345" i="4"/>
  <c r="C346" i="4"/>
  <c r="C347" i="4"/>
  <c r="C348" i="4"/>
  <c r="C349" i="4"/>
  <c r="C350" i="4"/>
  <c r="C351" i="4"/>
  <c r="C352" i="4"/>
  <c r="C353" i="4"/>
  <c r="C354" i="4"/>
  <c r="C355" i="4"/>
  <c r="C356" i="4"/>
  <c r="C357" i="4"/>
  <c r="C358" i="4"/>
  <c r="C359" i="4"/>
  <c r="C360" i="4"/>
  <c r="C361" i="4"/>
  <c r="C362" i="4"/>
  <c r="C363" i="4"/>
  <c r="C364" i="4"/>
  <c r="C365" i="4"/>
  <c r="C366" i="4"/>
  <c r="C367" i="4"/>
  <c r="C368" i="4"/>
  <c r="C369" i="4"/>
  <c r="C370" i="4"/>
  <c r="C371" i="4"/>
  <c r="C372" i="4"/>
  <c r="C373" i="4"/>
  <c r="C374" i="4"/>
  <c r="C375" i="4"/>
  <c r="C376" i="4"/>
  <c r="C377" i="4"/>
  <c r="C378" i="4"/>
  <c r="C379" i="4"/>
  <c r="C380" i="4"/>
  <c r="C381" i="4"/>
  <c r="C382" i="4"/>
  <c r="C383" i="4"/>
  <c r="C384" i="4"/>
  <c r="C385" i="4"/>
  <c r="C386" i="4"/>
  <c r="C387" i="4"/>
  <c r="C388" i="4"/>
  <c r="C389" i="4"/>
  <c r="C390" i="4"/>
  <c r="C391" i="4"/>
  <c r="C392" i="4"/>
  <c r="C393" i="4"/>
  <c r="C394" i="4"/>
  <c r="C395" i="4"/>
  <c r="C396" i="4"/>
  <c r="C397" i="4"/>
  <c r="C398" i="4"/>
  <c r="C399" i="4"/>
  <c r="C400" i="4"/>
  <c r="C401" i="4"/>
  <c r="C402" i="4"/>
  <c r="C403" i="4"/>
  <c r="C404" i="4"/>
  <c r="C405" i="4"/>
  <c r="C406" i="4"/>
  <c r="C407" i="4"/>
  <c r="C408" i="4"/>
  <c r="C409" i="4"/>
  <c r="C410" i="4"/>
  <c r="C411" i="4"/>
  <c r="C412" i="4"/>
  <c r="C413" i="4"/>
  <c r="C414" i="4"/>
  <c r="C415" i="4"/>
  <c r="C416" i="4"/>
  <c r="C417" i="4"/>
  <c r="C418" i="4"/>
  <c r="C419" i="4"/>
  <c r="C420" i="4"/>
  <c r="C421" i="4"/>
  <c r="C422" i="4"/>
  <c r="C423" i="4"/>
  <c r="C424" i="4"/>
  <c r="C425" i="4"/>
  <c r="C426" i="4"/>
  <c r="C427" i="4"/>
  <c r="C428" i="4"/>
  <c r="C429" i="4"/>
  <c r="C430" i="4"/>
  <c r="C431" i="4"/>
  <c r="C432" i="4"/>
  <c r="C433" i="4"/>
  <c r="C434" i="4"/>
  <c r="C435" i="4"/>
  <c r="C436" i="4"/>
  <c r="C437" i="4"/>
  <c r="C438" i="4"/>
  <c r="C439" i="4"/>
  <c r="C440" i="4"/>
  <c r="C441" i="4"/>
  <c r="C442" i="4"/>
  <c r="C443" i="4"/>
  <c r="C444" i="4"/>
  <c r="C445" i="4"/>
  <c r="C446" i="4"/>
  <c r="C447" i="4"/>
  <c r="C448" i="4"/>
  <c r="C449" i="4"/>
  <c r="C450" i="4"/>
  <c r="C451" i="4"/>
  <c r="C452" i="4"/>
  <c r="C453" i="4"/>
  <c r="C454" i="4"/>
  <c r="C455" i="4"/>
  <c r="C456" i="4"/>
  <c r="C457" i="4"/>
  <c r="C458" i="4"/>
  <c r="C459" i="4"/>
  <c r="C460" i="4"/>
  <c r="C461" i="4"/>
  <c r="C462" i="4"/>
  <c r="C463" i="4"/>
  <c r="C464" i="4"/>
  <c r="C465" i="4"/>
  <c r="C466" i="4"/>
  <c r="C467" i="4"/>
  <c r="C468" i="4"/>
  <c r="C469" i="4"/>
  <c r="C470" i="4"/>
  <c r="C471" i="4"/>
  <c r="C472" i="4"/>
  <c r="C473" i="4"/>
  <c r="C474" i="4"/>
  <c r="C475" i="4"/>
  <c r="C476" i="4"/>
  <c r="C477" i="4"/>
  <c r="C478" i="4"/>
  <c r="C479" i="4"/>
  <c r="C480" i="4"/>
  <c r="C481" i="4"/>
  <c r="C482" i="4"/>
  <c r="C483" i="4"/>
  <c r="C484" i="4"/>
  <c r="C485" i="4"/>
  <c r="C486" i="4"/>
  <c r="C487" i="4"/>
  <c r="C488" i="4"/>
  <c r="C489" i="4"/>
  <c r="C490" i="4"/>
  <c r="C491" i="4"/>
  <c r="C492" i="4"/>
  <c r="C493" i="4"/>
  <c r="C494" i="4"/>
  <c r="C495" i="4"/>
  <c r="C496" i="4"/>
  <c r="C497" i="4"/>
  <c r="C498" i="4"/>
  <c r="C499" i="4"/>
  <c r="C500" i="4"/>
  <c r="C501" i="4"/>
  <c r="C502" i="4"/>
  <c r="C503" i="4"/>
  <c r="C504" i="4"/>
  <c r="C505" i="4"/>
  <c r="C506" i="4"/>
  <c r="C507" i="4"/>
  <c r="C508" i="4"/>
  <c r="C8" i="4"/>
  <c r="F19" i="7" l="1"/>
  <c r="F15" i="7"/>
  <c r="F11" i="7"/>
  <c r="F22" i="7"/>
  <c r="F18" i="7"/>
  <c r="F14" i="7"/>
  <c r="F10" i="7"/>
  <c r="F9" i="7"/>
  <c r="F21" i="7"/>
  <c r="F17" i="7"/>
  <c r="F13" i="7"/>
  <c r="F20" i="7"/>
  <c r="F16" i="7"/>
  <c r="F12" i="7"/>
  <c r="C13" i="2"/>
  <c r="D13" i="2"/>
  <c r="C20" i="5"/>
</calcChain>
</file>

<file path=xl/sharedStrings.xml><?xml version="1.0" encoding="utf-8"?>
<sst xmlns="http://schemas.openxmlformats.org/spreadsheetml/2006/main" count="110" uniqueCount="101">
  <si>
    <t>The table below shows monthly data of some quantity. We have segregated the values in certain intervals in the next four columns</t>
  </si>
  <si>
    <t xml:space="preserve">Draw a vertical bar chart showing the comparison of the values in the various class intervals. Make sure you give a different colour to each data series. </t>
  </si>
  <si>
    <t>Month</t>
  </si>
  <si>
    <t>Data</t>
  </si>
  <si>
    <t>&lt;=0</t>
  </si>
  <si>
    <t>1-33</t>
  </si>
  <si>
    <t>34-66</t>
  </si>
  <si>
    <t>67-100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</si>
  <si>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</si>
  <si>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</si>
  <si>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</si>
  <si>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</si>
  <si>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</si>
  <si>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</si>
  <si>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</si>
  <si>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</si>
  <si>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</si>
  <si>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</si>
  <si>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</si>
  <si>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</si>
  <si>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 xml:space="preserve">A survey was conducted in Mexico to know the proportion of Males and Females in various age groups affected by Swine Flu. The results are tabulated below. </t>
  </si>
  <si>
    <t>Create a horizontal bar chart in which the Female data is to the left and the Male data is to the right. This would give a very clear comparison.</t>
  </si>
  <si>
    <t>Age Group</t>
  </si>
  <si>
    <t>Female</t>
  </si>
  <si>
    <t>Male</t>
  </si>
  <si>
    <t>&lt; 21</t>
  </si>
  <si>
    <t>21-30</t>
  </si>
  <si>
    <t>31-40</t>
  </si>
  <si>
    <t>41-50</t>
  </si>
  <si>
    <t>51-60</t>
  </si>
  <si>
    <t>61-70</t>
  </si>
  <si>
    <t>&gt;70</t>
  </si>
  <si>
    <t>This worksheet enlists about 500 daily stock prices. For our analysis we want to see the trend at various intervals say after 10 days, 15 days, 5 days etc.</t>
  </si>
  <si>
    <t>Create a line chart that is flexible to handle this situation.</t>
  </si>
  <si>
    <t>Plot every nth data point</t>
  </si>
  <si>
    <t>MOD Formula</t>
  </si>
  <si>
    <t>Create a Pie chart from the following data.</t>
  </si>
  <si>
    <t>State</t>
  </si>
  <si>
    <t>Production of Wheat in Million Tonnes</t>
  </si>
  <si>
    <t>Uttar Pradesh</t>
  </si>
  <si>
    <t>Punjab</t>
  </si>
  <si>
    <t>Haryana</t>
  </si>
  <si>
    <t>Madhya Pradesh</t>
  </si>
  <si>
    <t>Rajasthan</t>
  </si>
  <si>
    <t>Bihar</t>
  </si>
  <si>
    <t>Gujarat</t>
  </si>
  <si>
    <t>Maharashtra</t>
  </si>
  <si>
    <t xml:space="preserve">Uttaranchal </t>
  </si>
  <si>
    <t>West Bengal</t>
  </si>
  <si>
    <t>Himachal Pradesh</t>
  </si>
  <si>
    <t>Jammu &amp; Kashmir</t>
  </si>
  <si>
    <t>Karnataka</t>
  </si>
  <si>
    <t xml:space="preserve">Jharkhand </t>
  </si>
  <si>
    <t>Assam</t>
  </si>
  <si>
    <t>Others</t>
  </si>
  <si>
    <t>All India</t>
  </si>
  <si>
    <t>Plot a scatter plot for following data set keeping "Annual Alcohol Consumption" along the X-axis, and the "Death Rate" along Y-axis.</t>
  </si>
  <si>
    <t>Country</t>
  </si>
  <si>
    <t>Annual Alcohol Consumption</t>
  </si>
  <si>
    <t>Death rate due to Cirrhosis &amp; Alcoholism</t>
  </si>
  <si>
    <t>France</t>
  </si>
  <si>
    <t>Italy</t>
  </si>
  <si>
    <t>Germany</t>
  </si>
  <si>
    <t>Austria</t>
  </si>
  <si>
    <t>Belgium</t>
  </si>
  <si>
    <t>USA</t>
  </si>
  <si>
    <t>Canada</t>
  </si>
  <si>
    <t>England</t>
  </si>
  <si>
    <t>Sweden</t>
  </si>
  <si>
    <t>Japan</t>
  </si>
  <si>
    <t>Netherlands</t>
  </si>
  <si>
    <t>Ireland</t>
  </si>
  <si>
    <t>Norway</t>
  </si>
  <si>
    <t>Finland</t>
  </si>
  <si>
    <t>Israel</t>
  </si>
  <si>
    <t>Monthly rate of return</t>
  </si>
  <si>
    <t>GM</t>
  </si>
  <si>
    <t>CSCO</t>
  </si>
  <si>
    <t>c</t>
  </si>
  <si>
    <t>Had we had data for multiple years, there would have been multiple bars for a single month in different colours.</t>
  </si>
  <si>
    <t>Work around to see how Excel plots various combinations. Play around with chart tools.</t>
  </si>
  <si>
    <t>BY default, the first column of values goes to the x axis (if it has letters) and the second to the y axis.</t>
  </si>
  <si>
    <t>The gaps are created because many of the fields have no values.</t>
  </si>
  <si>
    <t>This chart automatically expands and shows us the data of the fields which are too small to view in the original pie chart</t>
  </si>
  <si>
    <t>Added and formatted data labels</t>
  </si>
  <si>
    <t>Somethimes we don't want all the days to be plotted, and if we want to present the data of, say, every 10 days:</t>
  </si>
  <si>
    <t xml:space="preserve">This chart has been filtered to show data every 10 days only. </t>
  </si>
  <si>
    <t>To turn off filter, go to Data-&gt;Filter to see the original graph.</t>
  </si>
  <si>
    <t>Min</t>
  </si>
  <si>
    <t>Max</t>
  </si>
  <si>
    <t>We see that,</t>
  </si>
  <si>
    <t>To get output in more than one cell, first select the range for output.</t>
  </si>
  <si>
    <t>Press Ctrl+Shift+Enter to get result in all the cells after typing in the formula in the first cell</t>
  </si>
  <si>
    <t>Bin</t>
  </si>
  <si>
    <t>More</t>
  </si>
  <si>
    <t>Frequency</t>
  </si>
  <si>
    <t>All our steps could simply also have been done in one step, by going to Data-&gt; Data Analysis-&gt; Histogram</t>
  </si>
  <si>
    <t>Data Range</t>
  </si>
  <si>
    <t>&gt;0.35</t>
  </si>
  <si>
    <t>We must have some text values in the first column, otherwise Excel will plot graphs of two separate series, so we either use text like 'more' or '&gt;0.35' or include the column headings</t>
  </si>
  <si>
    <t>NOTES: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</si>
</sst>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%"/>
    <numFmt numFmtId="165" formatCode="0\ "/>
    <numFmt numFmtId="166" formatCode="0.0"/>
    <numFmt numFmtId="167" formatCode="mm/dd/yyyy"/>
  </numFmts>
  <fonts count="30" x14ac:knownFonts="1">
    <font>
      <sz val="10"/>
      <name val="Arial"/>
      <family val="2"/>
    </font>
    <font>
      <sz val="11"/>
      <color indexed="8"/>
      <name val="Calibri"/>
      <family val="2"/>
    </font>
    <font>
      <sz val="12"/>
      <color indexed="8"/>
      <name val="Calibri"/>
      <family val="2"/>
    </font>
    <font>
      <sz val="11"/>
      <color indexed="62"/>
      <name val="Calibri"/>
      <family val="2"/>
    </font>
    <font>
      <sz val="11"/>
      <color indexed="9"/>
      <name val="Calibri"/>
      <family val="2"/>
    </font>
    <font>
      <u/>
      <sz val="11"/>
      <color indexed="12"/>
      <name val="Calibri"/>
      <family val="2"/>
    </font>
    <font>
      <sz val="10"/>
      <name val="Arial"/>
      <family val="2"/>
    </font>
    <font>
      <b/>
      <sz val="18"/>
      <color indexed="62"/>
      <name val="Cambria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17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b/>
      <sz val="15"/>
      <color indexed="56"/>
      <name val="Calibri"/>
      <family val="2"/>
    </font>
    <font>
      <sz val="10"/>
      <name val="Times New Roman"/>
      <family val="1"/>
    </font>
    <font>
      <b/>
      <sz val="10"/>
      <name val="Times New Roman"/>
      <family val="1"/>
    </font>
    <font>
      <sz val="12"/>
      <color indexed="8"/>
      <name val="Times New Roman"/>
      <family val="1"/>
    </font>
    <font>
      <b/>
      <sz val="16"/>
      <color indexed="8"/>
      <name val="Calibri"/>
      <family val="2"/>
    </font>
    <font>
      <i/>
      <sz val="10"/>
      <name val="Arial"/>
      <family val="2"/>
    </font>
    <font>
      <b/>
      <sz val="12"/>
      <color theme="1"/>
      <name val="Times New Roman"/>
      <family val="1"/>
    </font>
    <font>
      <b/>
      <sz val="15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</fonts>
  <fills count="25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indexed="47"/>
        <bgColor indexed="22"/>
      </patternFill>
    </fill>
    <fill>
      <patternFill patternType="solid">
        <fgColor indexed="26"/>
        <bgColor indexed="9"/>
      </patternFill>
    </fill>
    <fill>
      <patternFill patternType="solid">
        <fgColor indexed="27"/>
        <bgColor indexed="41"/>
      </patternFill>
    </fill>
    <fill>
      <patternFill patternType="solid">
        <fgColor indexed="48"/>
        <bgColor indexed="54"/>
      </patternFill>
    </fill>
    <fill>
      <patternFill patternType="solid">
        <fgColor indexed="29"/>
        <bgColor indexed="45"/>
      </patternFill>
    </fill>
    <fill>
      <patternFill patternType="solid">
        <fgColor indexed="43"/>
        <bgColor indexed="26"/>
      </patternFill>
    </fill>
    <fill>
      <patternFill patternType="solid">
        <fgColor indexed="22"/>
        <bgColor indexed="31"/>
      </patternFill>
    </fill>
    <fill>
      <patternFill patternType="solid">
        <fgColor indexed="44"/>
        <bgColor indexed="31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4"/>
        <bgColor indexed="23"/>
      </patternFill>
    </fill>
    <fill>
      <patternFill patternType="solid">
        <fgColor indexed="49"/>
        <bgColor indexed="40"/>
      </patternFill>
    </fill>
    <fill>
      <patternFill patternType="solid">
        <fgColor indexed="53"/>
        <bgColor indexed="52"/>
      </patternFill>
    </fill>
    <fill>
      <patternFill patternType="solid">
        <fgColor indexed="45"/>
        <bgColor indexed="29"/>
      </patternFill>
    </fill>
    <fill>
      <patternFill patternType="solid">
        <fgColor indexed="55"/>
        <bgColor indexed="23"/>
      </patternFill>
    </fill>
    <fill>
      <patternFill patternType="solid">
        <fgColor indexed="31"/>
        <bgColor indexed="27"/>
      </patternFill>
    </fill>
    <fill>
      <patternFill patternType="solid">
        <fgColor indexed="25"/>
        <bgColor indexed="61"/>
      </patternFill>
    </fill>
    <fill>
      <patternFill patternType="solid">
        <fgColor indexed="47"/>
        <bgColor indexed="31"/>
      </patternFill>
    </fill>
    <fill>
      <patternFill patternType="solid">
        <fgColor indexed="42"/>
        <bgColor indexed="27"/>
      </patternFill>
    </fill>
    <fill>
      <patternFill patternType="solid">
        <fgColor indexed="27"/>
        <bgColor indexed="31"/>
      </patternFill>
    </fill>
    <fill>
      <patternFill patternType="solid">
        <fgColor theme="2"/>
        <bgColor indexed="58"/>
      </patternFill>
    </fill>
    <fill>
      <patternFill patternType="solid">
        <fgColor theme="2"/>
        <bgColor indexed="64"/>
      </patternFill>
    </fill>
  </fills>
  <borders count="26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48"/>
      </bottom>
      <diagonal/>
    </border>
    <border>
      <left/>
      <right/>
      <top/>
      <bottom style="medium">
        <color indexed="48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8"/>
      </top>
      <bottom style="double">
        <color indexed="4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hair">
        <color indexed="8"/>
      </right>
      <top/>
      <bottom/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53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2" borderId="0" applyNumberFormat="0" applyBorder="0" applyAlignment="0" applyProtection="0"/>
    <xf numFmtId="0" fontId="1" fillId="5" borderId="0" applyNumberFormat="0" applyBorder="0" applyAlignment="0" applyProtection="0"/>
    <xf numFmtId="0" fontId="1" fillId="3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6" borderId="0" applyNumberFormat="0" applyBorder="0" applyAlignment="0" applyProtection="0"/>
    <xf numFmtId="0" fontId="4" fillId="3" borderId="0" applyNumberFormat="0" applyBorder="0" applyAlignment="0" applyProtection="0"/>
    <xf numFmtId="0" fontId="4" fillId="6" borderId="0" applyNumberFormat="0" applyBorder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12" fillId="16" borderId="0" applyNumberFormat="0" applyBorder="0" applyAlignment="0" applyProtection="0"/>
    <xf numFmtId="0" fontId="15" fillId="2" borderId="1" applyNumberFormat="0" applyAlignment="0" applyProtection="0"/>
    <xf numFmtId="0" fontId="17" fillId="17" borderId="2" applyNumberFormat="0" applyAlignment="0" applyProtection="0"/>
    <xf numFmtId="0" fontId="1" fillId="18" borderId="0"/>
    <xf numFmtId="0" fontId="4" fillId="19" borderId="0"/>
    <xf numFmtId="0" fontId="3" fillId="20" borderId="1"/>
    <xf numFmtId="0" fontId="1" fillId="0" borderId="0"/>
    <xf numFmtId="0" fontId="22" fillId="0" borderId="0"/>
    <xf numFmtId="0" fontId="21" fillId="0" borderId="3" applyNumberFormat="0" applyFill="0" applyAlignment="0" applyProtection="0"/>
    <xf numFmtId="0" fontId="19" fillId="0" borderId="0" applyNumberFormat="0" applyFill="0" applyBorder="0" applyAlignment="0" applyProtection="0"/>
    <xf numFmtId="0" fontId="11" fillId="21" borderId="0" applyNumberFormat="0" applyBorder="0" applyAlignment="0" applyProtection="0"/>
    <xf numFmtId="0" fontId="8" fillId="0" borderId="4" applyNumberFormat="0" applyFill="0" applyAlignment="0" applyProtection="0"/>
    <xf numFmtId="0" fontId="9" fillId="0" borderId="4" applyNumberFormat="0" applyFill="0" applyAlignment="0" applyProtection="0"/>
    <xf numFmtId="0" fontId="10" fillId="0" borderId="5" applyNumberFormat="0" applyFill="0" applyAlignment="0" applyProtection="0"/>
    <xf numFmtId="0" fontId="10" fillId="0" borderId="0" applyNumberFormat="0" applyFill="0" applyBorder="0" applyAlignment="0" applyProtection="0"/>
    <xf numFmtId="0" fontId="5" fillId="0" borderId="0"/>
    <xf numFmtId="0" fontId="3" fillId="3" borderId="1" applyNumberFormat="0" applyAlignment="0" applyProtection="0"/>
    <xf numFmtId="0" fontId="16" fillId="0" borderId="6" applyNumberFormat="0" applyFill="0" applyAlignment="0" applyProtection="0"/>
    <xf numFmtId="0" fontId="13" fillId="8" borderId="0" applyNumberFormat="0" applyBorder="0" applyAlignment="0" applyProtection="0"/>
    <xf numFmtId="0" fontId="6" fillId="0" borderId="0"/>
    <xf numFmtId="0" fontId="1" fillId="0" borderId="0"/>
    <xf numFmtId="0" fontId="1" fillId="4" borderId="7" applyNumberFormat="0" applyAlignment="0" applyProtection="0"/>
    <xf numFmtId="0" fontId="14" fillId="2" borderId="8" applyNumberFormat="0" applyAlignment="0" applyProtection="0"/>
    <xf numFmtId="9" fontId="6" fillId="0" borderId="0" applyFill="0" applyBorder="0" applyAlignment="0" applyProtection="0"/>
    <xf numFmtId="0" fontId="7" fillId="0" borderId="0" applyNumberFormat="0" applyFill="0" applyBorder="0" applyAlignment="0" applyProtection="0"/>
    <xf numFmtId="0" fontId="20" fillId="0" borderId="9" applyNumberFormat="0" applyFill="0" applyAlignment="0" applyProtection="0"/>
    <xf numFmtId="0" fontId="18" fillId="0" borderId="0" applyNumberFormat="0" applyFill="0" applyBorder="0" applyAlignment="0" applyProtection="0"/>
    <xf numFmtId="0" fontId="29" fillId="0" borderId="23" applyNumberFormat="0" applyFill="0" applyAlignment="0" applyProtection="0"/>
  </cellStyleXfs>
  <cellXfs count="93">
    <xf numFmtId="0" fontId="0" fillId="0" borderId="0" xfId="0"/>
    <xf numFmtId="0" fontId="1" fillId="0" borderId="0" xfId="31"/>
    <xf numFmtId="0" fontId="2" fillId="0" borderId="0" xfId="31" applyFont="1"/>
    <xf numFmtId="0" fontId="3" fillId="20" borderId="1" xfId="30" applyNumberFormat="1" applyFont="1" applyAlignment="1" applyProtection="1"/>
    <xf numFmtId="0" fontId="1" fillId="18" borderId="0" xfId="28" applyNumberFormat="1" applyFont="1" applyBorder="1" applyAlignment="1" applyProtection="1">
      <alignment horizontal="center"/>
    </xf>
    <xf numFmtId="164" fontId="3" fillId="20" borderId="1" xfId="30" applyNumberFormat="1" applyAlignment="1" applyProtection="1"/>
    <xf numFmtId="164" fontId="1" fillId="0" borderId="0" xfId="31" applyNumberFormat="1"/>
    <xf numFmtId="0" fontId="4" fillId="19" borderId="0" xfId="29" applyNumberFormat="1" applyFont="1" applyBorder="1" applyAlignment="1" applyProtection="1"/>
    <xf numFmtId="0" fontId="4" fillId="19" borderId="0" xfId="29" applyNumberFormat="1" applyBorder="1" applyAlignment="1" applyProtection="1">
      <alignment horizontal="center"/>
    </xf>
    <xf numFmtId="0" fontId="4" fillId="19" borderId="1" xfId="29" applyNumberFormat="1" applyFont="1" applyBorder="1" applyAlignment="1" applyProtection="1">
      <alignment horizontal="center"/>
    </xf>
    <xf numFmtId="3" fontId="3" fillId="20" borderId="1" xfId="30" applyNumberFormat="1" applyAlignment="1" applyProtection="1">
      <alignment horizontal="center"/>
    </xf>
    <xf numFmtId="0" fontId="3" fillId="20" borderId="1" xfId="30" applyNumberFormat="1" applyAlignment="1" applyProtection="1">
      <alignment horizontal="center"/>
    </xf>
    <xf numFmtId="0" fontId="0" fillId="2" borderId="0" xfId="31" applyFont="1" applyFill="1"/>
    <xf numFmtId="0" fontId="5" fillId="0" borderId="0" xfId="40" applyNumberFormat="1" applyFill="1" applyBorder="1" applyAlignment="1" applyProtection="1"/>
    <xf numFmtId="0" fontId="0" fillId="2" borderId="0" xfId="31" applyFont="1" applyFill="1" applyBorder="1"/>
    <xf numFmtId="0" fontId="0" fillId="2" borderId="0" xfId="31" applyFont="1" applyFill="1" applyBorder="1" applyAlignment="1" applyProtection="1">
      <alignment horizontal="right"/>
    </xf>
    <xf numFmtId="0" fontId="0" fillId="2" borderId="0" xfId="31" applyFont="1" applyFill="1" applyBorder="1" applyAlignment="1" applyProtection="1">
      <alignment horizontal="center"/>
    </xf>
    <xf numFmtId="0" fontId="4" fillId="19" borderId="10" xfId="29" applyNumberFormat="1" applyFont="1" applyBorder="1" applyAlignment="1" applyProtection="1">
      <alignment horizontal="center"/>
    </xf>
    <xf numFmtId="0" fontId="4" fillId="19" borderId="11" xfId="29" applyNumberFormat="1" applyFont="1" applyBorder="1" applyAlignment="1" applyProtection="1">
      <alignment horizontal="center"/>
    </xf>
    <xf numFmtId="0" fontId="0" fillId="2" borderId="12" xfId="31" applyFont="1" applyFill="1" applyBorder="1" applyAlignment="1" applyProtection="1">
      <alignment horizontal="left"/>
    </xf>
    <xf numFmtId="2" fontId="0" fillId="2" borderId="13" xfId="31" applyNumberFormat="1" applyFont="1" applyFill="1" applyBorder="1" applyAlignment="1" applyProtection="1">
      <alignment horizontal="center"/>
    </xf>
    <xf numFmtId="2" fontId="0" fillId="2" borderId="0" xfId="31" applyNumberFormat="1" applyFont="1" applyFill="1" applyBorder="1" applyAlignment="1" applyProtection="1">
      <alignment horizontal="right"/>
    </xf>
    <xf numFmtId="165" fontId="0" fillId="2" borderId="0" xfId="31" applyNumberFormat="1" applyFont="1" applyFill="1" applyBorder="1" applyAlignment="1" applyProtection="1">
      <alignment horizontal="right"/>
    </xf>
    <xf numFmtId="166" fontId="0" fillId="2" borderId="0" xfId="31" applyNumberFormat="1" applyFont="1" applyFill="1" applyBorder="1" applyAlignment="1" applyProtection="1">
      <alignment horizontal="center"/>
    </xf>
    <xf numFmtId="2" fontId="0" fillId="2" borderId="12" xfId="31" applyNumberFormat="1" applyFont="1" applyFill="1" applyBorder="1" applyAlignment="1" applyProtection="1">
      <alignment horizontal="center"/>
    </xf>
    <xf numFmtId="0" fontId="0" fillId="2" borderId="12" xfId="31" applyFont="1" applyFill="1" applyBorder="1"/>
    <xf numFmtId="2" fontId="0" fillId="2" borderId="0" xfId="31" applyNumberFormat="1" applyFont="1" applyFill="1" applyBorder="1"/>
    <xf numFmtId="0" fontId="0" fillId="2" borderId="0" xfId="31" applyFont="1" applyFill="1" applyBorder="1" applyAlignment="1">
      <alignment horizontal="center"/>
    </xf>
    <xf numFmtId="0" fontId="0" fillId="0" borderId="0" xfId="31" applyFont="1" applyFill="1" applyBorder="1"/>
    <xf numFmtId="166" fontId="0" fillId="2" borderId="0" xfId="31" applyNumberFormat="1" applyFont="1" applyFill="1" applyBorder="1" applyAlignment="1">
      <alignment horizontal="center"/>
    </xf>
    <xf numFmtId="0" fontId="0" fillId="2" borderId="14" xfId="31" applyFont="1" applyFill="1" applyBorder="1" applyAlignment="1" applyProtection="1">
      <alignment horizontal="left"/>
    </xf>
    <xf numFmtId="2" fontId="0" fillId="2" borderId="14" xfId="31" applyNumberFormat="1" applyFont="1" applyFill="1" applyBorder="1" applyAlignment="1" applyProtection="1">
      <alignment horizontal="center"/>
    </xf>
    <xf numFmtId="0" fontId="4" fillId="19" borderId="14" xfId="29" applyNumberFormat="1" applyFont="1" applyBorder="1" applyAlignment="1" applyProtection="1">
      <alignment horizontal="left"/>
    </xf>
    <xf numFmtId="2" fontId="4" fillId="19" borderId="10" xfId="29" applyNumberFormat="1" applyBorder="1" applyAlignment="1" applyProtection="1">
      <alignment horizontal="center"/>
    </xf>
    <xf numFmtId="0" fontId="0" fillId="2" borderId="0" xfId="31" applyFont="1" applyFill="1" applyAlignment="1" applyProtection="1">
      <alignment horizontal="left"/>
    </xf>
    <xf numFmtId="0" fontId="0" fillId="2" borderId="0" xfId="31" applyFont="1" applyFill="1" applyBorder="1" applyAlignment="1" applyProtection="1">
      <alignment horizontal="fill"/>
    </xf>
    <xf numFmtId="166" fontId="0" fillId="2" borderId="0" xfId="31" applyNumberFormat="1" applyFont="1" applyFill="1" applyAlignment="1" applyProtection="1">
      <alignment horizontal="fill"/>
    </xf>
    <xf numFmtId="0" fontId="0" fillId="2" borderId="0" xfId="31" applyFont="1" applyFill="1" applyAlignment="1">
      <alignment horizontal="left"/>
    </xf>
    <xf numFmtId="2" fontId="0" fillId="2" borderId="0" xfId="31" applyNumberFormat="1" applyFont="1" applyFill="1"/>
    <xf numFmtId="0" fontId="0" fillId="0" borderId="0" xfId="31" applyFont="1" applyFill="1"/>
    <xf numFmtId="0" fontId="4" fillId="19" borderId="0" xfId="29" applyNumberFormat="1" applyFont="1" applyBorder="1" applyAlignment="1" applyProtection="1">
      <alignment horizontal="center" vertical="center"/>
    </xf>
    <xf numFmtId="0" fontId="4" fillId="19" borderId="0" xfId="29" applyNumberFormat="1" applyFont="1" applyBorder="1" applyAlignment="1" applyProtection="1">
      <alignment horizontal="center" vertical="center" wrapText="1"/>
    </xf>
    <xf numFmtId="0" fontId="1" fillId="0" borderId="0" xfId="45"/>
    <xf numFmtId="0" fontId="24" fillId="2" borderId="0" xfId="32" applyFont="1" applyFill="1" applyBorder="1" applyAlignment="1"/>
    <xf numFmtId="0" fontId="24" fillId="2" borderId="15" xfId="32" applyFont="1" applyFill="1" applyBorder="1" applyAlignment="1"/>
    <xf numFmtId="0" fontId="24" fillId="2" borderId="16" xfId="32" applyFont="1" applyFill="1" applyBorder="1" applyAlignment="1"/>
    <xf numFmtId="0" fontId="24" fillId="2" borderId="17" xfId="32" applyFont="1" applyFill="1" applyBorder="1" applyAlignment="1"/>
    <xf numFmtId="0" fontId="23" fillId="0" borderId="0" xfId="32" applyFont="1"/>
    <xf numFmtId="167" fontId="27" fillId="23" borderId="18" xfId="32" applyNumberFormat="1" applyFont="1" applyFill="1" applyBorder="1" applyAlignment="1"/>
    <xf numFmtId="0" fontId="28" fillId="24" borderId="19" xfId="36" applyFont="1" applyFill="1" applyBorder="1" applyAlignment="1">
      <alignment horizontal="center"/>
    </xf>
    <xf numFmtId="0" fontId="0" fillId="0" borderId="0" xfId="0" applyFill="1" applyBorder="1" applyAlignment="1"/>
    <xf numFmtId="0" fontId="26" fillId="0" borderId="0" xfId="0" applyFont="1" applyFill="1" applyBorder="1" applyAlignment="1">
      <alignment horizontal="center"/>
    </xf>
    <xf numFmtId="0" fontId="0" fillId="0" borderId="0" xfId="0" applyBorder="1"/>
    <xf numFmtId="0" fontId="0" fillId="0" borderId="0" xfId="0" applyFill="1" applyBorder="1"/>
    <xf numFmtId="0" fontId="0" fillId="0" borderId="0" xfId="0" applyNumberFormat="1" applyFill="1" applyBorder="1" applyAlignment="1"/>
    <xf numFmtId="0" fontId="1" fillId="0" borderId="0" xfId="31" applyBorder="1"/>
    <xf numFmtId="0" fontId="1" fillId="0" borderId="0" xfId="31" applyFont="1" applyFill="1" applyBorder="1"/>
    <xf numFmtId="17" fontId="1" fillId="0" borderId="0" xfId="31" applyNumberFormat="1" applyFont="1" applyFill="1" applyBorder="1"/>
    <xf numFmtId="0" fontId="3" fillId="0" borderId="0" xfId="30" applyNumberFormat="1" applyFont="1" applyFill="1" applyBorder="1" applyAlignment="1" applyProtection="1"/>
    <xf numFmtId="0" fontId="1" fillId="22" borderId="19" xfId="31" applyFont="1" applyFill="1" applyBorder="1"/>
    <xf numFmtId="17" fontId="1" fillId="22" borderId="19" xfId="31" applyNumberFormat="1" applyFont="1" applyFill="1" applyBorder="1"/>
    <xf numFmtId="0" fontId="3" fillId="20" borderId="19" xfId="30" applyNumberFormat="1" applyFont="1" applyBorder="1" applyAlignment="1" applyProtection="1"/>
    <xf numFmtId="0" fontId="19" fillId="0" borderId="0" xfId="34"/>
    <xf numFmtId="0" fontId="1" fillId="22" borderId="21" xfId="31" applyFont="1" applyFill="1" applyBorder="1"/>
    <xf numFmtId="0" fontId="3" fillId="20" borderId="21" xfId="30" applyNumberFormat="1" applyFont="1" applyBorder="1" applyAlignment="1" applyProtection="1"/>
    <xf numFmtId="0" fontId="1" fillId="0" borderId="22" xfId="31" applyFont="1" applyFill="1" applyBorder="1"/>
    <xf numFmtId="0" fontId="3" fillId="0" borderId="22" xfId="30" applyNumberFormat="1" applyFont="1" applyFill="1" applyBorder="1" applyAlignment="1" applyProtection="1"/>
    <xf numFmtId="0" fontId="19" fillId="0" borderId="0" xfId="34" applyAlignment="1">
      <alignment horizontal="center"/>
    </xf>
    <xf numFmtId="0" fontId="1" fillId="0" borderId="0" xfId="31" applyAlignment="1">
      <alignment horizontal="center"/>
    </xf>
    <xf numFmtId="0" fontId="0" fillId="0" borderId="0" xfId="0" applyBorder="1" applyAlignment="1">
      <alignment horizontal="center"/>
    </xf>
    <xf numFmtId="0" fontId="1" fillId="0" borderId="0" xfId="45" applyAlignment="1">
      <alignment horizontal="center"/>
    </xf>
    <xf numFmtId="0" fontId="0" fillId="0" borderId="0" xfId="0" applyNumberFormat="1" applyFill="1" applyBorder="1" applyAlignment="1">
      <alignment horizontal="center"/>
    </xf>
    <xf numFmtId="0" fontId="19" fillId="0" borderId="0" xfId="34" applyBorder="1"/>
    <xf numFmtId="0" fontId="19" fillId="0" borderId="0" xfId="34" applyBorder="1" applyAlignment="1">
      <alignment horizontal="center"/>
    </xf>
    <xf numFmtId="0" fontId="19" fillId="0" borderId="0" xfId="34" applyFill="1" applyBorder="1" applyAlignment="1">
      <alignment horizontal="center"/>
    </xf>
    <xf numFmtId="0" fontId="19" fillId="0" borderId="0" xfId="34" applyNumberForma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24" xfId="0" applyFill="1" applyBorder="1" applyAlignment="1"/>
    <xf numFmtId="0" fontId="26" fillId="0" borderId="2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19" fillId="0" borderId="0" xfId="34"/>
    <xf numFmtId="0" fontId="19" fillId="2" borderId="0" xfId="34" applyFill="1" applyAlignment="1">
      <alignment horizontal="center" vertical="center" wrapText="1"/>
    </xf>
    <xf numFmtId="0" fontId="21" fillId="2" borderId="3" xfId="33" applyFill="1" applyAlignment="1">
      <alignment horizontal="center"/>
    </xf>
    <xf numFmtId="0" fontId="21" fillId="2" borderId="0" xfId="33" applyFill="1" applyBorder="1" applyAlignment="1">
      <alignment horizontal="center"/>
    </xf>
    <xf numFmtId="0" fontId="19" fillId="0" borderId="0" xfId="34" applyAlignment="1">
      <alignment horizontal="center"/>
    </xf>
    <xf numFmtId="0" fontId="29" fillId="0" borderId="23" xfId="52" applyAlignment="1">
      <alignment horizontal="center" wrapText="1"/>
    </xf>
    <xf numFmtId="0" fontId="19" fillId="0" borderId="0" xfId="34" applyAlignment="1">
      <alignment horizontal="center" wrapText="1"/>
    </xf>
    <xf numFmtId="0" fontId="19" fillId="0" borderId="0" xfId="34" applyBorder="1" applyAlignment="1">
      <alignment horizontal="center" vertical="center" wrapText="1"/>
    </xf>
    <xf numFmtId="0" fontId="19" fillId="0" borderId="0" xfId="34" applyBorder="1" applyAlignment="1">
      <alignment horizontal="center"/>
    </xf>
    <xf numFmtId="0" fontId="25" fillId="24" borderId="20" xfId="45" applyFont="1" applyFill="1" applyBorder="1" applyAlignment="1">
      <alignment horizontal="center" vertical="center" wrapText="1"/>
    </xf>
    <xf numFmtId="0" fontId="25" fillId="24" borderId="21" xfId="45" applyFont="1" applyFill="1" applyBorder="1" applyAlignment="1">
      <alignment horizontal="center" vertical="center" wrapText="1"/>
    </xf>
    <xf numFmtId="0" fontId="28" fillId="24" borderId="19" xfId="36" applyFont="1" applyFill="1" applyBorder="1" applyAlignment="1">
      <alignment horizontal="center" vertical="center" wrapText="1"/>
    </xf>
    <xf numFmtId="0" fontId="19" fillId="0" borderId="0" xfId="34" applyBorder="1" applyAlignment="1">
      <alignment horizontal="center" wrapText="1"/>
    </xf>
  </cellXfs>
  <cellStyles count="53">
    <cellStyle name="20% - Accent1 2" xfId="1"/>
    <cellStyle name="20% - Accent2 2" xfId="2"/>
    <cellStyle name="20% - Accent3 2" xfId="3"/>
    <cellStyle name="20% - Accent4 2" xfId="4"/>
    <cellStyle name="20% - Accent5 2" xfId="5"/>
    <cellStyle name="20% - Accent6 2" xfId="6"/>
    <cellStyle name="40% - Accent1 2" xfId="7"/>
    <cellStyle name="40% - Accent2 2" xfId="8"/>
    <cellStyle name="40% - Accent3 2" xfId="9"/>
    <cellStyle name="40% - Accent4 2" xfId="10"/>
    <cellStyle name="40% - Accent5 2" xfId="11"/>
    <cellStyle name="40% - Accent6 2" xfId="12"/>
    <cellStyle name="60% - Accent1 2" xfId="13"/>
    <cellStyle name="60% - Accent2 2" xfId="14"/>
    <cellStyle name="60% - Accent3 2" xfId="15"/>
    <cellStyle name="60% - Accent4 2" xfId="16"/>
    <cellStyle name="60% - Accent5 2" xfId="17"/>
    <cellStyle name="60% - Accent6 2" xfId="18"/>
    <cellStyle name="Accent1 2" xfId="19"/>
    <cellStyle name="Accent2 2" xfId="20"/>
    <cellStyle name="Accent3 2" xfId="21"/>
    <cellStyle name="Accent4 2" xfId="22"/>
    <cellStyle name="Accent5 2" xfId="23"/>
    <cellStyle name="Accent6 2" xfId="24"/>
    <cellStyle name="Bad 2" xfId="25"/>
    <cellStyle name="Calculation 2" xfId="26"/>
    <cellStyle name="Check Cell 2" xfId="27"/>
    <cellStyle name="Excel Built-in 20% - Accent2" xfId="28"/>
    <cellStyle name="Excel Built-in Accent2" xfId="29"/>
    <cellStyle name="Excel Built-in Input" xfId="30"/>
    <cellStyle name="Excel Built-in Normal" xfId="31"/>
    <cellStyle name="Excel Built-in Normal 2" xfId="32"/>
    <cellStyle name="Excel_BuiltIn_Heading 1" xfId="33"/>
    <cellStyle name="Explanatory Text 2" xfId="34"/>
    <cellStyle name="Good 2" xfId="35"/>
    <cellStyle name="Heading 1 2" xfId="36"/>
    <cellStyle name="Heading 2 2" xfId="37"/>
    <cellStyle name="Heading 3" xfId="52" builtinId="18"/>
    <cellStyle name="Heading 3 2" xfId="38"/>
    <cellStyle name="Heading 4 2" xfId="39"/>
    <cellStyle name="Hyperlink" xfId="40" builtinId="8"/>
    <cellStyle name="Input 2" xfId="41"/>
    <cellStyle name="Linked Cell 2" xfId="42"/>
    <cellStyle name="Neutral 2" xfId="43"/>
    <cellStyle name="Normal" xfId="0" builtinId="0"/>
    <cellStyle name="Normal 2" xfId="44"/>
    <cellStyle name="Normal 3" xfId="45"/>
    <cellStyle name="Note 2" xfId="46"/>
    <cellStyle name="Output 2" xfId="47"/>
    <cellStyle name="Percent 2" xfId="48"/>
    <cellStyle name="Title 2" xfId="49"/>
    <cellStyle name="Total 2" xfId="50"/>
    <cellStyle name="Warning Text 2" xfId="51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7F7F7F"/>
      <rgbColor rgb="009999FF"/>
      <rgbColor rgb="00C0504D"/>
      <rgbColor rgb="00FFFFCC"/>
      <rgbColor rgb="00DCE6F2"/>
      <rgbColor rgb="00660066"/>
      <rgbColor rgb="00FF8080"/>
      <rgbColor rgb="000066CC"/>
      <rgbColor rgb="00F2DCDB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F3F76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Bar Chart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'Bar Chart'!$C$5</c:f>
              <c:strCache>
                <c:ptCount val="1"/>
                <c:pt idx="0">
                  <c:v>Data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'Bar Chart'!$B$6:$B$17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'Bar Chart'!$C$6:$C$17</c:f>
              <c:numCache>
                <c:formatCode>General</c:formatCode>
                <c:ptCount val="12"/>
                <c:pt idx="0">
                  <c:v>12</c:v>
                </c:pt>
                <c:pt idx="1">
                  <c:v>-20</c:v>
                </c:pt>
                <c:pt idx="2">
                  <c:v>15</c:v>
                </c:pt>
                <c:pt idx="3">
                  <c:v>22</c:v>
                </c:pt>
                <c:pt idx="4">
                  <c:v>32</c:v>
                </c:pt>
                <c:pt idx="5">
                  <c:v>56</c:v>
                </c:pt>
                <c:pt idx="6">
                  <c:v>84</c:v>
                </c:pt>
                <c:pt idx="7">
                  <c:v>74</c:v>
                </c:pt>
                <c:pt idx="8">
                  <c:v>54</c:v>
                </c:pt>
                <c:pt idx="9">
                  <c:v>21</c:v>
                </c:pt>
                <c:pt idx="10">
                  <c:v>12</c:v>
                </c:pt>
                <c:pt idx="11">
                  <c:v>-31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9D-4541-B61F-085D7133B91C}"/>
            </c:ext>
          </c:extLst>
        </c:ser>
        <c:ser>
          <c:idx val="1"/>
          <c:order val="1"/>
          <c:tx>
            <c:strRef>
              <c:f>'Bar Chart'!$D$5</c:f>
              <c:strCache>
                <c:ptCount val="1"/>
                <c:pt idx="0">
                  <c:v>&lt;=0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'Bar Chart'!$B$6:$B$17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'Bar Chart'!$D$6:$D$17</c:f>
              <c:numCache>
                <c:formatCode>General</c:formatCode>
                <c:ptCount val="12"/>
                <c:pt idx="1">
                  <c:v>-20</c:v>
                </c:pt>
                <c:pt idx="11">
                  <c:v>-31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169D-4541-B61F-085D7133B91C}"/>
            </c:ext>
          </c:extLst>
        </c:ser>
        <c:ser>
          <c:idx val="2"/>
          <c:order val="2"/>
          <c:tx>
            <c:strRef>
              <c:f>'Bar Chart'!$E$5</c:f>
              <c:strCache>
                <c:ptCount val="1"/>
                <c:pt idx="0">
                  <c:v>1-33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'Bar Chart'!$B$6:$B$17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'Bar Chart'!$E$6:$E$17</c:f>
              <c:numCache>
                <c:formatCode>General</c:formatCode>
                <c:ptCount val="12"/>
                <c:pt idx="0">
                  <c:v>12</c:v>
                </c:pt>
                <c:pt idx="2">
                  <c:v>15</c:v>
                </c:pt>
                <c:pt idx="3">
                  <c:v>22</c:v>
                </c:pt>
                <c:pt idx="4">
                  <c:v>32</c:v>
                </c:pt>
                <c:pt idx="9">
                  <c:v>21</c:v>
                </c:pt>
                <c:pt idx="10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69D-4541-B61F-085D7133B91C}"/>
            </c:ext>
          </c:extLst>
        </c:ser>
        <c:ser>
          <c:idx val="3"/>
          <c:order val="3"/>
          <c:tx>
            <c:strRef>
              <c:f>'Bar Chart'!$F$5</c:f>
              <c:strCache>
                <c:ptCount val="1"/>
                <c:pt idx="0">
                  <c:v>34-66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'Bar Chart'!$B$6:$B$17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'Bar Chart'!$F$6:$F$17</c:f>
              <c:numCache>
                <c:formatCode>General</c:formatCode>
                <c:ptCount val="12"/>
                <c:pt idx="5">
                  <c:v>56</c:v>
                </c:pt>
                <c:pt idx="8">
                  <c:v>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169D-4541-B61F-085D7133B91C}"/>
            </c:ext>
          </c:extLst>
        </c:ser>
        <c:ser>
          <c:idx val="4"/>
          <c:order val="4"/>
          <c:tx>
            <c:strRef>
              <c:f>'Bar Chart'!$G$5</c:f>
              <c:strCache>
                <c:ptCount val="1"/>
                <c:pt idx="0">
                  <c:v>67-100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'Bar Chart'!$B$6:$B$17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'Bar Chart'!$G$6:$G$17</c:f>
              <c:numCache>
                <c:formatCode>General</c:formatCode>
                <c:ptCount val="12"/>
                <c:pt idx="6">
                  <c:v>84</c:v>
                </c:pt>
                <c:pt idx="7">
                  <c:v>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169D-4541-B61F-085D7133B91C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18914768"/>
        <c:axId val="618907696"/>
      </c:barChart>
      <c:catAx>
        <c:axId val="6189147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8907696"/>
        <c:crosses val="autoZero"/>
        <c:auto val="1"/>
        <c:lblAlgn val="ctr"/>
        <c:lblOffset val="100"/>
        <c:noMultiLvlLbl val="0"/>
      </c:catAx>
      <c:valAx>
        <c:axId val="618907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89147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Stacked Bar Chart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'Bar Chart'!$C$5</c:f>
              <c:strCache>
                <c:ptCount val="1"/>
                <c:pt idx="0">
                  <c:v>Data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'Bar Chart'!$B$6:$B$17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'Bar Chart'!$C$6:$C$17</c:f>
              <c:numCache>
                <c:formatCode>General</c:formatCode>
                <c:ptCount val="12"/>
                <c:pt idx="0">
                  <c:v>12</c:v>
                </c:pt>
                <c:pt idx="1">
                  <c:v>-20</c:v>
                </c:pt>
                <c:pt idx="2">
                  <c:v>15</c:v>
                </c:pt>
                <c:pt idx="3">
                  <c:v>22</c:v>
                </c:pt>
                <c:pt idx="4">
                  <c:v>32</c:v>
                </c:pt>
                <c:pt idx="5">
                  <c:v>56</c:v>
                </c:pt>
                <c:pt idx="6">
                  <c:v>84</c:v>
                </c:pt>
                <c:pt idx="7">
                  <c:v>74</c:v>
                </c:pt>
                <c:pt idx="8">
                  <c:v>54</c:v>
                </c:pt>
                <c:pt idx="9">
                  <c:v>21</c:v>
                </c:pt>
                <c:pt idx="10">
                  <c:v>12</c:v>
                </c:pt>
                <c:pt idx="11">
                  <c:v>-31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8D-47E3-A188-1AF379F902D3}"/>
            </c:ext>
          </c:extLst>
        </c:ser>
        <c:ser>
          <c:idx val="1"/>
          <c:order val="1"/>
          <c:tx>
            <c:strRef>
              <c:f>'Bar Chart'!$D$5</c:f>
              <c:strCache>
                <c:ptCount val="1"/>
                <c:pt idx="0">
                  <c:v>&lt;=0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'Bar Chart'!$B$6:$B$17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'Bar Chart'!$D$6:$D$17</c:f>
              <c:numCache>
                <c:formatCode>General</c:formatCode>
                <c:ptCount val="12"/>
                <c:pt idx="1">
                  <c:v>-20</c:v>
                </c:pt>
                <c:pt idx="11">
                  <c:v>-31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A8D-47E3-A188-1AF379F902D3}"/>
            </c:ext>
          </c:extLst>
        </c:ser>
        <c:ser>
          <c:idx val="2"/>
          <c:order val="2"/>
          <c:tx>
            <c:strRef>
              <c:f>'Bar Chart'!$E$5</c:f>
              <c:strCache>
                <c:ptCount val="1"/>
                <c:pt idx="0">
                  <c:v>1-33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strRef>
              <c:f>'Bar Chart'!$B$6:$B$17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'Bar Chart'!$E$6:$E$17</c:f>
              <c:numCache>
                <c:formatCode>General</c:formatCode>
                <c:ptCount val="12"/>
                <c:pt idx="0">
                  <c:v>12</c:v>
                </c:pt>
                <c:pt idx="2">
                  <c:v>15</c:v>
                </c:pt>
                <c:pt idx="3">
                  <c:v>22</c:v>
                </c:pt>
                <c:pt idx="4">
                  <c:v>32</c:v>
                </c:pt>
                <c:pt idx="9">
                  <c:v>21</c:v>
                </c:pt>
                <c:pt idx="10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A8D-47E3-A188-1AF379F902D3}"/>
            </c:ext>
          </c:extLst>
        </c:ser>
        <c:ser>
          <c:idx val="3"/>
          <c:order val="3"/>
          <c:tx>
            <c:strRef>
              <c:f>'Bar Chart'!$F$5</c:f>
              <c:strCache>
                <c:ptCount val="1"/>
                <c:pt idx="0">
                  <c:v>34-66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cat>
            <c:strRef>
              <c:f>'Bar Chart'!$B$6:$B$17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'Bar Chart'!$F$6:$F$17</c:f>
              <c:numCache>
                <c:formatCode>General</c:formatCode>
                <c:ptCount val="12"/>
                <c:pt idx="5">
                  <c:v>56</c:v>
                </c:pt>
                <c:pt idx="8">
                  <c:v>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A8D-47E3-A188-1AF379F902D3}"/>
            </c:ext>
          </c:extLst>
        </c:ser>
        <c:ser>
          <c:idx val="4"/>
          <c:order val="4"/>
          <c:tx>
            <c:strRef>
              <c:f>'Bar Chart'!$G$5</c:f>
              <c:strCache>
                <c:ptCount val="1"/>
                <c:pt idx="0">
                  <c:v>67-100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  <a:sp3d/>
          </c:spPr>
          <c:invertIfNegative val="0"/>
          <c:cat>
            <c:strRef>
              <c:f>'Bar Chart'!$B$6:$B$17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'Bar Chart'!$G$6:$G$17</c:f>
              <c:numCache>
                <c:formatCode>General</c:formatCode>
                <c:ptCount val="12"/>
                <c:pt idx="6">
                  <c:v>84</c:v>
                </c:pt>
                <c:pt idx="7">
                  <c:v>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A8D-47E3-A188-1AF379F902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618886560"/>
        <c:axId val="618887392"/>
        <c:axId val="0"/>
      </c:bar3DChart>
      <c:catAx>
        <c:axId val="6188865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8887392"/>
        <c:crosses val="autoZero"/>
        <c:auto val="1"/>
        <c:lblAlgn val="ctr"/>
        <c:lblOffset val="100"/>
        <c:noMultiLvlLbl val="0"/>
      </c:catAx>
      <c:valAx>
        <c:axId val="618887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88865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100% Stacked Column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percentStacked"/>
        <c:varyColors val="0"/>
        <c:ser>
          <c:idx val="0"/>
          <c:order val="0"/>
          <c:tx>
            <c:strRef>
              <c:f>'Bar Chart'!$C$5</c:f>
              <c:strCache>
                <c:ptCount val="1"/>
                <c:pt idx="0">
                  <c:v>Data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'Bar Chart'!$B$6:$B$17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'Bar Chart'!$C$6:$C$17</c:f>
              <c:numCache>
                <c:formatCode>General</c:formatCode>
                <c:ptCount val="12"/>
                <c:pt idx="0">
                  <c:v>12</c:v>
                </c:pt>
                <c:pt idx="1">
                  <c:v>-20</c:v>
                </c:pt>
                <c:pt idx="2">
                  <c:v>15</c:v>
                </c:pt>
                <c:pt idx="3">
                  <c:v>22</c:v>
                </c:pt>
                <c:pt idx="4">
                  <c:v>32</c:v>
                </c:pt>
                <c:pt idx="5">
                  <c:v>56</c:v>
                </c:pt>
                <c:pt idx="6">
                  <c:v>84</c:v>
                </c:pt>
                <c:pt idx="7">
                  <c:v>74</c:v>
                </c:pt>
                <c:pt idx="8">
                  <c:v>54</c:v>
                </c:pt>
                <c:pt idx="9">
                  <c:v>21</c:v>
                </c:pt>
                <c:pt idx="10">
                  <c:v>12</c:v>
                </c:pt>
                <c:pt idx="11">
                  <c:v>-31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3C-483D-A878-B76FBEBF7167}"/>
            </c:ext>
          </c:extLst>
        </c:ser>
        <c:ser>
          <c:idx val="1"/>
          <c:order val="1"/>
          <c:tx>
            <c:strRef>
              <c:f>'Bar Chart'!$D$5</c:f>
              <c:strCache>
                <c:ptCount val="1"/>
                <c:pt idx="0">
                  <c:v>&lt;=0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'Bar Chart'!$B$6:$B$17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'Bar Chart'!$D$6:$D$17</c:f>
              <c:numCache>
                <c:formatCode>General</c:formatCode>
                <c:ptCount val="12"/>
                <c:pt idx="1">
                  <c:v>-20</c:v>
                </c:pt>
                <c:pt idx="11">
                  <c:v>-31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63C-483D-A878-B76FBEBF7167}"/>
            </c:ext>
          </c:extLst>
        </c:ser>
        <c:ser>
          <c:idx val="2"/>
          <c:order val="2"/>
          <c:tx>
            <c:strRef>
              <c:f>'Bar Chart'!$E$5</c:f>
              <c:strCache>
                <c:ptCount val="1"/>
                <c:pt idx="0">
                  <c:v>1-33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strRef>
              <c:f>'Bar Chart'!$B$6:$B$17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'Bar Chart'!$E$6:$E$17</c:f>
              <c:numCache>
                <c:formatCode>General</c:formatCode>
                <c:ptCount val="12"/>
                <c:pt idx="0">
                  <c:v>12</c:v>
                </c:pt>
                <c:pt idx="2">
                  <c:v>15</c:v>
                </c:pt>
                <c:pt idx="3">
                  <c:v>22</c:v>
                </c:pt>
                <c:pt idx="4">
                  <c:v>32</c:v>
                </c:pt>
                <c:pt idx="9">
                  <c:v>21</c:v>
                </c:pt>
                <c:pt idx="10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63C-483D-A878-B76FBEBF7167}"/>
            </c:ext>
          </c:extLst>
        </c:ser>
        <c:ser>
          <c:idx val="3"/>
          <c:order val="3"/>
          <c:tx>
            <c:strRef>
              <c:f>'Bar Chart'!$F$5</c:f>
              <c:strCache>
                <c:ptCount val="1"/>
                <c:pt idx="0">
                  <c:v>34-66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cat>
            <c:strRef>
              <c:f>'Bar Chart'!$B$6:$B$17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'Bar Chart'!$F$6:$F$17</c:f>
              <c:numCache>
                <c:formatCode>General</c:formatCode>
                <c:ptCount val="12"/>
                <c:pt idx="5">
                  <c:v>56</c:v>
                </c:pt>
                <c:pt idx="8">
                  <c:v>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63C-483D-A878-B76FBEBF7167}"/>
            </c:ext>
          </c:extLst>
        </c:ser>
        <c:ser>
          <c:idx val="4"/>
          <c:order val="4"/>
          <c:tx>
            <c:strRef>
              <c:f>'Bar Chart'!$G$5</c:f>
              <c:strCache>
                <c:ptCount val="1"/>
                <c:pt idx="0">
                  <c:v>67-100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  <a:sp3d/>
          </c:spPr>
          <c:invertIfNegative val="0"/>
          <c:cat>
            <c:strRef>
              <c:f>'Bar Chart'!$B$6:$B$17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'Bar Chart'!$G$6:$G$17</c:f>
              <c:numCache>
                <c:formatCode>General</c:formatCode>
                <c:ptCount val="12"/>
                <c:pt idx="6">
                  <c:v>84</c:v>
                </c:pt>
                <c:pt idx="7">
                  <c:v>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63C-483D-A878-B76FBEBF71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618916848"/>
        <c:axId val="618921008"/>
        <c:axId val="0"/>
      </c:bar3DChart>
      <c:catAx>
        <c:axId val="6189168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8921008"/>
        <c:crosses val="autoZero"/>
        <c:auto val="1"/>
        <c:lblAlgn val="ctr"/>
        <c:lblOffset val="100"/>
        <c:noMultiLvlLbl val="0"/>
      </c:catAx>
      <c:valAx>
        <c:axId val="618921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8916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Male v/s Female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'Horiz Bar Chart'!$C$5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'Horiz Bar Chart'!$B$6:$B$12</c:f>
              <c:strCache>
                <c:ptCount val="7"/>
                <c:pt idx="0">
                  <c:v>&lt; 21</c:v>
                </c:pt>
                <c:pt idx="1">
                  <c:v>21-30</c:v>
                </c:pt>
                <c:pt idx="2">
                  <c:v>31-40</c:v>
                </c:pt>
                <c:pt idx="3">
                  <c:v>41-50</c:v>
                </c:pt>
                <c:pt idx="4">
                  <c:v>51-60</c:v>
                </c:pt>
                <c:pt idx="5">
                  <c:v>61-70</c:v>
                </c:pt>
                <c:pt idx="6">
                  <c:v>&gt;70</c:v>
                </c:pt>
              </c:strCache>
            </c:strRef>
          </c:cat>
          <c:val>
            <c:numRef>
              <c:f>'Horiz Bar Chart'!$C$6:$C$12</c:f>
              <c:numCache>
                <c:formatCode>0.0%</c:formatCode>
                <c:ptCount val="7"/>
                <c:pt idx="0">
                  <c:v>-0.1</c:v>
                </c:pt>
                <c:pt idx="1">
                  <c:v>-0.23</c:v>
                </c:pt>
                <c:pt idx="2">
                  <c:v>-0.32</c:v>
                </c:pt>
                <c:pt idx="3">
                  <c:v>-0.18</c:v>
                </c:pt>
                <c:pt idx="4">
                  <c:v>-0.14000000000000001</c:v>
                </c:pt>
                <c:pt idx="5">
                  <c:v>-0.02</c:v>
                </c:pt>
                <c:pt idx="6">
                  <c:v>-0.01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D4-488D-A19E-68E7032FECE0}"/>
            </c:ext>
          </c:extLst>
        </c:ser>
        <c:ser>
          <c:idx val="1"/>
          <c:order val="1"/>
          <c:tx>
            <c:strRef>
              <c:f>'Horiz Bar Chart'!$D$5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'Horiz Bar Chart'!$B$6:$B$12</c:f>
              <c:strCache>
                <c:ptCount val="7"/>
                <c:pt idx="0">
                  <c:v>&lt; 21</c:v>
                </c:pt>
                <c:pt idx="1">
                  <c:v>21-30</c:v>
                </c:pt>
                <c:pt idx="2">
                  <c:v>31-40</c:v>
                </c:pt>
                <c:pt idx="3">
                  <c:v>41-50</c:v>
                </c:pt>
                <c:pt idx="4">
                  <c:v>51-60</c:v>
                </c:pt>
                <c:pt idx="5">
                  <c:v>61-70</c:v>
                </c:pt>
                <c:pt idx="6">
                  <c:v>&gt;70</c:v>
                </c:pt>
              </c:strCache>
            </c:strRef>
          </c:cat>
          <c:val>
            <c:numRef>
              <c:f>'Horiz Bar Chart'!$D$6:$D$12</c:f>
              <c:numCache>
                <c:formatCode>0.0%</c:formatCode>
                <c:ptCount val="7"/>
                <c:pt idx="0">
                  <c:v>0.03</c:v>
                </c:pt>
                <c:pt idx="1">
                  <c:v>0.12</c:v>
                </c:pt>
                <c:pt idx="2">
                  <c:v>0.2</c:v>
                </c:pt>
                <c:pt idx="3">
                  <c:v>0.28999999999999998</c:v>
                </c:pt>
                <c:pt idx="4">
                  <c:v>0.25</c:v>
                </c:pt>
                <c:pt idx="5">
                  <c:v>0.06</c:v>
                </c:pt>
                <c:pt idx="6">
                  <c:v>0.05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D4-488D-A19E-68E7032FEC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4"/>
        <c:overlap val="100"/>
        <c:axId val="618886144"/>
        <c:axId val="618873664"/>
      </c:barChart>
      <c:catAx>
        <c:axId val="6188861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8873664"/>
        <c:crosses val="autoZero"/>
        <c:auto val="1"/>
        <c:lblAlgn val="ctr"/>
        <c:lblOffset val="100"/>
        <c:noMultiLvlLbl val="0"/>
      </c:catAx>
      <c:valAx>
        <c:axId val="6188736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88861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'Pie Chart'!$C$4</c:f>
              <c:strCache>
                <c:ptCount val="1"/>
                <c:pt idx="0">
                  <c:v>Production of Wheat in Million Tonnes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E78-4B6C-AC6A-79C480304B0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E78-4B6C-AC6A-79C480304B0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DE78-4B6C-AC6A-79C480304B0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DE78-4B6C-AC6A-79C480304B0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DE78-4B6C-AC6A-79C480304B0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DE78-4B6C-AC6A-79C480304B0E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DE78-4B6C-AC6A-79C480304B0E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DE78-4B6C-AC6A-79C480304B0E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DE78-4B6C-AC6A-79C480304B0E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DE78-4B6C-AC6A-79C480304B0E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DE78-4B6C-AC6A-79C480304B0E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DE78-4B6C-AC6A-79C480304B0E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9-DE78-4B6C-AC6A-79C480304B0E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B-DE78-4B6C-AC6A-79C480304B0E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D-DE78-4B6C-AC6A-79C480304B0E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F-DE78-4B6C-AC6A-79C480304B0E}"/>
              </c:ext>
            </c:extLst>
          </c:dPt>
          <c:cat>
            <c:strRef>
              <c:f>'Pie Chart'!$B$5:$B$20</c:f>
              <c:strCache>
                <c:ptCount val="16"/>
                <c:pt idx="0">
                  <c:v>Uttar Pradesh</c:v>
                </c:pt>
                <c:pt idx="1">
                  <c:v>Punjab</c:v>
                </c:pt>
                <c:pt idx="2">
                  <c:v>Haryana</c:v>
                </c:pt>
                <c:pt idx="3">
                  <c:v>Madhya Pradesh</c:v>
                </c:pt>
                <c:pt idx="4">
                  <c:v>Rajasthan</c:v>
                </c:pt>
                <c:pt idx="5">
                  <c:v>Bihar</c:v>
                </c:pt>
                <c:pt idx="6">
                  <c:v>Gujarat</c:v>
                </c:pt>
                <c:pt idx="7">
                  <c:v>Maharashtra</c:v>
                </c:pt>
                <c:pt idx="8">
                  <c:v>Uttaranchal </c:v>
                </c:pt>
                <c:pt idx="9">
                  <c:v>West Bengal</c:v>
                </c:pt>
                <c:pt idx="10">
                  <c:v>Himachal Pradesh</c:v>
                </c:pt>
                <c:pt idx="11">
                  <c:v>Jammu &amp; Kashmir</c:v>
                </c:pt>
                <c:pt idx="12">
                  <c:v>Karnataka</c:v>
                </c:pt>
                <c:pt idx="13">
                  <c:v>Jharkhand </c:v>
                </c:pt>
                <c:pt idx="14">
                  <c:v>Assam</c:v>
                </c:pt>
                <c:pt idx="15">
                  <c:v>Others</c:v>
                </c:pt>
              </c:strCache>
            </c:strRef>
          </c:cat>
          <c:val>
            <c:numRef>
              <c:f>'Pie Chart'!$C$5:$C$20</c:f>
              <c:numCache>
                <c:formatCode>0.00</c:formatCode>
                <c:ptCount val="16"/>
                <c:pt idx="0">
                  <c:v>25.03</c:v>
                </c:pt>
                <c:pt idx="1">
                  <c:v>14.6</c:v>
                </c:pt>
                <c:pt idx="2">
                  <c:v>10.06</c:v>
                </c:pt>
                <c:pt idx="3">
                  <c:v>7.33</c:v>
                </c:pt>
                <c:pt idx="4">
                  <c:v>7.06</c:v>
                </c:pt>
                <c:pt idx="5">
                  <c:v>3.91</c:v>
                </c:pt>
                <c:pt idx="6">
                  <c:v>3</c:v>
                </c:pt>
                <c:pt idx="7">
                  <c:v>1.63</c:v>
                </c:pt>
                <c:pt idx="8">
                  <c:v>0.8</c:v>
                </c:pt>
                <c:pt idx="9">
                  <c:v>0.8</c:v>
                </c:pt>
                <c:pt idx="10">
                  <c:v>0.5</c:v>
                </c:pt>
                <c:pt idx="11">
                  <c:v>0.49</c:v>
                </c:pt>
                <c:pt idx="12">
                  <c:v>0.21</c:v>
                </c:pt>
                <c:pt idx="13">
                  <c:v>0.13</c:v>
                </c:pt>
                <c:pt idx="14">
                  <c:v>7.0000000000000007E-2</c:v>
                </c:pt>
                <c:pt idx="15">
                  <c:v>0.19000000000004036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A7-4890-AA6B-09AE924439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ofPieChart>
        <c:ofPieType val="pie"/>
        <c:varyColors val="1"/>
        <c:ser>
          <c:idx val="0"/>
          <c:order val="0"/>
          <c:tx>
            <c:strRef>
              <c:f>'Pie Chart'!$C$4</c:f>
              <c:strCache>
                <c:ptCount val="1"/>
                <c:pt idx="0">
                  <c:v>Production of Wheat in Million Tonnes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'Pie Chart'!$B$5:$B$20</c:f>
              <c:strCache>
                <c:ptCount val="16"/>
                <c:pt idx="0">
                  <c:v>Uttar Pradesh</c:v>
                </c:pt>
                <c:pt idx="1">
                  <c:v>Punjab</c:v>
                </c:pt>
                <c:pt idx="2">
                  <c:v>Haryana</c:v>
                </c:pt>
                <c:pt idx="3">
                  <c:v>Madhya Pradesh</c:v>
                </c:pt>
                <c:pt idx="4">
                  <c:v>Rajasthan</c:v>
                </c:pt>
                <c:pt idx="5">
                  <c:v>Bihar</c:v>
                </c:pt>
                <c:pt idx="6">
                  <c:v>Gujarat</c:v>
                </c:pt>
                <c:pt idx="7">
                  <c:v>Maharashtra</c:v>
                </c:pt>
                <c:pt idx="8">
                  <c:v>Uttaranchal </c:v>
                </c:pt>
                <c:pt idx="9">
                  <c:v>West Bengal</c:v>
                </c:pt>
                <c:pt idx="10">
                  <c:v>Himachal Pradesh</c:v>
                </c:pt>
                <c:pt idx="11">
                  <c:v>Jammu &amp; Kashmir</c:v>
                </c:pt>
                <c:pt idx="12">
                  <c:v>Karnataka</c:v>
                </c:pt>
                <c:pt idx="13">
                  <c:v>Jharkhand </c:v>
                </c:pt>
                <c:pt idx="14">
                  <c:v>Assam</c:v>
                </c:pt>
                <c:pt idx="15">
                  <c:v>Others</c:v>
                </c:pt>
              </c:strCache>
            </c:strRef>
          </c:cat>
          <c:val>
            <c:numRef>
              <c:f>'Pie Chart'!$C$5:$C$20</c:f>
              <c:numCache>
                <c:formatCode>0.00</c:formatCode>
                <c:ptCount val="16"/>
                <c:pt idx="0">
                  <c:v>25.03</c:v>
                </c:pt>
                <c:pt idx="1">
                  <c:v>14.6</c:v>
                </c:pt>
                <c:pt idx="2">
                  <c:v>10.06</c:v>
                </c:pt>
                <c:pt idx="3">
                  <c:v>7.33</c:v>
                </c:pt>
                <c:pt idx="4">
                  <c:v>7.06</c:v>
                </c:pt>
                <c:pt idx="5">
                  <c:v>3.91</c:v>
                </c:pt>
                <c:pt idx="6">
                  <c:v>3</c:v>
                </c:pt>
                <c:pt idx="7">
                  <c:v>1.63</c:v>
                </c:pt>
                <c:pt idx="8">
                  <c:v>0.8</c:v>
                </c:pt>
                <c:pt idx="9">
                  <c:v>0.8</c:v>
                </c:pt>
                <c:pt idx="10">
                  <c:v>0.5</c:v>
                </c:pt>
                <c:pt idx="11">
                  <c:v>0.49</c:v>
                </c:pt>
                <c:pt idx="12">
                  <c:v>0.21</c:v>
                </c:pt>
                <c:pt idx="13">
                  <c:v>0.13</c:v>
                </c:pt>
                <c:pt idx="14">
                  <c:v>7.0000000000000007E-2</c:v>
                </c:pt>
                <c:pt idx="15">
                  <c:v>0.19000000000004036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0A-4D10-9918-B111B06194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gapWidth val="100"/>
        <c:secondPieSize val="75"/>
        <c:serLines>
          <c:spPr>
            <a:ln w="9525" cap="flat" cmpd="sng" algn="ctr">
              <a:solidFill>
                <a:schemeClr val="tx1">
                  <a:lumMod val="35000"/>
                  <a:lumOff val="65000"/>
                </a:schemeClr>
              </a:solidFill>
              <a:round/>
            </a:ln>
            <a:effectLst/>
          </c:spPr>
        </c:serLines>
      </c:ofPie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Scatter!$D$4</c:f>
              <c:strCache>
                <c:ptCount val="1"/>
                <c:pt idx="0">
                  <c:v>Death rate due to Cirrhosis &amp; Alcoholism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layout/>
              <c:tx>
                <c:rich>
                  <a:bodyPr/>
                  <a:lstStyle/>
                  <a:p>
                    <a:fld id="{3A592F2B-051E-4BEB-B9C4-F27D22A1FCD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4F2B-4C7D-AC94-C2A8ABDD797A}"/>
                </c:ext>
              </c:extLst>
            </c:dLbl>
            <c:dLbl>
              <c:idx val="1"/>
              <c:layout/>
              <c:tx>
                <c:rich>
                  <a:bodyPr/>
                  <a:lstStyle/>
                  <a:p>
                    <a:fld id="{817B4D15-3FC5-46B8-B674-11D13626B4C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4F2B-4C7D-AC94-C2A8ABDD797A}"/>
                </c:ext>
              </c:extLst>
            </c:dLbl>
            <c:dLbl>
              <c:idx val="2"/>
              <c:layout/>
              <c:tx>
                <c:rich>
                  <a:bodyPr/>
                  <a:lstStyle/>
                  <a:p>
                    <a:fld id="{646C7A83-2463-4E75-947C-506CC2EA5F0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4F2B-4C7D-AC94-C2A8ABDD797A}"/>
                </c:ext>
              </c:extLst>
            </c:dLbl>
            <c:dLbl>
              <c:idx val="3"/>
              <c:layout/>
              <c:tx>
                <c:rich>
                  <a:bodyPr/>
                  <a:lstStyle/>
                  <a:p>
                    <a:fld id="{33CD37CC-5AE9-4774-9ECF-80FC2E8C9D6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4F2B-4C7D-AC94-C2A8ABDD797A}"/>
                </c:ext>
              </c:extLst>
            </c:dLbl>
            <c:dLbl>
              <c:idx val="4"/>
              <c:layout/>
              <c:tx>
                <c:rich>
                  <a:bodyPr/>
                  <a:lstStyle/>
                  <a:p>
                    <a:fld id="{8CB1A765-7E36-4CDE-BA27-C8F0C09F539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4F2B-4C7D-AC94-C2A8ABDD797A}"/>
                </c:ext>
              </c:extLst>
            </c:dLbl>
            <c:dLbl>
              <c:idx val="5"/>
              <c:layout/>
              <c:tx>
                <c:rich>
                  <a:bodyPr/>
                  <a:lstStyle/>
                  <a:p>
                    <a:fld id="{10822E54-4705-4BC3-A64D-1247580EDB3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4F2B-4C7D-AC94-C2A8ABDD797A}"/>
                </c:ext>
              </c:extLst>
            </c:dLbl>
            <c:dLbl>
              <c:idx val="6"/>
              <c:layout>
                <c:manualLayout>
                  <c:x val="-3.9748265160363906E-3"/>
                  <c:y val="-1.0084033613445379E-2"/>
                </c:manualLayout>
              </c:layout>
              <c:tx>
                <c:rich>
                  <a:bodyPr/>
                  <a:lstStyle/>
                  <a:p>
                    <a:fld id="{981F94A0-3F93-4796-8DD3-CF144AE9337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8-4F2B-4C7D-AC94-C2A8ABDD797A}"/>
                </c:ext>
              </c:extLst>
            </c:dLbl>
            <c:dLbl>
              <c:idx val="7"/>
              <c:layout>
                <c:manualLayout>
                  <c:x val="-7.9496530320727812E-3"/>
                  <c:y val="1.0084033613445256E-2"/>
                </c:manualLayout>
              </c:layout>
              <c:tx>
                <c:rich>
                  <a:bodyPr/>
                  <a:lstStyle/>
                  <a:p>
                    <a:fld id="{32786678-FEF5-4DCE-B386-22CC0B94982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4F2B-4C7D-AC94-C2A8ABDD797A}"/>
                </c:ext>
              </c:extLst>
            </c:dLbl>
            <c:dLbl>
              <c:idx val="8"/>
              <c:layout>
                <c:manualLayout>
                  <c:x val="-4.372309167640033E-2"/>
                  <c:y val="-2.3529411764706007E-2"/>
                </c:manualLayout>
              </c:layout>
              <c:tx>
                <c:rich>
                  <a:bodyPr/>
                  <a:lstStyle/>
                  <a:p>
                    <a:fld id="{2332A7A8-1CB2-4E07-B69A-0A49C9ACF1C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4F2B-4C7D-AC94-C2A8ABDD797A}"/>
                </c:ext>
              </c:extLst>
            </c:dLbl>
            <c:dLbl>
              <c:idx val="9"/>
              <c:layout>
                <c:manualLayout>
                  <c:x val="-4.5710504934418493E-2"/>
                  <c:y val="-3.3613445378151259E-2"/>
                </c:manualLayout>
              </c:layout>
              <c:tx>
                <c:rich>
                  <a:bodyPr/>
                  <a:lstStyle/>
                  <a:p>
                    <a:fld id="{C0AD8E8E-7052-4BA8-BFAE-16D3DA49F92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4F2B-4C7D-AC94-C2A8ABDD797A}"/>
                </c:ext>
              </c:extLst>
            </c:dLbl>
            <c:dLbl>
              <c:idx val="10"/>
              <c:layout>
                <c:manualLayout>
                  <c:x val="0"/>
                  <c:y val="-1.3445378151260628E-2"/>
                </c:manualLayout>
              </c:layout>
              <c:tx>
                <c:rich>
                  <a:bodyPr/>
                  <a:lstStyle/>
                  <a:p>
                    <a:fld id="{A8FD0443-7DEE-43C3-97C6-0284A71E351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4F2B-4C7D-AC94-C2A8ABDD797A}"/>
                </c:ext>
              </c:extLst>
            </c:dLbl>
            <c:dLbl>
              <c:idx val="11"/>
              <c:layout>
                <c:manualLayout>
                  <c:x val="-2.1861545838200148E-2"/>
                  <c:y val="2.689075630252101E-2"/>
                </c:manualLayout>
              </c:layout>
              <c:tx>
                <c:rich>
                  <a:bodyPr/>
                  <a:lstStyle/>
                  <a:p>
                    <a:fld id="{087E7A91-37E8-48C1-9703-F6B4F02DE98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4F2B-4C7D-AC94-C2A8ABDD797A}"/>
                </c:ext>
              </c:extLst>
            </c:dLbl>
            <c:dLbl>
              <c:idx val="12"/>
              <c:layout>
                <c:manualLayout>
                  <c:x val="-1.3911892806127367E-2"/>
                  <c:y val="-2.689075630252101E-2"/>
                </c:manualLayout>
              </c:layout>
              <c:tx>
                <c:rich>
                  <a:bodyPr/>
                  <a:lstStyle/>
                  <a:p>
                    <a:fld id="{0D5BE012-955B-45EF-BD36-1C3DEF188DD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4F2B-4C7D-AC94-C2A8ABDD797A}"/>
                </c:ext>
              </c:extLst>
            </c:dLbl>
            <c:dLbl>
              <c:idx val="13"/>
              <c:layout>
                <c:manualLayout>
                  <c:x val="-8.5458770094782421E-2"/>
                  <c:y val="2.0168067226890758E-2"/>
                </c:manualLayout>
              </c:layout>
              <c:tx>
                <c:rich>
                  <a:bodyPr/>
                  <a:lstStyle/>
                  <a:p>
                    <a:fld id="{08FEB5A5-6E64-4426-97A5-F405986B016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4F2B-4C7D-AC94-C2A8ABDD797A}"/>
                </c:ext>
              </c:extLst>
            </c:dLbl>
            <c:dLbl>
              <c:idx val="14"/>
              <c:layout>
                <c:manualLayout>
                  <c:x val="-6.9559464030636842E-2"/>
                  <c:y val="-4.0336134453781515E-2"/>
                </c:manualLayout>
              </c:layout>
              <c:tx>
                <c:rich>
                  <a:bodyPr/>
                  <a:lstStyle/>
                  <a:p>
                    <a:fld id="{C3030C90-9B2A-4B07-B141-2CBB25C945B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4F2B-4C7D-AC94-C2A8ABDD797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Scatter!$C$5:$C$19</c:f>
              <c:numCache>
                <c:formatCode>General</c:formatCode>
                <c:ptCount val="15"/>
                <c:pt idx="0">
                  <c:v>24.7</c:v>
                </c:pt>
                <c:pt idx="1">
                  <c:v>15.3</c:v>
                </c:pt>
                <c:pt idx="2">
                  <c:v>12.3</c:v>
                </c:pt>
                <c:pt idx="3">
                  <c:v>10.9</c:v>
                </c:pt>
                <c:pt idx="4">
                  <c:v>10.8</c:v>
                </c:pt>
                <c:pt idx="5">
                  <c:v>9.9</c:v>
                </c:pt>
                <c:pt idx="6">
                  <c:v>8.3000000000000007</c:v>
                </c:pt>
                <c:pt idx="7">
                  <c:v>7.2</c:v>
                </c:pt>
                <c:pt idx="8">
                  <c:v>6.6</c:v>
                </c:pt>
                <c:pt idx="9">
                  <c:v>5.8</c:v>
                </c:pt>
                <c:pt idx="10">
                  <c:v>5.7</c:v>
                </c:pt>
                <c:pt idx="11">
                  <c:v>5.6</c:v>
                </c:pt>
                <c:pt idx="12">
                  <c:v>4.2</c:v>
                </c:pt>
                <c:pt idx="13">
                  <c:v>3.9</c:v>
                </c:pt>
                <c:pt idx="14">
                  <c:v>3.1</c:v>
                </c:pt>
              </c:numCache>
            </c:numRef>
          </c:xVal>
          <c:yVal>
            <c:numRef>
              <c:f>Scatter!$D$5:$D$19</c:f>
              <c:numCache>
                <c:formatCode>General</c:formatCode>
                <c:ptCount val="15"/>
                <c:pt idx="0">
                  <c:v>46.1</c:v>
                </c:pt>
                <c:pt idx="1">
                  <c:v>23.6</c:v>
                </c:pt>
                <c:pt idx="2">
                  <c:v>23.7</c:v>
                </c:pt>
                <c:pt idx="3">
                  <c:v>7</c:v>
                </c:pt>
                <c:pt idx="4">
                  <c:v>12.3</c:v>
                </c:pt>
                <c:pt idx="5">
                  <c:v>14.2</c:v>
                </c:pt>
                <c:pt idx="6">
                  <c:v>7.4</c:v>
                </c:pt>
                <c:pt idx="7">
                  <c:v>3</c:v>
                </c:pt>
                <c:pt idx="8">
                  <c:v>7.2</c:v>
                </c:pt>
                <c:pt idx="9">
                  <c:v>10.6</c:v>
                </c:pt>
                <c:pt idx="10">
                  <c:v>3.7</c:v>
                </c:pt>
                <c:pt idx="11">
                  <c:v>3.4</c:v>
                </c:pt>
                <c:pt idx="12">
                  <c:v>4.3</c:v>
                </c:pt>
                <c:pt idx="13">
                  <c:v>3.6</c:v>
                </c:pt>
                <c:pt idx="14">
                  <c:v>5.4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Scatter!$B$5:$B$19</c15:f>
                <c15:dlblRangeCache>
                  <c:ptCount val="15"/>
                  <c:pt idx="0">
                    <c:v>France</c:v>
                  </c:pt>
                  <c:pt idx="1">
                    <c:v>Italy</c:v>
                  </c:pt>
                  <c:pt idx="2">
                    <c:v>Germany</c:v>
                  </c:pt>
                  <c:pt idx="3">
                    <c:v>Austria</c:v>
                  </c:pt>
                  <c:pt idx="4">
                    <c:v>Belgium</c:v>
                  </c:pt>
                  <c:pt idx="5">
                    <c:v>USA</c:v>
                  </c:pt>
                  <c:pt idx="6">
                    <c:v>Canada</c:v>
                  </c:pt>
                  <c:pt idx="7">
                    <c:v>England</c:v>
                  </c:pt>
                  <c:pt idx="8">
                    <c:v>Sweden</c:v>
                  </c:pt>
                  <c:pt idx="9">
                    <c:v>Japan</c:v>
                  </c:pt>
                  <c:pt idx="10">
                    <c:v>Netherlands</c:v>
                  </c:pt>
                  <c:pt idx="11">
                    <c:v>Ireland</c:v>
                  </c:pt>
                  <c:pt idx="12">
                    <c:v>Norway</c:v>
                  </c:pt>
                  <c:pt idx="13">
                    <c:v>Finland</c:v>
                  </c:pt>
                  <c:pt idx="14">
                    <c:v>Israel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77DD-495A-AB59-6837927421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98456432"/>
        <c:axId val="798463088"/>
      </c:scatterChart>
      <c:valAx>
        <c:axId val="7984564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Annual alcohol</a:t>
                </a:r>
                <a:r>
                  <a:rPr lang="en-US" baseline="0"/>
                  <a:t> consumption</a:t>
                </a:r>
                <a:endParaRPr 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8463088"/>
        <c:crosses val="autoZero"/>
        <c:crossBetween val="midCat"/>
      </c:valAx>
      <c:valAx>
        <c:axId val="798463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84564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Price v/s Days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1750" cap="rnd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val>
            <c:numRef>
              <c:f>'Every nth data point'!$B$8:$B$508</c:f>
              <c:numCache>
                <c:formatCode>#,##0</c:formatCode>
                <c:ptCount val="51"/>
                <c:pt idx="0">
                  <c:v>12000</c:v>
                </c:pt>
                <c:pt idx="1">
                  <c:v>12111</c:v>
                </c:pt>
                <c:pt idx="2">
                  <c:v>12245</c:v>
                </c:pt>
                <c:pt idx="3">
                  <c:v>12359</c:v>
                </c:pt>
                <c:pt idx="4">
                  <c:v>12453</c:v>
                </c:pt>
                <c:pt idx="5">
                  <c:v>12322</c:v>
                </c:pt>
                <c:pt idx="6">
                  <c:v>12262</c:v>
                </c:pt>
                <c:pt idx="7">
                  <c:v>12414</c:v>
                </c:pt>
                <c:pt idx="8">
                  <c:v>12216</c:v>
                </c:pt>
                <c:pt idx="9">
                  <c:v>12350</c:v>
                </c:pt>
                <c:pt idx="10">
                  <c:v>12148</c:v>
                </c:pt>
                <c:pt idx="11">
                  <c:v>12160</c:v>
                </c:pt>
                <c:pt idx="12">
                  <c:v>12046</c:v>
                </c:pt>
                <c:pt idx="13">
                  <c:v>12113</c:v>
                </c:pt>
                <c:pt idx="14">
                  <c:v>11939</c:v>
                </c:pt>
                <c:pt idx="15">
                  <c:v>11996</c:v>
                </c:pt>
                <c:pt idx="16">
                  <c:v>12007</c:v>
                </c:pt>
                <c:pt idx="17">
                  <c:v>11898</c:v>
                </c:pt>
                <c:pt idx="18">
                  <c:v>12023</c:v>
                </c:pt>
                <c:pt idx="19">
                  <c:v>11726</c:v>
                </c:pt>
                <c:pt idx="20">
                  <c:v>11769</c:v>
                </c:pt>
                <c:pt idx="21">
                  <c:v>11668</c:v>
                </c:pt>
                <c:pt idx="22">
                  <c:v>11702</c:v>
                </c:pt>
                <c:pt idx="23">
                  <c:v>11755</c:v>
                </c:pt>
                <c:pt idx="24">
                  <c:v>11765</c:v>
                </c:pt>
                <c:pt idx="25">
                  <c:v>11986</c:v>
                </c:pt>
                <c:pt idx="26">
                  <c:v>12170</c:v>
                </c:pt>
                <c:pt idx="27">
                  <c:v>12144</c:v>
                </c:pt>
                <c:pt idx="28">
                  <c:v>12189</c:v>
                </c:pt>
                <c:pt idx="29">
                  <c:v>12145</c:v>
                </c:pt>
                <c:pt idx="30">
                  <c:v>12284</c:v>
                </c:pt>
                <c:pt idx="31">
                  <c:v>12267</c:v>
                </c:pt>
                <c:pt idx="32">
                  <c:v>12393</c:v>
                </c:pt>
                <c:pt idx="33">
                  <c:v>12322</c:v>
                </c:pt>
                <c:pt idx="34">
                  <c:v>12468</c:v>
                </c:pt>
                <c:pt idx="35">
                  <c:v>12426</c:v>
                </c:pt>
                <c:pt idx="36">
                  <c:v>12574</c:v>
                </c:pt>
                <c:pt idx="37">
                  <c:v>12744</c:v>
                </c:pt>
                <c:pt idx="38">
                  <c:v>12737</c:v>
                </c:pt>
                <c:pt idx="39">
                  <c:v>12898</c:v>
                </c:pt>
                <c:pt idx="40">
                  <c:v>12845</c:v>
                </c:pt>
                <c:pt idx="41">
                  <c:v>12945</c:v>
                </c:pt>
                <c:pt idx="42">
                  <c:v>12936</c:v>
                </c:pt>
                <c:pt idx="43">
                  <c:v>12854</c:v>
                </c:pt>
                <c:pt idx="44">
                  <c:v>12893</c:v>
                </c:pt>
                <c:pt idx="45">
                  <c:v>13033</c:v>
                </c:pt>
                <c:pt idx="46">
                  <c:v>13053</c:v>
                </c:pt>
                <c:pt idx="47">
                  <c:v>13252</c:v>
                </c:pt>
                <c:pt idx="48">
                  <c:v>13409</c:v>
                </c:pt>
                <c:pt idx="49">
                  <c:v>13299</c:v>
                </c:pt>
                <c:pt idx="50">
                  <c:v>13436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EAA-43EC-B9DE-627BCAAB1A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10865280"/>
        <c:axId val="1910871104"/>
      </c:lineChart>
      <c:catAx>
        <c:axId val="1910865280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0871104"/>
        <c:crosses val="autoZero"/>
        <c:auto val="1"/>
        <c:lblAlgn val="ctr"/>
        <c:lblOffset val="100"/>
        <c:noMultiLvlLbl val="0"/>
      </c:catAx>
      <c:valAx>
        <c:axId val="1910871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08652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Histogram!$F$7</c:f>
              <c:strCache>
                <c:ptCount val="1"/>
                <c:pt idx="0">
                  <c:v>Frequency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Histogram!$E$8:$E$22</c:f>
              <c:strCache>
                <c:ptCount val="15"/>
                <c:pt idx="0">
                  <c:v>-0.3</c:v>
                </c:pt>
                <c:pt idx="1">
                  <c:v>-0.25</c:v>
                </c:pt>
                <c:pt idx="2">
                  <c:v>-0.2</c:v>
                </c:pt>
                <c:pt idx="3">
                  <c:v>-0.15</c:v>
                </c:pt>
                <c:pt idx="4">
                  <c:v>-0.1</c:v>
                </c:pt>
                <c:pt idx="5">
                  <c:v>-0.05</c:v>
                </c:pt>
                <c:pt idx="6">
                  <c:v>0</c:v>
                </c:pt>
                <c:pt idx="7">
                  <c:v>0.05</c:v>
                </c:pt>
                <c:pt idx="8">
                  <c:v>0.1</c:v>
                </c:pt>
                <c:pt idx="9">
                  <c:v>0.15</c:v>
                </c:pt>
                <c:pt idx="10">
                  <c:v>0.2</c:v>
                </c:pt>
                <c:pt idx="11">
                  <c:v>0.25</c:v>
                </c:pt>
                <c:pt idx="12">
                  <c:v>0.3</c:v>
                </c:pt>
                <c:pt idx="13">
                  <c:v>0.35</c:v>
                </c:pt>
                <c:pt idx="14">
                  <c:v>&gt;0.35</c:v>
                </c:pt>
              </c:strCache>
            </c:strRef>
          </c:cat>
          <c:val>
            <c:numRef>
              <c:f>Histogram!$F$8:$F$22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5</c:v>
                </c:pt>
                <c:pt idx="4">
                  <c:v>3</c:v>
                </c:pt>
                <c:pt idx="5">
                  <c:v>21</c:v>
                </c:pt>
                <c:pt idx="6">
                  <c:v>38</c:v>
                </c:pt>
                <c:pt idx="7">
                  <c:v>21</c:v>
                </c:pt>
                <c:pt idx="8">
                  <c:v>16</c:v>
                </c:pt>
                <c:pt idx="9">
                  <c:v>18</c:v>
                </c:pt>
                <c:pt idx="10">
                  <c:v>4</c:v>
                </c:pt>
                <c:pt idx="11">
                  <c:v>1</c:v>
                </c:pt>
                <c:pt idx="12">
                  <c:v>2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6A-4E95-A2C7-9F928BF865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35739296"/>
        <c:axId val="2135741376"/>
      </c:barChart>
      <c:catAx>
        <c:axId val="2135739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5741376"/>
        <c:crosses val="autoZero"/>
        <c:auto val="1"/>
        <c:lblAlgn val="ctr"/>
        <c:lblOffset val="100"/>
        <c:noMultiLvlLbl val="0"/>
      </c:catAx>
      <c:valAx>
        <c:axId val="2135741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573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50000"/>
            <a:lumOff val="50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4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31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714374</xdr:colOff>
      <xdr:row>4</xdr:row>
      <xdr:rowOff>9524</xdr:rowOff>
    </xdr:from>
    <xdr:to>
      <xdr:col>15</xdr:col>
      <xdr:colOff>19049</xdr:colOff>
      <xdr:row>18</xdr:row>
      <xdr:rowOff>190499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257175</xdr:colOff>
      <xdr:row>4</xdr:row>
      <xdr:rowOff>19050</xdr:rowOff>
    </xdr:from>
    <xdr:to>
      <xdr:col>21</xdr:col>
      <xdr:colOff>542925</xdr:colOff>
      <xdr:row>18</xdr:row>
      <xdr:rowOff>95250</xdr:rowOff>
    </xdr:to>
    <xdr:graphicFrame macro="">
      <xdr:nvGraphicFramePr>
        <xdr:cNvPr id="10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22</xdr:col>
      <xdr:colOff>95250</xdr:colOff>
      <xdr:row>4</xdr:row>
      <xdr:rowOff>19050</xdr:rowOff>
    </xdr:from>
    <xdr:to>
      <xdr:col>28</xdr:col>
      <xdr:colOff>381000</xdr:colOff>
      <xdr:row>18</xdr:row>
      <xdr:rowOff>95250</xdr:rowOff>
    </xdr:to>
    <xdr:graphicFrame macro="">
      <xdr:nvGraphicFramePr>
        <xdr:cNvPr id="11" name="Chart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323850</xdr:colOff>
      <xdr:row>14</xdr:row>
      <xdr:rowOff>142875</xdr:rowOff>
    </xdr:from>
    <xdr:ext cx="6314088" cy="482651"/>
    <xdr:sp macro="" textlink="" fLocksText="0">
      <xdr:nvSpPr>
        <xdr:cNvPr id="2049" name="TextBox 5"/>
        <xdr:cNvSpPr>
          <a:spLocks noChangeArrowheads="1"/>
        </xdr:cNvSpPr>
      </xdr:nvSpPr>
      <xdr:spPr bwMode="auto">
        <a:xfrm>
          <a:off x="323850" y="2823482"/>
          <a:ext cx="6256947" cy="435332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  <a:effectLst/>
      </xdr:spPr>
      <xdr:txBody>
        <a:bodyPr wrap="none" lIns="90000" tIns="45000" rIns="90000" bIns="45000" anchor="t" upright="1">
          <a:spAutoFit/>
        </a:bodyPr>
        <a:lstStyle/>
        <a:p>
          <a:pPr algn="l" rtl="0">
            <a:defRPr sz="1000"/>
          </a:pPr>
          <a:r>
            <a:rPr lang="en-IN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In case of a Horizontal bar chart, the negative data is represented by a bar facing left.</a:t>
          </a:r>
        </a:p>
        <a:p>
          <a:pPr algn="l" rtl="0">
            <a:defRPr sz="1000"/>
          </a:pPr>
          <a:r>
            <a:rPr lang="en-IN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So by making the Female data negative we can see a clear comparison between the corresponding values.</a:t>
          </a:r>
        </a:p>
      </xdr:txBody>
    </xdr:sp>
    <xdr:clientData/>
  </xdr:oneCellAnchor>
  <xdr:twoCellAnchor>
    <xdr:from>
      <xdr:col>10</xdr:col>
      <xdr:colOff>95250</xdr:colOff>
      <xdr:row>3</xdr:row>
      <xdr:rowOff>171450</xdr:rowOff>
    </xdr:from>
    <xdr:to>
      <xdr:col>16</xdr:col>
      <xdr:colOff>381000</xdr:colOff>
      <xdr:row>18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161925</xdr:colOff>
      <xdr:row>0</xdr:row>
      <xdr:rowOff>171450</xdr:rowOff>
    </xdr:from>
    <xdr:to>
      <xdr:col>9</xdr:col>
      <xdr:colOff>762000</xdr:colOff>
      <xdr:row>17</xdr:row>
      <xdr:rowOff>104775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180975</xdr:colOff>
      <xdr:row>18</xdr:row>
      <xdr:rowOff>133350</xdr:rowOff>
    </xdr:from>
    <xdr:to>
      <xdr:col>10</xdr:col>
      <xdr:colOff>9525</xdr:colOff>
      <xdr:row>35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19</xdr:row>
      <xdr:rowOff>180975</xdr:rowOff>
    </xdr:from>
    <xdr:ext cx="6064522" cy="255283"/>
    <xdr:sp macro="" textlink="" fLocksText="0">
      <xdr:nvSpPr>
        <xdr:cNvPr id="6145" name="TextBox 3"/>
        <xdr:cNvSpPr>
          <a:spLocks noChangeArrowheads="1"/>
        </xdr:cNvSpPr>
      </xdr:nvSpPr>
      <xdr:spPr bwMode="auto">
        <a:xfrm>
          <a:off x="114300" y="4533900"/>
          <a:ext cx="6064522" cy="255283"/>
        </a:xfrm>
        <a:prstGeom prst="rect">
          <a:avLst/>
        </a:prstGeom>
        <a:noFill/>
        <a:ln w="9525">
          <a:noFill/>
          <a:round/>
          <a:headEnd/>
          <a:tailEnd/>
        </a:ln>
        <a:effectLst/>
      </xdr:spPr>
      <xdr:txBody>
        <a:bodyPr wrap="none" lIns="90000" tIns="45000" rIns="90000" bIns="45000" anchor="t" upright="1">
          <a:spAutoFit/>
        </a:bodyPr>
        <a:lstStyle/>
        <a:p>
          <a:pPr algn="l" rtl="0">
            <a:defRPr sz="1000"/>
          </a:pPr>
          <a:r>
            <a:rPr lang="en-IN" sz="1050" b="1" i="0" u="none" strike="noStrike" baseline="0">
              <a:solidFill>
                <a:srgbClr val="000000"/>
              </a:solidFill>
              <a:latin typeface="Calibri"/>
              <a:cs typeface="Calibri"/>
            </a:rPr>
            <a:t>Osborn, J.F. (1979) Statistical exercises in medical research. Blackwell Scientific Publications, Oxford. p44.</a:t>
          </a:r>
        </a:p>
      </xdr:txBody>
    </xdr:sp>
    <xdr:clientData/>
  </xdr:oneCellAnchor>
  <xdr:twoCellAnchor>
    <xdr:from>
      <xdr:col>4</xdr:col>
      <xdr:colOff>333375</xdr:colOff>
      <xdr:row>2</xdr:row>
      <xdr:rowOff>180974</xdr:rowOff>
    </xdr:from>
    <xdr:to>
      <xdr:col>12</xdr:col>
      <xdr:colOff>542925</xdr:colOff>
      <xdr:row>18</xdr:row>
      <xdr:rowOff>180974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6</xdr:row>
      <xdr:rowOff>180975</xdr:rowOff>
    </xdr:from>
    <xdr:to>
      <xdr:col>10</xdr:col>
      <xdr:colOff>285750</xdr:colOff>
      <xdr:row>127</xdr:row>
      <xdr:rowOff>19050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581025</xdr:colOff>
      <xdr:row>24</xdr:row>
      <xdr:rowOff>114300</xdr:rowOff>
    </xdr:from>
    <xdr:to>
      <xdr:col>8</xdr:col>
      <xdr:colOff>895350</xdr:colOff>
      <xdr:row>38</xdr:row>
      <xdr:rowOff>57150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790575</xdr:colOff>
      <xdr:row>21</xdr:row>
      <xdr:rowOff>152400</xdr:rowOff>
    </xdr:from>
    <xdr:to>
      <xdr:col>5</xdr:col>
      <xdr:colOff>95250</xdr:colOff>
      <xdr:row>26</xdr:row>
      <xdr:rowOff>171450</xdr:rowOff>
    </xdr:to>
    <xdr:cxnSp macro="">
      <xdr:nvCxnSpPr>
        <xdr:cNvPr id="5" name="Straight Arrow Connector 4"/>
        <xdr:cNvCxnSpPr/>
      </xdr:nvCxnSpPr>
      <xdr:spPr bwMode="auto">
        <a:xfrm>
          <a:off x="4505325" y="4467225"/>
          <a:ext cx="123825" cy="1019175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triangle"/>
        </a:ln>
        <a:effectLst/>
      </xdr:spPr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R24"/>
  <sheetViews>
    <sheetView topLeftCell="A4" zoomScaleNormal="100" workbookViewId="0">
      <selection activeCell="A26" sqref="A26"/>
    </sheetView>
  </sheetViews>
  <sheetFormatPr defaultColWidth="10.7109375" defaultRowHeight="15" x14ac:dyDescent="0.25"/>
  <cols>
    <col min="1" max="1" width="6.85546875" style="1" customWidth="1"/>
    <col min="2" max="16384" width="10.7109375" style="1"/>
  </cols>
  <sheetData>
    <row r="2" spans="1:15" ht="15.75" x14ac:dyDescent="0.25">
      <c r="B2" s="2" t="s">
        <v>0</v>
      </c>
    </row>
    <row r="3" spans="1:15" ht="15.75" x14ac:dyDescent="0.25">
      <c r="B3" s="2" t="s">
        <v>1</v>
      </c>
    </row>
    <row r="4" spans="1:15" x14ac:dyDescent="0.25">
      <c r="H4" s="55"/>
      <c r="I4" s="55"/>
      <c r="J4" s="55"/>
      <c r="K4" s="55"/>
      <c r="L4" s="55"/>
      <c r="M4" s="55"/>
      <c r="N4" s="55"/>
      <c r="O4" s="55"/>
    </row>
    <row r="5" spans="1:15" x14ac:dyDescent="0.25">
      <c r="A5" s="65"/>
      <c r="B5" s="63" t="s">
        <v>2</v>
      </c>
      <c r="C5" s="59" t="s">
        <v>3</v>
      </c>
      <c r="D5" s="59" t="s">
        <v>4</v>
      </c>
      <c r="E5" s="60" t="s">
        <v>5</v>
      </c>
      <c r="F5" s="59" t="s">
        <v>6</v>
      </c>
      <c r="G5" s="59" t="s">
        <v>7</v>
      </c>
      <c r="H5" s="55"/>
      <c r="I5" s="56"/>
      <c r="J5" s="56"/>
      <c r="K5" s="56"/>
      <c r="L5" s="57"/>
      <c r="M5" s="56"/>
      <c r="N5" s="56"/>
      <c r="O5" s="55"/>
    </row>
    <row r="6" spans="1:15" x14ac:dyDescent="0.25">
      <c r="A6" s="66"/>
      <c r="B6" s="64" t="s">
        <v>8</v>
      </c>
      <c r="C6" s="61">
        <v>12</v>
      </c>
      <c r="D6" s="61"/>
      <c r="E6" s="61">
        <v>12</v>
      </c>
      <c r="F6" s="61"/>
      <c r="G6" s="61"/>
      <c r="H6" s="55"/>
      <c r="I6" s="58"/>
      <c r="J6" s="58"/>
      <c r="K6" s="58"/>
      <c r="L6" s="58"/>
      <c r="M6" s="58"/>
      <c r="N6" s="58"/>
      <c r="O6" s="55"/>
    </row>
    <row r="7" spans="1:15" x14ac:dyDescent="0.25">
      <c r="A7" s="66"/>
      <c r="B7" s="64" t="s">
        <v>9</v>
      </c>
      <c r="C7" s="61">
        <v>-20</v>
      </c>
      <c r="D7" s="61">
        <v>-20</v>
      </c>
      <c r="E7" s="61"/>
      <c r="F7" s="61"/>
      <c r="G7" s="61"/>
      <c r="H7" s="55"/>
      <c r="I7" s="58"/>
      <c r="J7" s="58"/>
      <c r="K7" s="58"/>
      <c r="L7" s="58"/>
      <c r="M7" s="58"/>
      <c r="N7" s="58"/>
      <c r="O7" s="55"/>
    </row>
    <row r="8" spans="1:15" x14ac:dyDescent="0.25">
      <c r="A8" s="66"/>
      <c r="B8" s="64" t="s">
        <v>10</v>
      </c>
      <c r="C8" s="61">
        <v>15</v>
      </c>
      <c r="D8" s="61"/>
      <c r="E8" s="61">
        <v>15</v>
      </c>
      <c r="F8" s="61"/>
      <c r="G8" s="61"/>
      <c r="H8" s="55"/>
      <c r="I8" s="58"/>
      <c r="J8" s="58"/>
      <c r="K8" s="58"/>
      <c r="L8" s="58"/>
      <c r="M8" s="58"/>
      <c r="N8" s="58"/>
      <c r="O8" s="55"/>
    </row>
    <row r="9" spans="1:15" x14ac:dyDescent="0.25">
      <c r="A9" s="66"/>
      <c r="B9" s="64" t="s">
        <v>11</v>
      </c>
      <c r="C9" s="61">
        <v>22</v>
      </c>
      <c r="D9" s="61"/>
      <c r="E9" s="61">
        <v>22</v>
      </c>
      <c r="F9" s="61"/>
      <c r="G9" s="61"/>
      <c r="H9" s="55"/>
      <c r="I9" s="58"/>
      <c r="J9" s="58"/>
      <c r="K9" s="58"/>
      <c r="L9" s="58"/>
      <c r="M9" s="58"/>
      <c r="N9" s="58"/>
      <c r="O9" s="55"/>
    </row>
    <row r="10" spans="1:15" x14ac:dyDescent="0.25">
      <c r="A10" s="66"/>
      <c r="B10" s="64" t="s">
        <v>12</v>
      </c>
      <c r="C10" s="61">
        <v>32</v>
      </c>
      <c r="D10" s="61"/>
      <c r="E10" s="61">
        <v>32</v>
      </c>
      <c r="F10" s="61"/>
      <c r="G10" s="61"/>
      <c r="H10" s="55"/>
      <c r="I10" s="58"/>
      <c r="J10" s="58"/>
      <c r="K10" s="58"/>
      <c r="L10" s="58"/>
      <c r="M10" s="58"/>
      <c r="N10" s="58"/>
      <c r="O10" s="55"/>
    </row>
    <row r="11" spans="1:15" x14ac:dyDescent="0.25">
      <c r="A11" s="66"/>
      <c r="B11" s="64" t="s">
        <v>13</v>
      </c>
      <c r="C11" s="61">
        <v>56</v>
      </c>
      <c r="D11" s="61"/>
      <c r="E11" s="61"/>
      <c r="F11" s="61">
        <v>56</v>
      </c>
      <c r="G11" s="61"/>
      <c r="H11" s="55"/>
      <c r="I11" s="58"/>
      <c r="J11" s="58"/>
      <c r="K11" s="58"/>
      <c r="L11" s="58"/>
      <c r="M11" s="58"/>
      <c r="N11" s="58"/>
      <c r="O11" s="55"/>
    </row>
    <row r="12" spans="1:15" x14ac:dyDescent="0.25">
      <c r="A12" s="66"/>
      <c r="B12" s="64" t="s">
        <v>14</v>
      </c>
      <c r="C12" s="61">
        <v>84</v>
      </c>
      <c r="D12" s="61"/>
      <c r="E12" s="61"/>
      <c r="F12" s="61"/>
      <c r="G12" s="61">
        <v>84</v>
      </c>
      <c r="H12" s="55"/>
      <c r="I12" s="58"/>
      <c r="J12" s="58"/>
      <c r="K12" s="58"/>
      <c r="L12" s="58"/>
      <c r="M12" s="58"/>
      <c r="N12" s="58"/>
      <c r="O12" s="55"/>
    </row>
    <row r="13" spans="1:15" x14ac:dyDescent="0.25">
      <c r="A13" s="66"/>
      <c r="B13" s="64" t="s">
        <v>15</v>
      </c>
      <c r="C13" s="61">
        <v>74</v>
      </c>
      <c r="D13" s="61"/>
      <c r="E13" s="61"/>
      <c r="F13" s="61"/>
      <c r="G13" s="61">
        <v>74</v>
      </c>
      <c r="H13" s="55"/>
      <c r="I13" s="58"/>
      <c r="J13" s="58"/>
      <c r="K13" s="58"/>
      <c r="L13" s="58"/>
      <c r="M13" s="58"/>
      <c r="N13" s="58"/>
      <c r="O13" s="55"/>
    </row>
    <row r="14" spans="1:15" x14ac:dyDescent="0.25">
      <c r="A14" s="66"/>
      <c r="B14" s="64" t="s">
        <v>16</v>
      </c>
      <c r="C14" s="61">
        <v>54</v>
      </c>
      <c r="D14" s="61"/>
      <c r="E14" s="61"/>
      <c r="F14" s="61">
        <v>54</v>
      </c>
      <c r="G14" s="61"/>
      <c r="H14" s="55"/>
      <c r="I14" s="58"/>
      <c r="J14" s="58"/>
      <c r="K14" s="58"/>
      <c r="L14" s="58"/>
      <c r="M14" s="58"/>
      <c r="N14" s="58"/>
      <c r="O14" s="55"/>
    </row>
    <row r="15" spans="1:15" x14ac:dyDescent="0.25">
      <c r="A15" s="66"/>
      <c r="B15" s="64" t="s">
        <v>17</v>
      </c>
      <c r="C15" s="61">
        <v>21</v>
      </c>
      <c r="D15" s="61"/>
      <c r="E15" s="61">
        <v>21</v>
      </c>
      <c r="F15" s="61"/>
      <c r="G15" s="61"/>
      <c r="H15" s="55"/>
      <c r="I15" s="58"/>
      <c r="J15" s="58"/>
      <c r="K15" s="58"/>
      <c r="L15" s="58"/>
      <c r="M15" s="58"/>
      <c r="N15" s="58"/>
      <c r="O15" s="55"/>
    </row>
    <row r="16" spans="1:15" x14ac:dyDescent="0.25">
      <c r="A16" s="66"/>
      <c r="B16" s="64" t="s">
        <v>18</v>
      </c>
      <c r="C16" s="61">
        <v>12</v>
      </c>
      <c r="D16" s="61"/>
      <c r="E16" s="61">
        <v>12</v>
      </c>
      <c r="F16" s="61"/>
      <c r="G16" s="61"/>
      <c r="H16" s="55"/>
      <c r="I16" s="58"/>
      <c r="J16" s="58"/>
      <c r="K16" s="58"/>
      <c r="L16" s="58"/>
      <c r="M16" s="58"/>
      <c r="N16" s="58"/>
      <c r="O16" s="55"/>
    </row>
    <row r="17" spans="1:18" x14ac:dyDescent="0.25">
      <c r="A17" s="66"/>
      <c r="B17" s="64" t="s">
        <v>19</v>
      </c>
      <c r="C17" s="61">
        <v>-31</v>
      </c>
      <c r="D17" s="61">
        <v>-31</v>
      </c>
      <c r="E17" s="61"/>
      <c r="F17" s="61"/>
      <c r="G17" s="61"/>
      <c r="H17" s="55"/>
      <c r="I17" s="58"/>
      <c r="J17" s="58"/>
      <c r="K17" s="58"/>
      <c r="L17" s="58"/>
      <c r="M17" s="58"/>
      <c r="N17" s="58"/>
      <c r="O17" s="55"/>
    </row>
    <row r="18" spans="1:18" x14ac:dyDescent="0.25">
      <c r="H18" s="55"/>
      <c r="I18" s="55"/>
      <c r="J18" s="55"/>
      <c r="K18" s="55"/>
      <c r="L18" s="55"/>
      <c r="M18" s="55"/>
      <c r="N18" s="55"/>
      <c r="O18" s="55"/>
    </row>
    <row r="19" spans="1:18" x14ac:dyDescent="0.25">
      <c r="H19" s="55"/>
      <c r="I19" s="55"/>
      <c r="J19" s="55"/>
      <c r="K19" s="55"/>
      <c r="L19" s="55"/>
      <c r="M19" s="55"/>
      <c r="N19" s="55"/>
      <c r="O19" s="55"/>
    </row>
    <row r="21" spans="1:18" x14ac:dyDescent="0.25">
      <c r="I21" s="80" t="s">
        <v>79</v>
      </c>
      <c r="J21" s="80"/>
      <c r="K21" s="80"/>
      <c r="L21" s="80"/>
      <c r="M21" s="80"/>
      <c r="N21" s="80"/>
      <c r="O21" s="80"/>
      <c r="P21" s="80"/>
      <c r="Q21" s="80"/>
      <c r="R21" s="80"/>
    </row>
    <row r="22" spans="1:18" x14ac:dyDescent="0.25">
      <c r="I22" s="80" t="s">
        <v>81</v>
      </c>
      <c r="J22" s="80"/>
      <c r="K22" s="80"/>
      <c r="L22" s="80"/>
      <c r="M22" s="80"/>
      <c r="N22" s="80"/>
      <c r="O22" s="80"/>
      <c r="P22" s="80"/>
      <c r="Q22" s="80"/>
      <c r="R22" s="80"/>
    </row>
    <row r="23" spans="1:18" x14ac:dyDescent="0.25">
      <c r="I23" s="80" t="s">
        <v>80</v>
      </c>
      <c r="J23" s="80"/>
      <c r="K23" s="80"/>
      <c r="L23" s="80"/>
      <c r="M23" s="80"/>
      <c r="N23" s="80"/>
      <c r="O23" s="80"/>
      <c r="P23" s="80"/>
      <c r="Q23" s="80"/>
      <c r="R23" s="80"/>
    </row>
    <row r="24" spans="1:18" x14ac:dyDescent="0.25">
      <c r="I24" s="80" t="s">
        <v>82</v>
      </c>
      <c r="J24" s="80"/>
      <c r="K24" s="80"/>
      <c r="L24" s="80"/>
      <c r="M24" s="80"/>
      <c r="N24" s="80"/>
      <c r="O24" s="80"/>
      <c r="P24" s="80"/>
      <c r="Q24" s="80"/>
      <c r="R24" s="80"/>
    </row>
  </sheetData>
  <mergeCells count="4">
    <mergeCell ref="I21:R21"/>
    <mergeCell ref="I22:R22"/>
    <mergeCell ref="I23:R23"/>
    <mergeCell ref="I24:R24"/>
  </mergeCells>
  <pageMargins left="0.7" right="0.7" top="0.75" bottom="0.75" header="0.51180555555555551" footer="0.51180555555555551"/>
  <pageSetup firstPageNumber="0" orientation="portrait" horizontalDpi="300" verticalDpi="300"/>
  <headerFooter alignWithMargins="0"/>
  <ignoredErrors>
    <ignoredError sqref="E5" twoDigitTextYear="1"/>
  </ignoredError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13"/>
  <sheetViews>
    <sheetView zoomScaleNormal="100" workbookViewId="0">
      <selection activeCell="L23" sqref="L23"/>
    </sheetView>
  </sheetViews>
  <sheetFormatPr defaultColWidth="10.7109375" defaultRowHeight="15" x14ac:dyDescent="0.25"/>
  <cols>
    <col min="1" max="1" width="6.140625" style="1" customWidth="1"/>
    <col min="2" max="2" width="13" style="1" customWidth="1"/>
    <col min="3" max="3" width="9.85546875" style="1" customWidth="1"/>
    <col min="4" max="4" width="9" style="1" customWidth="1"/>
    <col min="5" max="16384" width="10.7109375" style="1"/>
  </cols>
  <sheetData>
    <row r="2" spans="2:4" ht="15.75" x14ac:dyDescent="0.25">
      <c r="B2" s="2" t="s">
        <v>20</v>
      </c>
    </row>
    <row r="3" spans="2:4" ht="15.75" x14ac:dyDescent="0.25">
      <c r="B3" s="2" t="s">
        <v>21</v>
      </c>
    </row>
    <row r="5" spans="2:4" x14ac:dyDescent="0.25">
      <c r="B5" s="4" t="s">
        <v>22</v>
      </c>
      <c r="C5" s="4" t="s">
        <v>23</v>
      </c>
      <c r="D5" s="4" t="s">
        <v>24</v>
      </c>
    </row>
    <row r="6" spans="2:4" x14ac:dyDescent="0.25">
      <c r="B6" s="3" t="s">
        <v>25</v>
      </c>
      <c r="C6" s="5">
        <v>-0.1</v>
      </c>
      <c r="D6" s="5">
        <v>0.03</v>
      </c>
    </row>
    <row r="7" spans="2:4" x14ac:dyDescent="0.25">
      <c r="B7" s="3" t="s">
        <v>26</v>
      </c>
      <c r="C7" s="5">
        <v>-0.23</v>
      </c>
      <c r="D7" s="5">
        <v>0.12</v>
      </c>
    </row>
    <row r="8" spans="2:4" x14ac:dyDescent="0.25">
      <c r="B8" s="3" t="s">
        <v>27</v>
      </c>
      <c r="C8" s="5">
        <v>-0.32</v>
      </c>
      <c r="D8" s="5">
        <v>0.2</v>
      </c>
    </row>
    <row r="9" spans="2:4" x14ac:dyDescent="0.25">
      <c r="B9" s="3" t="s">
        <v>28</v>
      </c>
      <c r="C9" s="5">
        <v>-0.18</v>
      </c>
      <c r="D9" s="5">
        <v>0.28999999999999998</v>
      </c>
    </row>
    <row r="10" spans="2:4" x14ac:dyDescent="0.25">
      <c r="B10" s="3" t="s">
        <v>29</v>
      </c>
      <c r="C10" s="5">
        <v>-0.14000000000000001</v>
      </c>
      <c r="D10" s="5">
        <v>0.25</v>
      </c>
    </row>
    <row r="11" spans="2:4" x14ac:dyDescent="0.25">
      <c r="B11" s="3" t="s">
        <v>30</v>
      </c>
      <c r="C11" s="5">
        <v>-0.02</v>
      </c>
      <c r="D11" s="5">
        <v>0.06</v>
      </c>
    </row>
    <row r="12" spans="2:4" x14ac:dyDescent="0.25">
      <c r="B12" s="3" t="s">
        <v>31</v>
      </c>
      <c r="C12" s="5">
        <v>-0.01</v>
      </c>
      <c r="D12" s="5">
        <v>0.05</v>
      </c>
    </row>
    <row r="13" spans="2:4" x14ac:dyDescent="0.25">
      <c r="C13" s="6">
        <f>SUM(C6:C12)</f>
        <v>-1</v>
      </c>
      <c r="D13" s="6">
        <f>SUM(D6:D12)</f>
        <v>1</v>
      </c>
    </row>
  </sheetData>
  <pageMargins left="0.7" right="0.7" top="0.75" bottom="0.75" header="0.51180555555555551" footer="0.51180555555555551"/>
  <pageSetup firstPageNumber="0" orientation="portrait" horizontalDpi="300" verticalDpi="300"/>
  <headerFooter alignWithMargins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9"/>
  <sheetViews>
    <sheetView zoomScaleNormal="100" workbookViewId="0">
      <selection activeCell="D34" sqref="D34"/>
    </sheetView>
  </sheetViews>
  <sheetFormatPr defaultColWidth="11.5703125" defaultRowHeight="12.75" x14ac:dyDescent="0.2"/>
  <cols>
    <col min="1" max="1" width="10.42578125" style="12" customWidth="1"/>
    <col min="2" max="2" width="20.7109375" style="12" customWidth="1"/>
    <col min="3" max="3" width="45.28515625" style="12" customWidth="1"/>
    <col min="4" max="6" width="11.5703125" style="12"/>
    <col min="7" max="7" width="13.28515625" style="12" customWidth="1"/>
    <col min="8" max="11" width="11.5703125" style="12"/>
    <col min="12" max="12" width="30.140625" style="12" customWidth="1"/>
    <col min="13" max="13" width="13.28515625" style="12" customWidth="1"/>
    <col min="14" max="14" width="7" style="12" customWidth="1"/>
    <col min="15" max="15" width="18" style="12" customWidth="1"/>
    <col min="16" max="16384" width="11.5703125" style="12"/>
  </cols>
  <sheetData>
    <row r="1" spans="1:15" ht="15" x14ac:dyDescent="0.25">
      <c r="A1" s="13"/>
    </row>
    <row r="2" spans="1:15" ht="20.25" thickBot="1" x14ac:dyDescent="0.35">
      <c r="B2" s="82" t="s">
        <v>36</v>
      </c>
      <c r="C2" s="82"/>
    </row>
    <row r="3" spans="1:15" ht="13.5" thickTop="1" x14ac:dyDescent="0.2">
      <c r="B3" s="14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6"/>
    </row>
    <row r="4" spans="1:15" ht="15" x14ac:dyDescent="0.25">
      <c r="B4" s="17" t="s">
        <v>37</v>
      </c>
      <c r="C4" s="18" t="s">
        <v>38</v>
      </c>
      <c r="D4" s="16"/>
      <c r="E4" s="16"/>
      <c r="F4" s="16"/>
      <c r="G4" s="16"/>
      <c r="H4" s="15"/>
      <c r="I4" s="16"/>
      <c r="J4" s="16"/>
      <c r="K4" s="16"/>
      <c r="L4" s="16"/>
      <c r="M4" s="16"/>
      <c r="N4" s="15"/>
      <c r="O4" s="16"/>
    </row>
    <row r="5" spans="1:15" x14ac:dyDescent="0.2">
      <c r="B5" s="19" t="s">
        <v>39</v>
      </c>
      <c r="C5" s="20">
        <v>25.03</v>
      </c>
      <c r="D5" s="21"/>
      <c r="E5" s="14"/>
      <c r="F5" s="21"/>
      <c r="G5" s="21"/>
      <c r="H5" s="22"/>
      <c r="I5" s="21"/>
      <c r="J5" s="21"/>
      <c r="K5" s="21"/>
      <c r="L5" s="21"/>
      <c r="M5" s="21"/>
      <c r="N5" s="22"/>
      <c r="O5" s="23"/>
    </row>
    <row r="6" spans="1:15" x14ac:dyDescent="0.2">
      <c r="B6" s="19" t="s">
        <v>40</v>
      </c>
      <c r="C6" s="24">
        <v>14.6</v>
      </c>
      <c r="D6" s="21"/>
      <c r="E6" s="14"/>
      <c r="F6" s="21"/>
      <c r="G6" s="21"/>
      <c r="H6" s="22"/>
      <c r="I6" s="21"/>
      <c r="J6" s="21"/>
      <c r="K6" s="21"/>
      <c r="L6" s="21"/>
      <c r="M6" s="21"/>
      <c r="N6" s="22"/>
      <c r="O6" s="23"/>
    </row>
    <row r="7" spans="1:15" x14ac:dyDescent="0.2">
      <c r="B7" s="19" t="s">
        <v>41</v>
      </c>
      <c r="C7" s="24">
        <v>10.06</v>
      </c>
      <c r="D7" s="21"/>
      <c r="E7" s="14"/>
      <c r="F7" s="21"/>
      <c r="G7" s="21"/>
      <c r="H7" s="22"/>
      <c r="I7" s="21"/>
      <c r="J7" s="21"/>
      <c r="K7" s="21"/>
      <c r="L7" s="21"/>
      <c r="M7" s="21"/>
      <c r="N7" s="22"/>
      <c r="O7" s="23"/>
    </row>
    <row r="8" spans="1:15" x14ac:dyDescent="0.2">
      <c r="B8" s="19" t="s">
        <v>42</v>
      </c>
      <c r="C8" s="24">
        <v>7.33</v>
      </c>
      <c r="D8" s="21"/>
      <c r="E8" s="14"/>
      <c r="F8" s="21"/>
      <c r="G8" s="21"/>
      <c r="H8" s="22"/>
      <c r="I8" s="21"/>
      <c r="J8" s="21"/>
      <c r="K8" s="21"/>
      <c r="L8" s="21"/>
      <c r="M8" s="21"/>
      <c r="N8" s="22"/>
      <c r="O8" s="23"/>
    </row>
    <row r="9" spans="1:15" x14ac:dyDescent="0.2">
      <c r="B9" s="19" t="s">
        <v>43</v>
      </c>
      <c r="C9" s="24">
        <v>7.06</v>
      </c>
      <c r="D9" s="21"/>
      <c r="E9" s="14"/>
      <c r="F9" s="21"/>
      <c r="G9" s="21"/>
      <c r="H9" s="22"/>
      <c r="I9" s="21"/>
      <c r="J9" s="21"/>
      <c r="K9" s="21"/>
      <c r="L9" s="21"/>
      <c r="M9" s="21"/>
      <c r="N9" s="22"/>
      <c r="O9" s="23"/>
    </row>
    <row r="10" spans="1:15" x14ac:dyDescent="0.2">
      <c r="B10" s="19" t="s">
        <v>44</v>
      </c>
      <c r="C10" s="24">
        <v>3.91</v>
      </c>
      <c r="D10" s="21"/>
      <c r="E10" s="14"/>
      <c r="F10" s="21"/>
      <c r="G10" s="21"/>
      <c r="H10" s="22"/>
      <c r="I10" s="21"/>
      <c r="J10" s="21"/>
      <c r="K10" s="21"/>
      <c r="L10" s="21"/>
      <c r="M10" s="21"/>
      <c r="N10" s="22"/>
      <c r="O10" s="23"/>
    </row>
    <row r="11" spans="1:15" x14ac:dyDescent="0.2">
      <c r="B11" s="19" t="s">
        <v>45</v>
      </c>
      <c r="C11" s="24">
        <v>3</v>
      </c>
      <c r="D11" s="21"/>
      <c r="E11" s="14"/>
      <c r="F11" s="21"/>
      <c r="G11" s="21"/>
      <c r="H11" s="22"/>
      <c r="I11" s="21"/>
      <c r="J11" s="21"/>
      <c r="K11" s="21"/>
      <c r="L11" s="21"/>
      <c r="M11" s="21"/>
      <c r="N11" s="22"/>
      <c r="O11" s="23"/>
    </row>
    <row r="12" spans="1:15" x14ac:dyDescent="0.2">
      <c r="B12" s="19" t="s">
        <v>46</v>
      </c>
      <c r="C12" s="24">
        <v>1.63</v>
      </c>
      <c r="D12" s="21"/>
      <c r="E12" s="14"/>
      <c r="F12" s="21"/>
      <c r="G12" s="21"/>
      <c r="H12" s="22"/>
      <c r="I12" s="21"/>
      <c r="J12" s="21"/>
      <c r="K12" s="21"/>
      <c r="L12" s="21"/>
      <c r="M12" s="21"/>
      <c r="N12" s="22"/>
      <c r="O12" s="23"/>
    </row>
    <row r="13" spans="1:15" x14ac:dyDescent="0.2">
      <c r="B13" s="25" t="s">
        <v>47</v>
      </c>
      <c r="C13" s="24">
        <v>0.8</v>
      </c>
      <c r="D13" s="26"/>
      <c r="E13" s="14"/>
      <c r="F13" s="26"/>
      <c r="G13" s="21"/>
      <c r="H13" s="22"/>
      <c r="I13" s="21"/>
      <c r="J13" s="26"/>
      <c r="K13" s="21"/>
      <c r="L13" s="26"/>
      <c r="M13" s="21"/>
      <c r="N13" s="22"/>
      <c r="O13" s="23"/>
    </row>
    <row r="14" spans="1:15" x14ac:dyDescent="0.2">
      <c r="B14" s="19" t="s">
        <v>48</v>
      </c>
      <c r="C14" s="24">
        <v>0.8</v>
      </c>
      <c r="D14" s="21"/>
      <c r="E14" s="14"/>
      <c r="F14" s="21"/>
      <c r="G14" s="21"/>
      <c r="H14" s="22"/>
      <c r="I14" s="21"/>
      <c r="J14" s="21"/>
      <c r="K14" s="21"/>
      <c r="L14" s="21"/>
      <c r="M14" s="21"/>
      <c r="N14" s="22"/>
      <c r="O14" s="27"/>
    </row>
    <row r="15" spans="1:15" x14ac:dyDescent="0.2">
      <c r="B15" s="25" t="s">
        <v>49</v>
      </c>
      <c r="C15" s="24">
        <v>0.5</v>
      </c>
      <c r="D15" s="21"/>
      <c r="E15" s="14"/>
      <c r="F15" s="21"/>
      <c r="G15" s="21"/>
      <c r="H15" s="22"/>
      <c r="I15" s="21"/>
      <c r="J15" s="26"/>
      <c r="K15" s="21"/>
      <c r="L15" s="26"/>
      <c r="M15" s="21"/>
      <c r="N15" s="22"/>
      <c r="O15" s="23"/>
    </row>
    <row r="16" spans="1:15" x14ac:dyDescent="0.2">
      <c r="B16" s="19" t="s">
        <v>50</v>
      </c>
      <c r="C16" s="24">
        <v>0.49</v>
      </c>
      <c r="D16" s="21"/>
      <c r="E16" s="28"/>
      <c r="F16" s="21"/>
      <c r="G16" s="21"/>
      <c r="H16" s="22"/>
      <c r="I16" s="21"/>
      <c r="J16" s="21"/>
      <c r="K16" s="21"/>
      <c r="L16" s="21"/>
      <c r="M16" s="21"/>
      <c r="N16" s="22"/>
      <c r="O16" s="23"/>
    </row>
    <row r="17" spans="2:15" x14ac:dyDescent="0.2">
      <c r="B17" s="25" t="s">
        <v>51</v>
      </c>
      <c r="C17" s="24">
        <v>0.21</v>
      </c>
      <c r="D17" s="26"/>
      <c r="E17" s="14"/>
      <c r="F17" s="26"/>
      <c r="G17" s="21"/>
      <c r="H17" s="22"/>
      <c r="I17" s="21"/>
      <c r="J17" s="26"/>
      <c r="K17" s="21"/>
      <c r="L17" s="26"/>
      <c r="M17" s="21"/>
      <c r="N17" s="22"/>
      <c r="O17" s="27"/>
    </row>
    <row r="18" spans="2:15" x14ac:dyDescent="0.2">
      <c r="B18" s="25" t="s">
        <v>52</v>
      </c>
      <c r="C18" s="24">
        <v>0.13</v>
      </c>
      <c r="D18" s="26"/>
      <c r="E18" s="14"/>
      <c r="F18" s="26"/>
      <c r="G18" s="21"/>
      <c r="H18" s="22"/>
      <c r="I18" s="21"/>
      <c r="J18" s="26"/>
      <c r="K18" s="21"/>
      <c r="L18" s="26"/>
      <c r="M18" s="21"/>
      <c r="N18" s="22"/>
      <c r="O18" s="29"/>
    </row>
    <row r="19" spans="2:15" x14ac:dyDescent="0.2">
      <c r="B19" s="25" t="s">
        <v>53</v>
      </c>
      <c r="C19" s="24">
        <v>7.0000000000000007E-2</v>
      </c>
      <c r="D19" s="26"/>
      <c r="E19" s="14"/>
      <c r="F19" s="26"/>
      <c r="G19" s="21"/>
      <c r="H19" s="22"/>
      <c r="I19" s="21"/>
      <c r="J19" s="26"/>
      <c r="K19" s="21"/>
      <c r="L19" s="26"/>
      <c r="M19" s="21"/>
      <c r="N19" s="22"/>
      <c r="O19" s="27"/>
    </row>
    <row r="20" spans="2:15" x14ac:dyDescent="0.2">
      <c r="B20" s="30" t="s">
        <v>54</v>
      </c>
      <c r="C20" s="31">
        <f>C21-SUM(C5:C19)</f>
        <v>0.19000000000004036</v>
      </c>
      <c r="D20" s="21"/>
      <c r="E20" s="14"/>
      <c r="F20" s="21"/>
      <c r="G20" s="21"/>
      <c r="H20" s="22"/>
      <c r="I20" s="21"/>
      <c r="J20" s="21"/>
      <c r="K20" s="21"/>
      <c r="L20" s="21"/>
      <c r="M20" s="21"/>
      <c r="N20" s="22"/>
      <c r="O20" s="29"/>
    </row>
    <row r="21" spans="2:15" ht="15" x14ac:dyDescent="0.25">
      <c r="B21" s="32" t="s">
        <v>55</v>
      </c>
      <c r="C21" s="33">
        <v>75.81</v>
      </c>
      <c r="D21" s="21"/>
      <c r="E21" s="14"/>
      <c r="F21" s="21"/>
      <c r="G21" s="21"/>
      <c r="H21" s="22"/>
      <c r="I21" s="21"/>
      <c r="J21" s="21"/>
      <c r="K21" s="21"/>
      <c r="L21" s="21"/>
      <c r="M21" s="21"/>
      <c r="N21" s="22"/>
      <c r="O21" s="23"/>
    </row>
    <row r="22" spans="2:15" x14ac:dyDescent="0.2">
      <c r="I22" s="34"/>
      <c r="N22" s="35"/>
      <c r="O22" s="36"/>
    </row>
    <row r="23" spans="2:15" x14ac:dyDescent="0.2">
      <c r="B23" s="37"/>
      <c r="I23" s="34"/>
      <c r="N23" s="35"/>
      <c r="O23" s="36"/>
    </row>
    <row r="24" spans="2:15" x14ac:dyDescent="0.2">
      <c r="C24" s="38"/>
      <c r="N24" s="14"/>
    </row>
    <row r="25" spans="2:15" x14ac:dyDescent="0.2">
      <c r="C25" s="38"/>
      <c r="N25" s="14"/>
    </row>
    <row r="26" spans="2:15" x14ac:dyDescent="0.2">
      <c r="N26" s="14"/>
    </row>
    <row r="37" spans="4:11" x14ac:dyDescent="0.2">
      <c r="E37" s="81" t="s">
        <v>83</v>
      </c>
      <c r="F37" s="81"/>
      <c r="G37" s="81"/>
      <c r="H37" s="81"/>
      <c r="I37" s="81"/>
      <c r="J37" s="81"/>
      <c r="K37" s="81"/>
    </row>
    <row r="38" spans="4:11" x14ac:dyDescent="0.2">
      <c r="D38" s="39"/>
      <c r="E38" s="81"/>
      <c r="F38" s="81"/>
      <c r="G38" s="81"/>
      <c r="H38" s="81"/>
      <c r="I38" s="81"/>
      <c r="J38" s="81"/>
      <c r="K38" s="81"/>
    </row>
    <row r="39" spans="4:11" x14ac:dyDescent="0.2">
      <c r="E39" s="81"/>
      <c r="F39" s="81"/>
      <c r="G39" s="81"/>
      <c r="H39" s="81"/>
      <c r="I39" s="81"/>
      <c r="J39" s="81"/>
      <c r="K39" s="81"/>
    </row>
  </sheetData>
  <mergeCells count="2">
    <mergeCell ref="E37:K39"/>
    <mergeCell ref="B2:C2"/>
  </mergeCells>
  <pageMargins left="0.7" right="0.7" top="0.75" bottom="0.75" header="0.51180555555555551" footer="0.51180555555555551"/>
  <pageSetup firstPageNumber="0" orientation="portrait" horizontalDpi="300" verticalDpi="300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M21"/>
  <sheetViews>
    <sheetView zoomScaleNormal="100" workbookViewId="0">
      <selection activeCell="N8" sqref="N8"/>
    </sheetView>
  </sheetViews>
  <sheetFormatPr defaultColWidth="11.5703125" defaultRowHeight="15" x14ac:dyDescent="0.25"/>
  <cols>
    <col min="1" max="2" width="11.5703125" style="1"/>
    <col min="3" max="3" width="24.140625" style="1" customWidth="1"/>
    <col min="4" max="4" width="27.5703125" style="1" customWidth="1"/>
    <col min="5" max="16384" width="11.5703125" style="1"/>
  </cols>
  <sheetData>
    <row r="2" spans="1:13" ht="21" customHeight="1" x14ac:dyDescent="0.3">
      <c r="A2" s="83" t="s">
        <v>56</v>
      </c>
      <c r="B2" s="83"/>
      <c r="C2" s="83"/>
      <c r="D2" s="83"/>
      <c r="E2" s="83"/>
      <c r="F2" s="83"/>
      <c r="G2" s="83"/>
      <c r="H2" s="83"/>
      <c r="I2" s="83"/>
      <c r="J2" s="83"/>
      <c r="K2" s="83"/>
      <c r="L2" s="83"/>
      <c r="M2" s="83"/>
    </row>
    <row r="4" spans="1:13" ht="33" customHeight="1" x14ac:dyDescent="0.25">
      <c r="B4" s="40" t="s">
        <v>57</v>
      </c>
      <c r="C4" s="41" t="s">
        <v>58</v>
      </c>
      <c r="D4" s="41" t="s">
        <v>59</v>
      </c>
    </row>
    <row r="5" spans="1:13" ht="18.75" customHeight="1" x14ac:dyDescent="0.25">
      <c r="B5" s="1" t="s">
        <v>60</v>
      </c>
      <c r="C5" s="1">
        <v>24.7</v>
      </c>
      <c r="D5" s="1">
        <v>46.1</v>
      </c>
    </row>
    <row r="6" spans="1:13" ht="16.5" customHeight="1" x14ac:dyDescent="0.25">
      <c r="B6" s="1" t="s">
        <v>61</v>
      </c>
      <c r="C6" s="1">
        <v>15.3</v>
      </c>
      <c r="D6" s="1">
        <v>23.6</v>
      </c>
    </row>
    <row r="7" spans="1:13" ht="17.25" customHeight="1" x14ac:dyDescent="0.25">
      <c r="B7" s="1" t="s">
        <v>62</v>
      </c>
      <c r="C7" s="1">
        <v>12.3</v>
      </c>
      <c r="D7" s="1">
        <v>23.7</v>
      </c>
    </row>
    <row r="8" spans="1:13" ht="15" customHeight="1" x14ac:dyDescent="0.25">
      <c r="B8" s="1" t="s">
        <v>63</v>
      </c>
      <c r="C8" s="1">
        <v>10.9</v>
      </c>
      <c r="D8" s="1">
        <v>7</v>
      </c>
    </row>
    <row r="9" spans="1:13" ht="18" customHeight="1" x14ac:dyDescent="0.25">
      <c r="B9" s="1" t="s">
        <v>64</v>
      </c>
      <c r="C9" s="1">
        <v>10.8</v>
      </c>
      <c r="D9" s="1">
        <v>12.3</v>
      </c>
    </row>
    <row r="10" spans="1:13" ht="18.75" customHeight="1" x14ac:dyDescent="0.25">
      <c r="B10" s="1" t="s">
        <v>65</v>
      </c>
      <c r="C10" s="1">
        <v>9.9</v>
      </c>
      <c r="D10" s="1">
        <v>14.2</v>
      </c>
    </row>
    <row r="11" spans="1:13" ht="20.25" customHeight="1" x14ac:dyDescent="0.25">
      <c r="B11" s="1" t="s">
        <v>66</v>
      </c>
      <c r="C11" s="1">
        <v>8.3000000000000007</v>
      </c>
      <c r="D11" s="1">
        <v>7.4</v>
      </c>
    </row>
    <row r="12" spans="1:13" ht="21" customHeight="1" x14ac:dyDescent="0.25">
      <c r="B12" s="1" t="s">
        <v>67</v>
      </c>
      <c r="C12" s="1">
        <v>7.2</v>
      </c>
      <c r="D12" s="1">
        <v>3</v>
      </c>
    </row>
    <row r="13" spans="1:13" ht="18.75" customHeight="1" x14ac:dyDescent="0.25">
      <c r="B13" s="1" t="s">
        <v>68</v>
      </c>
      <c r="C13" s="1">
        <v>6.6</v>
      </c>
      <c r="D13" s="1">
        <v>7.2</v>
      </c>
    </row>
    <row r="14" spans="1:13" ht="18" customHeight="1" x14ac:dyDescent="0.25">
      <c r="B14" s="1" t="s">
        <v>69</v>
      </c>
      <c r="C14" s="1">
        <v>5.8</v>
      </c>
      <c r="D14" s="1">
        <v>10.6</v>
      </c>
    </row>
    <row r="15" spans="1:13" ht="16.5" customHeight="1" x14ac:dyDescent="0.25">
      <c r="B15" s="1" t="s">
        <v>70</v>
      </c>
      <c r="C15" s="1">
        <v>5.7</v>
      </c>
      <c r="D15" s="1">
        <v>3.7</v>
      </c>
    </row>
    <row r="16" spans="1:13" ht="17.25" customHeight="1" x14ac:dyDescent="0.25">
      <c r="B16" s="1" t="s">
        <v>71</v>
      </c>
      <c r="C16" s="1">
        <v>5.6</v>
      </c>
      <c r="D16" s="1">
        <v>3.4</v>
      </c>
    </row>
    <row r="17" spans="2:10" ht="18.75" customHeight="1" x14ac:dyDescent="0.25">
      <c r="B17" s="1" t="s">
        <v>72</v>
      </c>
      <c r="C17" s="1">
        <v>4.2</v>
      </c>
      <c r="D17" s="1">
        <v>4.3</v>
      </c>
    </row>
    <row r="18" spans="2:10" ht="15" customHeight="1" x14ac:dyDescent="0.25">
      <c r="B18" s="1" t="s">
        <v>73</v>
      </c>
      <c r="C18" s="1">
        <v>3.9</v>
      </c>
      <c r="D18" s="1">
        <v>3.6</v>
      </c>
    </row>
    <row r="19" spans="2:10" x14ac:dyDescent="0.25">
      <c r="B19" s="1" t="s">
        <v>74</v>
      </c>
      <c r="C19" s="1">
        <v>3.1</v>
      </c>
      <c r="D19" s="1">
        <v>5.4</v>
      </c>
    </row>
    <row r="20" spans="2:10" x14ac:dyDescent="0.25">
      <c r="B20" s="7"/>
      <c r="C20" s="7"/>
      <c r="D20" s="7"/>
    </row>
    <row r="21" spans="2:10" x14ac:dyDescent="0.25">
      <c r="H21" s="84" t="s">
        <v>84</v>
      </c>
      <c r="I21" s="84"/>
      <c r="J21" s="84"/>
    </row>
  </sheetData>
  <mergeCells count="2">
    <mergeCell ref="A2:M2"/>
    <mergeCell ref="H21:J21"/>
  </mergeCells>
  <pageMargins left="0.7" right="0.7" top="0.75" bottom="0.75" header="0.51180555555555551" footer="0.51180555555555551"/>
  <pageSetup firstPageNumber="0" orientation="portrait" horizontalDpi="300" verticalDpi="300"/>
  <headerFooter alignWithMargins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2:J508"/>
  <sheetViews>
    <sheetView zoomScaleNormal="100" workbookViewId="0">
      <selection activeCell="D6" sqref="D6"/>
    </sheetView>
  </sheetViews>
  <sheetFormatPr defaultColWidth="10.7109375" defaultRowHeight="15" x14ac:dyDescent="0.25"/>
  <cols>
    <col min="1" max="1" width="6.85546875" style="1" customWidth="1"/>
    <col min="2" max="2" width="29.42578125" style="1" customWidth="1"/>
    <col min="3" max="3" width="22.5703125" style="1" customWidth="1"/>
    <col min="4" max="16384" width="10.7109375" style="1"/>
  </cols>
  <sheetData>
    <row r="2" spans="1:3" ht="15.75" x14ac:dyDescent="0.25">
      <c r="B2" s="2" t="s">
        <v>32</v>
      </c>
    </row>
    <row r="3" spans="1:3" ht="15.75" x14ac:dyDescent="0.25">
      <c r="B3" s="2" t="s">
        <v>33</v>
      </c>
    </row>
    <row r="5" spans="1:3" x14ac:dyDescent="0.25">
      <c r="B5" s="7" t="s">
        <v>34</v>
      </c>
      <c r="C5" s="8">
        <v>10</v>
      </c>
    </row>
    <row r="7" spans="1:3" x14ac:dyDescent="0.25">
      <c r="B7" s="9" t="s">
        <v>3</v>
      </c>
      <c r="C7" s="9" t="s">
        <v>35</v>
      </c>
    </row>
    <row r="8" spans="1:3" x14ac:dyDescent="0.25">
      <c r="A8" s="1">
        <v>0</v>
      </c>
      <c r="B8" s="10">
        <v>12000</v>
      </c>
      <c r="C8" s="11">
        <f>MOD(A8,C$5)</f>
        <v>0</v>
      </c>
    </row>
    <row r="9" spans="1:3" hidden="1" x14ac:dyDescent="0.25">
      <c r="A9" s="1">
        <v>1</v>
      </c>
      <c r="B9" s="10">
        <v>12022</v>
      </c>
      <c r="C9" s="11">
        <f t="shared" ref="C9:C72" si="0">MOD(A9,C$5)</f>
        <v>1</v>
      </c>
    </row>
    <row r="10" spans="1:3" hidden="1" x14ac:dyDescent="0.25">
      <c r="A10" s="1">
        <v>2</v>
      </c>
      <c r="B10" s="10">
        <v>12074</v>
      </c>
      <c r="C10" s="11">
        <f t="shared" si="0"/>
        <v>2</v>
      </c>
    </row>
    <row r="11" spans="1:3" hidden="1" x14ac:dyDescent="0.25">
      <c r="A11" s="1">
        <v>3</v>
      </c>
      <c r="B11" s="10">
        <v>12102</v>
      </c>
      <c r="C11" s="11">
        <f t="shared" si="0"/>
        <v>3</v>
      </c>
    </row>
    <row r="12" spans="1:3" hidden="1" x14ac:dyDescent="0.25">
      <c r="A12" s="1">
        <v>4</v>
      </c>
      <c r="B12" s="10">
        <v>12085</v>
      </c>
      <c r="C12" s="11">
        <f t="shared" si="0"/>
        <v>4</v>
      </c>
    </row>
    <row r="13" spans="1:3" hidden="1" x14ac:dyDescent="0.25">
      <c r="A13" s="1">
        <v>5</v>
      </c>
      <c r="B13" s="10">
        <v>12125</v>
      </c>
      <c r="C13" s="11">
        <f t="shared" si="0"/>
        <v>5</v>
      </c>
    </row>
    <row r="14" spans="1:3" hidden="1" x14ac:dyDescent="0.25">
      <c r="A14" s="1">
        <v>6</v>
      </c>
      <c r="B14" s="10">
        <v>12106</v>
      </c>
      <c r="C14" s="11">
        <f t="shared" si="0"/>
        <v>6</v>
      </c>
    </row>
    <row r="15" spans="1:3" hidden="1" x14ac:dyDescent="0.25">
      <c r="A15" s="1">
        <v>7</v>
      </c>
      <c r="B15" s="10">
        <v>12101</v>
      </c>
      <c r="C15" s="11">
        <f t="shared" si="0"/>
        <v>7</v>
      </c>
    </row>
    <row r="16" spans="1:3" hidden="1" x14ac:dyDescent="0.25">
      <c r="A16" s="1">
        <v>8</v>
      </c>
      <c r="B16" s="10">
        <v>12052</v>
      </c>
      <c r="C16" s="11">
        <f t="shared" si="0"/>
        <v>8</v>
      </c>
    </row>
    <row r="17" spans="1:10" hidden="1" x14ac:dyDescent="0.25">
      <c r="A17" s="1">
        <v>9</v>
      </c>
      <c r="B17" s="10">
        <v>12043</v>
      </c>
      <c r="C17" s="11">
        <f t="shared" si="0"/>
        <v>9</v>
      </c>
    </row>
    <row r="18" spans="1:10" x14ac:dyDescent="0.25">
      <c r="A18" s="1">
        <v>10</v>
      </c>
      <c r="B18" s="10">
        <v>12111</v>
      </c>
      <c r="C18" s="11">
        <f t="shared" si="0"/>
        <v>0</v>
      </c>
    </row>
    <row r="19" spans="1:10" hidden="1" x14ac:dyDescent="0.25">
      <c r="A19" s="1">
        <v>11</v>
      </c>
      <c r="B19" s="10">
        <v>12075</v>
      </c>
      <c r="C19" s="11">
        <f t="shared" si="0"/>
        <v>1</v>
      </c>
    </row>
    <row r="20" spans="1:10" hidden="1" x14ac:dyDescent="0.25">
      <c r="A20" s="1">
        <v>12</v>
      </c>
      <c r="B20" s="10">
        <v>12098</v>
      </c>
      <c r="C20" s="11">
        <f t="shared" si="0"/>
        <v>2</v>
      </c>
    </row>
    <row r="21" spans="1:10" hidden="1" x14ac:dyDescent="0.25">
      <c r="A21" s="1">
        <v>13</v>
      </c>
      <c r="B21" s="10">
        <v>12054</v>
      </c>
      <c r="C21" s="11">
        <f t="shared" si="0"/>
        <v>3</v>
      </c>
    </row>
    <row r="22" spans="1:10" hidden="1" x14ac:dyDescent="0.25">
      <c r="A22" s="1">
        <v>14</v>
      </c>
      <c r="B22" s="10">
        <v>12099</v>
      </c>
      <c r="C22" s="11">
        <f t="shared" si="0"/>
        <v>4</v>
      </c>
    </row>
    <row r="23" spans="1:10" hidden="1" x14ac:dyDescent="0.25">
      <c r="A23" s="1">
        <v>15</v>
      </c>
      <c r="B23" s="10">
        <v>12084</v>
      </c>
      <c r="C23" s="11">
        <f t="shared" si="0"/>
        <v>5</v>
      </c>
    </row>
    <row r="24" spans="1:10" hidden="1" x14ac:dyDescent="0.25">
      <c r="A24" s="1">
        <v>16</v>
      </c>
      <c r="B24" s="10">
        <v>12151</v>
      </c>
      <c r="C24" s="11">
        <f t="shared" si="0"/>
        <v>6</v>
      </c>
    </row>
    <row r="25" spans="1:10" ht="15.75" hidden="1" thickBot="1" x14ac:dyDescent="0.3">
      <c r="A25" s="1">
        <v>17</v>
      </c>
      <c r="B25" s="10">
        <v>12161</v>
      </c>
      <c r="C25" s="11">
        <f t="shared" si="0"/>
        <v>7</v>
      </c>
      <c r="E25" s="85" t="s">
        <v>85</v>
      </c>
      <c r="F25" s="85"/>
      <c r="G25" s="85"/>
      <c r="H25" s="85"/>
      <c r="I25" s="85"/>
      <c r="J25" s="85"/>
    </row>
    <row r="26" spans="1:10" ht="15.75" hidden="1" thickBot="1" x14ac:dyDescent="0.3">
      <c r="A26" s="1">
        <v>18</v>
      </c>
      <c r="B26" s="10">
        <v>12193</v>
      </c>
      <c r="C26" s="11">
        <f t="shared" si="0"/>
        <v>8</v>
      </c>
      <c r="E26" s="85"/>
      <c r="F26" s="85"/>
      <c r="G26" s="85"/>
      <c r="H26" s="85"/>
      <c r="I26" s="85"/>
      <c r="J26" s="85"/>
    </row>
    <row r="27" spans="1:10" hidden="1" x14ac:dyDescent="0.25">
      <c r="A27" s="1">
        <v>19</v>
      </c>
      <c r="B27" s="10">
        <v>12208</v>
      </c>
      <c r="C27" s="11">
        <f t="shared" si="0"/>
        <v>9</v>
      </c>
    </row>
    <row r="28" spans="1:10" x14ac:dyDescent="0.25">
      <c r="A28" s="1">
        <v>20</v>
      </c>
      <c r="B28" s="10">
        <v>12245</v>
      </c>
      <c r="C28" s="11">
        <f t="shared" si="0"/>
        <v>0</v>
      </c>
    </row>
    <row r="29" spans="1:10" hidden="1" x14ac:dyDescent="0.25">
      <c r="A29" s="1">
        <v>21</v>
      </c>
      <c r="B29" s="10">
        <v>12266</v>
      </c>
      <c r="C29" s="11">
        <f t="shared" si="0"/>
        <v>1</v>
      </c>
    </row>
    <row r="30" spans="1:10" hidden="1" x14ac:dyDescent="0.25">
      <c r="A30" s="1">
        <v>22</v>
      </c>
      <c r="B30" s="10">
        <v>12315</v>
      </c>
      <c r="C30" s="11">
        <f t="shared" si="0"/>
        <v>2</v>
      </c>
    </row>
    <row r="31" spans="1:10" hidden="1" x14ac:dyDescent="0.25">
      <c r="A31" s="1">
        <v>23</v>
      </c>
      <c r="B31" s="10">
        <v>12330</v>
      </c>
      <c r="C31" s="11">
        <f t="shared" si="0"/>
        <v>3</v>
      </c>
    </row>
    <row r="32" spans="1:10" hidden="1" x14ac:dyDescent="0.25">
      <c r="A32" s="1">
        <v>24</v>
      </c>
      <c r="B32" s="10">
        <v>12360</v>
      </c>
      <c r="C32" s="11">
        <f t="shared" si="0"/>
        <v>4</v>
      </c>
    </row>
    <row r="33" spans="1:3" hidden="1" x14ac:dyDescent="0.25">
      <c r="A33" s="1">
        <v>25</v>
      </c>
      <c r="B33" s="10">
        <v>12388</v>
      </c>
      <c r="C33" s="11">
        <f t="shared" si="0"/>
        <v>5</v>
      </c>
    </row>
    <row r="34" spans="1:3" hidden="1" x14ac:dyDescent="0.25">
      <c r="A34" s="1">
        <v>26</v>
      </c>
      <c r="B34" s="10">
        <v>12439</v>
      </c>
      <c r="C34" s="11">
        <f t="shared" si="0"/>
        <v>6</v>
      </c>
    </row>
    <row r="35" spans="1:3" hidden="1" x14ac:dyDescent="0.25">
      <c r="A35" s="1">
        <v>27</v>
      </c>
      <c r="B35" s="10">
        <v>12509</v>
      </c>
      <c r="C35" s="11">
        <f t="shared" si="0"/>
        <v>7</v>
      </c>
    </row>
    <row r="36" spans="1:3" hidden="1" x14ac:dyDescent="0.25">
      <c r="A36" s="1">
        <v>28</v>
      </c>
      <c r="B36" s="10">
        <v>12476</v>
      </c>
      <c r="C36" s="11">
        <f t="shared" si="0"/>
        <v>8</v>
      </c>
    </row>
    <row r="37" spans="1:3" hidden="1" x14ac:dyDescent="0.25">
      <c r="A37" s="1">
        <v>29</v>
      </c>
      <c r="B37" s="10">
        <v>12434</v>
      </c>
      <c r="C37" s="11">
        <f t="shared" si="0"/>
        <v>9</v>
      </c>
    </row>
    <row r="38" spans="1:3" x14ac:dyDescent="0.25">
      <c r="A38" s="1">
        <v>30</v>
      </c>
      <c r="B38" s="10">
        <v>12359</v>
      </c>
      <c r="C38" s="11">
        <f t="shared" si="0"/>
        <v>0</v>
      </c>
    </row>
    <row r="39" spans="1:3" hidden="1" x14ac:dyDescent="0.25">
      <c r="A39" s="1">
        <v>31</v>
      </c>
      <c r="B39" s="10">
        <v>12427</v>
      </c>
      <c r="C39" s="11">
        <f t="shared" si="0"/>
        <v>1</v>
      </c>
    </row>
    <row r="40" spans="1:3" hidden="1" x14ac:dyDescent="0.25">
      <c r="A40" s="1">
        <v>32</v>
      </c>
      <c r="B40" s="10">
        <v>12395</v>
      </c>
      <c r="C40" s="11">
        <f t="shared" si="0"/>
        <v>2</v>
      </c>
    </row>
    <row r="41" spans="1:3" hidden="1" x14ac:dyDescent="0.25">
      <c r="A41" s="1">
        <v>33</v>
      </c>
      <c r="B41" s="10">
        <v>12435</v>
      </c>
      <c r="C41" s="11">
        <f t="shared" si="0"/>
        <v>3</v>
      </c>
    </row>
    <row r="42" spans="1:3" hidden="1" x14ac:dyDescent="0.25">
      <c r="A42" s="1">
        <v>34</v>
      </c>
      <c r="B42" s="10">
        <v>12452</v>
      </c>
      <c r="C42" s="11">
        <f t="shared" si="0"/>
        <v>4</v>
      </c>
    </row>
    <row r="43" spans="1:3" hidden="1" x14ac:dyDescent="0.25">
      <c r="A43" s="1">
        <v>35</v>
      </c>
      <c r="B43" s="10">
        <v>12461</v>
      </c>
      <c r="C43" s="11">
        <f t="shared" si="0"/>
        <v>5</v>
      </c>
    </row>
    <row r="44" spans="1:3" hidden="1" x14ac:dyDescent="0.25">
      <c r="A44" s="1">
        <v>36</v>
      </c>
      <c r="B44" s="10">
        <v>12404</v>
      </c>
      <c r="C44" s="11">
        <f t="shared" si="0"/>
        <v>6</v>
      </c>
    </row>
    <row r="45" spans="1:3" hidden="1" x14ac:dyDescent="0.25">
      <c r="A45" s="1">
        <v>37</v>
      </c>
      <c r="B45" s="10">
        <v>12431</v>
      </c>
      <c r="C45" s="11">
        <f t="shared" si="0"/>
        <v>7</v>
      </c>
    </row>
    <row r="46" spans="1:3" hidden="1" x14ac:dyDescent="0.25">
      <c r="A46" s="1">
        <v>38</v>
      </c>
      <c r="B46" s="10">
        <v>12447</v>
      </c>
      <c r="C46" s="11">
        <f t="shared" si="0"/>
        <v>8</v>
      </c>
    </row>
    <row r="47" spans="1:3" hidden="1" x14ac:dyDescent="0.25">
      <c r="A47" s="1">
        <v>39</v>
      </c>
      <c r="B47" s="10">
        <v>12424</v>
      </c>
      <c r="C47" s="11">
        <f t="shared" si="0"/>
        <v>9</v>
      </c>
    </row>
    <row r="48" spans="1:3" x14ac:dyDescent="0.25">
      <c r="A48" s="1">
        <v>40</v>
      </c>
      <c r="B48" s="10">
        <v>12453</v>
      </c>
      <c r="C48" s="11">
        <f t="shared" si="0"/>
        <v>0</v>
      </c>
    </row>
    <row r="49" spans="1:3" hidden="1" x14ac:dyDescent="0.25">
      <c r="A49" s="1">
        <v>41</v>
      </c>
      <c r="B49" s="10">
        <v>12407</v>
      </c>
      <c r="C49" s="11">
        <f t="shared" si="0"/>
        <v>1</v>
      </c>
    </row>
    <row r="50" spans="1:3" hidden="1" x14ac:dyDescent="0.25">
      <c r="A50" s="1">
        <v>42</v>
      </c>
      <c r="B50" s="10">
        <v>12422</v>
      </c>
      <c r="C50" s="11">
        <f t="shared" si="0"/>
        <v>2</v>
      </c>
    </row>
    <row r="51" spans="1:3" hidden="1" x14ac:dyDescent="0.25">
      <c r="A51" s="1">
        <v>43</v>
      </c>
      <c r="B51" s="10">
        <v>12476</v>
      </c>
      <c r="C51" s="11">
        <f t="shared" si="0"/>
        <v>3</v>
      </c>
    </row>
    <row r="52" spans="1:3" hidden="1" x14ac:dyDescent="0.25">
      <c r="A52" s="1">
        <v>44</v>
      </c>
      <c r="B52" s="10">
        <v>12451</v>
      </c>
      <c r="C52" s="11">
        <f t="shared" si="0"/>
        <v>4</v>
      </c>
    </row>
    <row r="53" spans="1:3" hidden="1" x14ac:dyDescent="0.25">
      <c r="A53" s="1">
        <v>45</v>
      </c>
      <c r="B53" s="10">
        <v>12424</v>
      </c>
      <c r="C53" s="11">
        <f t="shared" si="0"/>
        <v>5</v>
      </c>
    </row>
    <row r="54" spans="1:3" hidden="1" x14ac:dyDescent="0.25">
      <c r="A54" s="1">
        <v>46</v>
      </c>
      <c r="B54" s="10">
        <v>12355</v>
      </c>
      <c r="C54" s="11">
        <f t="shared" si="0"/>
        <v>6</v>
      </c>
    </row>
    <row r="55" spans="1:3" hidden="1" x14ac:dyDescent="0.25">
      <c r="A55" s="1">
        <v>47</v>
      </c>
      <c r="B55" s="10">
        <v>12361</v>
      </c>
      <c r="C55" s="11">
        <f t="shared" si="0"/>
        <v>7</v>
      </c>
    </row>
    <row r="56" spans="1:3" hidden="1" x14ac:dyDescent="0.25">
      <c r="A56" s="1">
        <v>48</v>
      </c>
      <c r="B56" s="10">
        <v>12349</v>
      </c>
      <c r="C56" s="11">
        <f t="shared" si="0"/>
        <v>8</v>
      </c>
    </row>
    <row r="57" spans="1:3" hidden="1" x14ac:dyDescent="0.25">
      <c r="A57" s="1">
        <v>49</v>
      </c>
      <c r="B57" s="10">
        <v>12334</v>
      </c>
      <c r="C57" s="11">
        <f t="shared" si="0"/>
        <v>9</v>
      </c>
    </row>
    <row r="58" spans="1:3" x14ac:dyDescent="0.25">
      <c r="A58" s="1">
        <v>50</v>
      </c>
      <c r="B58" s="10">
        <v>12322</v>
      </c>
      <c r="C58" s="11">
        <f t="shared" si="0"/>
        <v>0</v>
      </c>
    </row>
    <row r="59" spans="1:3" hidden="1" x14ac:dyDescent="0.25">
      <c r="A59" s="1">
        <v>51</v>
      </c>
      <c r="B59" s="10">
        <v>12321</v>
      </c>
      <c r="C59" s="11">
        <f t="shared" si="0"/>
        <v>1</v>
      </c>
    </row>
    <row r="60" spans="1:3" hidden="1" x14ac:dyDescent="0.25">
      <c r="A60" s="1">
        <v>52</v>
      </c>
      <c r="B60" s="10">
        <v>12309</v>
      </c>
      <c r="C60" s="11">
        <f t="shared" si="0"/>
        <v>2</v>
      </c>
    </row>
    <row r="61" spans="1:3" hidden="1" x14ac:dyDescent="0.25">
      <c r="A61" s="1">
        <v>53</v>
      </c>
      <c r="B61" s="10">
        <v>12259</v>
      </c>
      <c r="C61" s="11">
        <f t="shared" si="0"/>
        <v>3</v>
      </c>
    </row>
    <row r="62" spans="1:3" hidden="1" x14ac:dyDescent="0.25">
      <c r="A62" s="1">
        <v>54</v>
      </c>
      <c r="B62" s="10">
        <v>12316</v>
      </c>
      <c r="C62" s="11">
        <f t="shared" si="0"/>
        <v>4</v>
      </c>
    </row>
    <row r="63" spans="1:3" hidden="1" x14ac:dyDescent="0.25">
      <c r="A63" s="1">
        <v>55</v>
      </c>
      <c r="B63" s="10">
        <v>12295</v>
      </c>
      <c r="C63" s="11">
        <f t="shared" si="0"/>
        <v>5</v>
      </c>
    </row>
    <row r="64" spans="1:3" hidden="1" x14ac:dyDescent="0.25">
      <c r="A64" s="1">
        <v>56</v>
      </c>
      <c r="B64" s="10">
        <v>12330</v>
      </c>
      <c r="C64" s="11">
        <f t="shared" si="0"/>
        <v>6</v>
      </c>
    </row>
    <row r="65" spans="1:3" hidden="1" x14ac:dyDescent="0.25">
      <c r="A65" s="1">
        <v>57</v>
      </c>
      <c r="B65" s="10">
        <v>12315</v>
      </c>
      <c r="C65" s="11">
        <f t="shared" si="0"/>
        <v>7</v>
      </c>
    </row>
    <row r="66" spans="1:3" hidden="1" x14ac:dyDescent="0.25">
      <c r="A66" s="1">
        <v>58</v>
      </c>
      <c r="B66" s="10">
        <v>12251</v>
      </c>
      <c r="C66" s="11">
        <f t="shared" si="0"/>
        <v>8</v>
      </c>
    </row>
    <row r="67" spans="1:3" hidden="1" x14ac:dyDescent="0.25">
      <c r="A67" s="1">
        <v>59</v>
      </c>
      <c r="B67" s="10">
        <v>12228</v>
      </c>
      <c r="C67" s="11">
        <f t="shared" si="0"/>
        <v>9</v>
      </c>
    </row>
    <row r="68" spans="1:3" x14ac:dyDescent="0.25">
      <c r="A68" s="1">
        <v>60</v>
      </c>
      <c r="B68" s="10">
        <v>12262</v>
      </c>
      <c r="C68" s="11">
        <f t="shared" si="0"/>
        <v>0</v>
      </c>
    </row>
    <row r="69" spans="1:3" hidden="1" x14ac:dyDescent="0.25">
      <c r="A69" s="1">
        <v>61</v>
      </c>
      <c r="B69" s="10">
        <v>12256</v>
      </c>
      <c r="C69" s="11">
        <f t="shared" si="0"/>
        <v>1</v>
      </c>
    </row>
    <row r="70" spans="1:3" hidden="1" x14ac:dyDescent="0.25">
      <c r="A70" s="1">
        <v>62</v>
      </c>
      <c r="B70" s="10">
        <v>12324</v>
      </c>
      <c r="C70" s="11">
        <f t="shared" si="0"/>
        <v>2</v>
      </c>
    </row>
    <row r="71" spans="1:3" hidden="1" x14ac:dyDescent="0.25">
      <c r="A71" s="1">
        <v>63</v>
      </c>
      <c r="B71" s="10">
        <v>12407</v>
      </c>
      <c r="C71" s="11">
        <f t="shared" si="0"/>
        <v>3</v>
      </c>
    </row>
    <row r="72" spans="1:3" hidden="1" x14ac:dyDescent="0.25">
      <c r="A72" s="1">
        <v>64</v>
      </c>
      <c r="B72" s="10">
        <v>12447</v>
      </c>
      <c r="C72" s="11">
        <f t="shared" si="0"/>
        <v>4</v>
      </c>
    </row>
    <row r="73" spans="1:3" hidden="1" x14ac:dyDescent="0.25">
      <c r="A73" s="1">
        <v>65</v>
      </c>
      <c r="B73" s="10">
        <v>12519</v>
      </c>
      <c r="C73" s="11">
        <f t="shared" ref="C73:C136" si="1">MOD(A73,C$5)</f>
        <v>5</v>
      </c>
    </row>
    <row r="74" spans="1:3" hidden="1" x14ac:dyDescent="0.25">
      <c r="A74" s="1">
        <v>66</v>
      </c>
      <c r="B74" s="10">
        <v>12509</v>
      </c>
      <c r="C74" s="11">
        <f t="shared" si="1"/>
        <v>6</v>
      </c>
    </row>
    <row r="75" spans="1:3" hidden="1" x14ac:dyDescent="0.25">
      <c r="A75" s="1">
        <v>67</v>
      </c>
      <c r="B75" s="10">
        <v>12452</v>
      </c>
      <c r="C75" s="11">
        <f t="shared" si="1"/>
        <v>7</v>
      </c>
    </row>
    <row r="76" spans="1:3" hidden="1" x14ac:dyDescent="0.25">
      <c r="A76" s="1">
        <v>68</v>
      </c>
      <c r="B76" s="10">
        <v>12457</v>
      </c>
      <c r="C76" s="11">
        <f t="shared" si="1"/>
        <v>8</v>
      </c>
    </row>
    <row r="77" spans="1:3" hidden="1" x14ac:dyDescent="0.25">
      <c r="A77" s="1">
        <v>69</v>
      </c>
      <c r="B77" s="10">
        <v>12457</v>
      </c>
      <c r="C77" s="11">
        <f t="shared" si="1"/>
        <v>9</v>
      </c>
    </row>
    <row r="78" spans="1:3" x14ac:dyDescent="0.25">
      <c r="A78" s="1">
        <v>70</v>
      </c>
      <c r="B78" s="10">
        <v>12414</v>
      </c>
      <c r="C78" s="11">
        <f t="shared" si="1"/>
        <v>0</v>
      </c>
    </row>
    <row r="79" spans="1:3" hidden="1" x14ac:dyDescent="0.25">
      <c r="A79" s="1">
        <v>71</v>
      </c>
      <c r="B79" s="10">
        <v>12392</v>
      </c>
      <c r="C79" s="11">
        <f t="shared" si="1"/>
        <v>1</v>
      </c>
    </row>
    <row r="80" spans="1:3" hidden="1" x14ac:dyDescent="0.25">
      <c r="A80" s="1">
        <v>72</v>
      </c>
      <c r="B80" s="10">
        <v>12389</v>
      </c>
      <c r="C80" s="11">
        <f t="shared" si="1"/>
        <v>2</v>
      </c>
    </row>
    <row r="81" spans="1:3" hidden="1" x14ac:dyDescent="0.25">
      <c r="A81" s="1">
        <v>73</v>
      </c>
      <c r="B81" s="10">
        <v>12401</v>
      </c>
      <c r="C81" s="11">
        <f t="shared" si="1"/>
        <v>3</v>
      </c>
    </row>
    <row r="82" spans="1:3" hidden="1" x14ac:dyDescent="0.25">
      <c r="A82" s="1">
        <v>74</v>
      </c>
      <c r="B82" s="10">
        <v>12335</v>
      </c>
      <c r="C82" s="11">
        <f t="shared" si="1"/>
        <v>4</v>
      </c>
    </row>
    <row r="83" spans="1:3" hidden="1" x14ac:dyDescent="0.25">
      <c r="A83" s="1">
        <v>75</v>
      </c>
      <c r="B83" s="10">
        <v>12312</v>
      </c>
      <c r="C83" s="11">
        <f t="shared" si="1"/>
        <v>5</v>
      </c>
    </row>
    <row r="84" spans="1:3" hidden="1" x14ac:dyDescent="0.25">
      <c r="A84" s="1">
        <v>76</v>
      </c>
      <c r="B84" s="10">
        <v>12277</v>
      </c>
      <c r="C84" s="11">
        <f t="shared" si="1"/>
        <v>6</v>
      </c>
    </row>
    <row r="85" spans="1:3" hidden="1" x14ac:dyDescent="0.25">
      <c r="A85" s="1">
        <v>77</v>
      </c>
      <c r="B85" s="10">
        <v>12222</v>
      </c>
      <c r="C85" s="11">
        <f t="shared" si="1"/>
        <v>7</v>
      </c>
    </row>
    <row r="86" spans="1:3" hidden="1" x14ac:dyDescent="0.25">
      <c r="A86" s="1">
        <v>78</v>
      </c>
      <c r="B86" s="10">
        <v>12285</v>
      </c>
      <c r="C86" s="11">
        <f t="shared" si="1"/>
        <v>8</v>
      </c>
    </row>
    <row r="87" spans="1:3" hidden="1" x14ac:dyDescent="0.25">
      <c r="A87" s="1">
        <v>79</v>
      </c>
      <c r="B87" s="10">
        <v>12285</v>
      </c>
      <c r="C87" s="11">
        <f t="shared" si="1"/>
        <v>9</v>
      </c>
    </row>
    <row r="88" spans="1:3" x14ac:dyDescent="0.25">
      <c r="A88" s="1">
        <v>80</v>
      </c>
      <c r="B88" s="10">
        <v>12216</v>
      </c>
      <c r="C88" s="11">
        <f t="shared" si="1"/>
        <v>0</v>
      </c>
    </row>
    <row r="89" spans="1:3" hidden="1" x14ac:dyDescent="0.25">
      <c r="A89" s="1">
        <v>81</v>
      </c>
      <c r="B89" s="10">
        <v>12258</v>
      </c>
      <c r="C89" s="11">
        <f t="shared" si="1"/>
        <v>1</v>
      </c>
    </row>
    <row r="90" spans="1:3" hidden="1" x14ac:dyDescent="0.25">
      <c r="A90" s="1">
        <v>82</v>
      </c>
      <c r="B90" s="10">
        <v>12187</v>
      </c>
      <c r="C90" s="11">
        <f t="shared" si="1"/>
        <v>2</v>
      </c>
    </row>
    <row r="91" spans="1:3" hidden="1" x14ac:dyDescent="0.25">
      <c r="A91" s="1">
        <v>83</v>
      </c>
      <c r="B91" s="10">
        <v>12176</v>
      </c>
      <c r="C91" s="11">
        <f t="shared" si="1"/>
        <v>3</v>
      </c>
    </row>
    <row r="92" spans="1:3" hidden="1" x14ac:dyDescent="0.25">
      <c r="A92" s="1">
        <v>84</v>
      </c>
      <c r="B92" s="10">
        <v>12151</v>
      </c>
      <c r="C92" s="11">
        <f t="shared" si="1"/>
        <v>4</v>
      </c>
    </row>
    <row r="93" spans="1:3" hidden="1" x14ac:dyDescent="0.25">
      <c r="A93" s="1">
        <v>85</v>
      </c>
      <c r="B93" s="10">
        <v>12165</v>
      </c>
      <c r="C93" s="11">
        <f t="shared" si="1"/>
        <v>5</v>
      </c>
    </row>
    <row r="94" spans="1:3" hidden="1" x14ac:dyDescent="0.25">
      <c r="A94" s="1">
        <v>86</v>
      </c>
      <c r="B94" s="10">
        <v>12222</v>
      </c>
      <c r="C94" s="11">
        <f t="shared" si="1"/>
        <v>6</v>
      </c>
    </row>
    <row r="95" spans="1:3" hidden="1" x14ac:dyDescent="0.25">
      <c r="A95" s="1">
        <v>87</v>
      </c>
      <c r="B95" s="10">
        <v>12278</v>
      </c>
      <c r="C95" s="11">
        <f t="shared" si="1"/>
        <v>7</v>
      </c>
    </row>
    <row r="96" spans="1:3" hidden="1" x14ac:dyDescent="0.25">
      <c r="A96" s="1">
        <v>88</v>
      </c>
      <c r="B96" s="10">
        <v>12326</v>
      </c>
      <c r="C96" s="11">
        <f t="shared" si="1"/>
        <v>8</v>
      </c>
    </row>
    <row r="97" spans="1:3" hidden="1" x14ac:dyDescent="0.25">
      <c r="A97" s="1">
        <v>89</v>
      </c>
      <c r="B97" s="10">
        <v>12344</v>
      </c>
      <c r="C97" s="11">
        <f t="shared" si="1"/>
        <v>9</v>
      </c>
    </row>
    <row r="98" spans="1:3" x14ac:dyDescent="0.25">
      <c r="A98" s="1">
        <v>90</v>
      </c>
      <c r="B98" s="10">
        <v>12350</v>
      </c>
      <c r="C98" s="11">
        <f t="shared" si="1"/>
        <v>0</v>
      </c>
    </row>
    <row r="99" spans="1:3" hidden="1" x14ac:dyDescent="0.25">
      <c r="A99" s="1">
        <v>91</v>
      </c>
      <c r="B99" s="10">
        <v>12368</v>
      </c>
      <c r="C99" s="11">
        <f t="shared" si="1"/>
        <v>1</v>
      </c>
    </row>
    <row r="100" spans="1:3" hidden="1" x14ac:dyDescent="0.25">
      <c r="A100" s="1">
        <v>92</v>
      </c>
      <c r="B100" s="10">
        <v>12289</v>
      </c>
      <c r="C100" s="11">
        <f t="shared" si="1"/>
        <v>2</v>
      </c>
    </row>
    <row r="101" spans="1:3" hidden="1" x14ac:dyDescent="0.25">
      <c r="A101" s="1">
        <v>93</v>
      </c>
      <c r="B101" s="10">
        <v>12221</v>
      </c>
      <c r="C101" s="11">
        <f t="shared" si="1"/>
        <v>3</v>
      </c>
    </row>
    <row r="102" spans="1:3" hidden="1" x14ac:dyDescent="0.25">
      <c r="A102" s="1">
        <v>94</v>
      </c>
      <c r="B102" s="10">
        <v>12206</v>
      </c>
      <c r="C102" s="11">
        <f t="shared" si="1"/>
        <v>4</v>
      </c>
    </row>
    <row r="103" spans="1:3" hidden="1" x14ac:dyDescent="0.25">
      <c r="A103" s="1">
        <v>95</v>
      </c>
      <c r="B103" s="10">
        <v>12218</v>
      </c>
      <c r="C103" s="11">
        <f t="shared" si="1"/>
        <v>5</v>
      </c>
    </row>
    <row r="104" spans="1:3" hidden="1" x14ac:dyDescent="0.25">
      <c r="A104" s="1">
        <v>96</v>
      </c>
      <c r="B104" s="10">
        <v>12263</v>
      </c>
      <c r="C104" s="11">
        <f t="shared" si="1"/>
        <v>6</v>
      </c>
    </row>
    <row r="105" spans="1:3" hidden="1" x14ac:dyDescent="0.25">
      <c r="A105" s="1">
        <v>97</v>
      </c>
      <c r="B105" s="10">
        <v>12250</v>
      </c>
      <c r="C105" s="11">
        <f t="shared" si="1"/>
        <v>7</v>
      </c>
    </row>
    <row r="106" spans="1:3" hidden="1" x14ac:dyDescent="0.25">
      <c r="A106" s="1">
        <v>98</v>
      </c>
      <c r="B106" s="10">
        <v>12254</v>
      </c>
      <c r="C106" s="11">
        <f t="shared" si="1"/>
        <v>8</v>
      </c>
    </row>
    <row r="107" spans="1:3" hidden="1" x14ac:dyDescent="0.25">
      <c r="A107" s="1">
        <v>99</v>
      </c>
      <c r="B107" s="10">
        <v>12234</v>
      </c>
      <c r="C107" s="11">
        <f t="shared" si="1"/>
        <v>9</v>
      </c>
    </row>
    <row r="108" spans="1:3" x14ac:dyDescent="0.25">
      <c r="A108" s="1">
        <v>100</v>
      </c>
      <c r="B108" s="10">
        <v>12148</v>
      </c>
      <c r="C108" s="11">
        <f t="shared" si="1"/>
        <v>0</v>
      </c>
    </row>
    <row r="109" spans="1:3" hidden="1" x14ac:dyDescent="0.25">
      <c r="A109" s="1">
        <v>101</v>
      </c>
      <c r="B109" s="10">
        <v>12109</v>
      </c>
      <c r="C109" s="11">
        <f t="shared" si="1"/>
        <v>1</v>
      </c>
    </row>
    <row r="110" spans="1:3" hidden="1" x14ac:dyDescent="0.25">
      <c r="A110" s="1">
        <v>102</v>
      </c>
      <c r="B110" s="10">
        <v>12067</v>
      </c>
      <c r="C110" s="11">
        <f t="shared" si="1"/>
        <v>2</v>
      </c>
    </row>
    <row r="111" spans="1:3" hidden="1" x14ac:dyDescent="0.25">
      <c r="A111" s="1">
        <v>103</v>
      </c>
      <c r="B111" s="10">
        <v>12078</v>
      </c>
      <c r="C111" s="11">
        <f t="shared" si="1"/>
        <v>3</v>
      </c>
    </row>
    <row r="112" spans="1:3" hidden="1" x14ac:dyDescent="0.25">
      <c r="A112" s="1">
        <v>104</v>
      </c>
      <c r="B112" s="10">
        <v>12118</v>
      </c>
      <c r="C112" s="11">
        <f t="shared" si="1"/>
        <v>4</v>
      </c>
    </row>
    <row r="113" spans="1:3" hidden="1" x14ac:dyDescent="0.25">
      <c r="A113" s="1">
        <v>105</v>
      </c>
      <c r="B113" s="10">
        <v>12166</v>
      </c>
      <c r="C113" s="11">
        <f t="shared" si="1"/>
        <v>5</v>
      </c>
    </row>
    <row r="114" spans="1:3" hidden="1" x14ac:dyDescent="0.25">
      <c r="A114" s="1">
        <v>106</v>
      </c>
      <c r="B114" s="10">
        <v>12102</v>
      </c>
      <c r="C114" s="11">
        <f t="shared" si="1"/>
        <v>6</v>
      </c>
    </row>
    <row r="115" spans="1:3" hidden="1" x14ac:dyDescent="0.25">
      <c r="A115" s="1">
        <v>107</v>
      </c>
      <c r="B115" s="10">
        <v>12118</v>
      </c>
      <c r="C115" s="11">
        <f t="shared" si="1"/>
        <v>7</v>
      </c>
    </row>
    <row r="116" spans="1:3" hidden="1" x14ac:dyDescent="0.25">
      <c r="A116" s="1">
        <v>108</v>
      </c>
      <c r="B116" s="10">
        <v>12092</v>
      </c>
      <c r="C116" s="11">
        <f t="shared" si="1"/>
        <v>8</v>
      </c>
    </row>
    <row r="117" spans="1:3" hidden="1" x14ac:dyDescent="0.25">
      <c r="A117" s="1">
        <v>109</v>
      </c>
      <c r="B117" s="10">
        <v>12097</v>
      </c>
      <c r="C117" s="11">
        <f t="shared" si="1"/>
        <v>9</v>
      </c>
    </row>
    <row r="118" spans="1:3" x14ac:dyDescent="0.25">
      <c r="A118" s="1">
        <v>110</v>
      </c>
      <c r="B118" s="10">
        <v>12160</v>
      </c>
      <c r="C118" s="11">
        <f t="shared" si="1"/>
        <v>0</v>
      </c>
    </row>
    <row r="119" spans="1:3" hidden="1" x14ac:dyDescent="0.25">
      <c r="A119" s="1">
        <v>111</v>
      </c>
      <c r="B119" s="10">
        <v>12179</v>
      </c>
      <c r="C119" s="11">
        <f t="shared" si="1"/>
        <v>1</v>
      </c>
    </row>
    <row r="120" spans="1:3" hidden="1" x14ac:dyDescent="0.25">
      <c r="A120" s="1">
        <v>112</v>
      </c>
      <c r="B120" s="10">
        <v>12112</v>
      </c>
      <c r="C120" s="11">
        <f t="shared" si="1"/>
        <v>2</v>
      </c>
    </row>
    <row r="121" spans="1:3" hidden="1" x14ac:dyDescent="0.25">
      <c r="A121" s="1">
        <v>113</v>
      </c>
      <c r="B121" s="10">
        <v>12069</v>
      </c>
      <c r="C121" s="11">
        <f t="shared" si="1"/>
        <v>3</v>
      </c>
    </row>
    <row r="122" spans="1:3" hidden="1" x14ac:dyDescent="0.25">
      <c r="A122" s="1">
        <v>114</v>
      </c>
      <c r="B122" s="10">
        <v>12059</v>
      </c>
      <c r="C122" s="11">
        <f t="shared" si="1"/>
        <v>4</v>
      </c>
    </row>
    <row r="123" spans="1:3" hidden="1" x14ac:dyDescent="0.25">
      <c r="A123" s="1">
        <v>115</v>
      </c>
      <c r="B123" s="10">
        <v>12062</v>
      </c>
      <c r="C123" s="11">
        <f t="shared" si="1"/>
        <v>5</v>
      </c>
    </row>
    <row r="124" spans="1:3" hidden="1" x14ac:dyDescent="0.25">
      <c r="A124" s="1">
        <v>116</v>
      </c>
      <c r="B124" s="10">
        <v>12026</v>
      </c>
      <c r="C124" s="11">
        <f t="shared" si="1"/>
        <v>6</v>
      </c>
    </row>
    <row r="125" spans="1:3" hidden="1" x14ac:dyDescent="0.25">
      <c r="A125" s="1">
        <v>117</v>
      </c>
      <c r="B125" s="10">
        <v>12032</v>
      </c>
      <c r="C125" s="11">
        <f t="shared" si="1"/>
        <v>7</v>
      </c>
    </row>
    <row r="126" spans="1:3" hidden="1" x14ac:dyDescent="0.25">
      <c r="A126" s="1">
        <v>118</v>
      </c>
      <c r="B126" s="10">
        <v>12046</v>
      </c>
      <c r="C126" s="11">
        <f t="shared" si="1"/>
        <v>8</v>
      </c>
    </row>
    <row r="127" spans="1:3" hidden="1" x14ac:dyDescent="0.25">
      <c r="A127" s="1">
        <v>119</v>
      </c>
      <c r="B127" s="10">
        <v>12056</v>
      </c>
      <c r="C127" s="11">
        <f t="shared" si="1"/>
        <v>9</v>
      </c>
    </row>
    <row r="128" spans="1:3" x14ac:dyDescent="0.25">
      <c r="A128" s="1">
        <v>120</v>
      </c>
      <c r="B128" s="10">
        <v>12046</v>
      </c>
      <c r="C128" s="11">
        <f t="shared" si="1"/>
        <v>0</v>
      </c>
    </row>
    <row r="129" spans="1:10" hidden="1" x14ac:dyDescent="0.25">
      <c r="A129" s="1">
        <v>121</v>
      </c>
      <c r="B129" s="10">
        <v>12041</v>
      </c>
      <c r="C129" s="11">
        <f t="shared" si="1"/>
        <v>1</v>
      </c>
    </row>
    <row r="130" spans="1:10" hidden="1" x14ac:dyDescent="0.25">
      <c r="A130" s="1">
        <v>122</v>
      </c>
      <c r="B130" s="10">
        <v>11979</v>
      </c>
      <c r="C130" s="11">
        <f t="shared" si="1"/>
        <v>2</v>
      </c>
    </row>
    <row r="131" spans="1:10" hidden="1" x14ac:dyDescent="0.25">
      <c r="A131" s="1">
        <v>123</v>
      </c>
      <c r="B131" s="10">
        <v>12028</v>
      </c>
      <c r="C131" s="11">
        <f t="shared" si="1"/>
        <v>3</v>
      </c>
    </row>
    <row r="132" spans="1:10" hidden="1" x14ac:dyDescent="0.25">
      <c r="A132" s="1">
        <v>124</v>
      </c>
      <c r="B132" s="10">
        <v>11974</v>
      </c>
      <c r="C132" s="11">
        <f t="shared" si="1"/>
        <v>4</v>
      </c>
    </row>
    <row r="133" spans="1:10" hidden="1" x14ac:dyDescent="0.25">
      <c r="A133" s="1">
        <v>125</v>
      </c>
      <c r="B133" s="10">
        <v>11967</v>
      </c>
      <c r="C133" s="11">
        <f t="shared" si="1"/>
        <v>5</v>
      </c>
    </row>
    <row r="134" spans="1:10" hidden="1" x14ac:dyDescent="0.25">
      <c r="A134" s="1">
        <v>126</v>
      </c>
      <c r="B134" s="10">
        <v>11968</v>
      </c>
      <c r="C134" s="11">
        <f t="shared" si="1"/>
        <v>6</v>
      </c>
    </row>
    <row r="135" spans="1:10" hidden="1" x14ac:dyDescent="0.25">
      <c r="A135" s="1">
        <v>127</v>
      </c>
      <c r="B135" s="10">
        <v>11972</v>
      </c>
      <c r="C135" s="11">
        <f t="shared" si="1"/>
        <v>7</v>
      </c>
    </row>
    <row r="136" spans="1:10" hidden="1" x14ac:dyDescent="0.25">
      <c r="A136" s="1">
        <v>128</v>
      </c>
      <c r="B136" s="10">
        <v>12023</v>
      </c>
      <c r="C136" s="11">
        <f t="shared" si="1"/>
        <v>8</v>
      </c>
    </row>
    <row r="137" spans="1:10" hidden="1" x14ac:dyDescent="0.25">
      <c r="A137" s="1">
        <v>129</v>
      </c>
      <c r="B137" s="10">
        <v>12087</v>
      </c>
      <c r="C137" s="11">
        <f t="shared" ref="C137:C200" si="2">MOD(A137,C$5)</f>
        <v>9</v>
      </c>
    </row>
    <row r="138" spans="1:10" ht="15" customHeight="1" x14ac:dyDescent="0.25">
      <c r="A138" s="1">
        <v>130</v>
      </c>
      <c r="B138" s="10">
        <v>12113</v>
      </c>
      <c r="C138" s="11">
        <f t="shared" si="2"/>
        <v>0</v>
      </c>
      <c r="E138" s="86" t="s">
        <v>86</v>
      </c>
      <c r="F138" s="86"/>
      <c r="G138" s="86"/>
      <c r="H138" s="86"/>
      <c r="I138" s="86"/>
      <c r="J138" s="86"/>
    </row>
    <row r="139" spans="1:10" ht="15" hidden="1" customHeight="1" x14ac:dyDescent="0.25">
      <c r="A139" s="1">
        <v>131</v>
      </c>
      <c r="B139" s="10">
        <v>12099</v>
      </c>
      <c r="C139" s="11">
        <f t="shared" si="2"/>
        <v>1</v>
      </c>
      <c r="E139" s="68"/>
      <c r="F139" s="68"/>
      <c r="G139" s="68"/>
      <c r="H139" s="68"/>
      <c r="I139" s="68"/>
      <c r="J139" s="68"/>
    </row>
    <row r="140" spans="1:10" ht="15" hidden="1" customHeight="1" x14ac:dyDescent="0.25">
      <c r="A140" s="1">
        <v>132</v>
      </c>
      <c r="B140" s="10">
        <v>12122</v>
      </c>
      <c r="C140" s="11">
        <f t="shared" si="2"/>
        <v>2</v>
      </c>
      <c r="E140" s="68"/>
      <c r="F140" s="68"/>
      <c r="G140" s="68"/>
      <c r="H140" s="68"/>
      <c r="I140" s="68"/>
      <c r="J140" s="68"/>
    </row>
    <row r="141" spans="1:10" ht="15" hidden="1" customHeight="1" x14ac:dyDescent="0.25">
      <c r="A141" s="1">
        <v>133</v>
      </c>
      <c r="B141" s="10">
        <v>12082</v>
      </c>
      <c r="C141" s="11">
        <f t="shared" si="2"/>
        <v>3</v>
      </c>
      <c r="E141" s="68"/>
      <c r="F141" s="68"/>
      <c r="G141" s="68"/>
      <c r="H141" s="68"/>
      <c r="I141" s="68"/>
      <c r="J141" s="68"/>
    </row>
    <row r="142" spans="1:10" ht="15" hidden="1" customHeight="1" x14ac:dyDescent="0.25">
      <c r="A142" s="1">
        <v>134</v>
      </c>
      <c r="B142" s="10">
        <v>12047</v>
      </c>
      <c r="C142" s="11">
        <f t="shared" si="2"/>
        <v>4</v>
      </c>
      <c r="E142" s="68"/>
      <c r="F142" s="68"/>
      <c r="G142" s="68"/>
      <c r="H142" s="68"/>
      <c r="I142" s="68"/>
      <c r="J142" s="68"/>
    </row>
    <row r="143" spans="1:10" ht="15" hidden="1" customHeight="1" x14ac:dyDescent="0.25">
      <c r="A143" s="1">
        <v>135</v>
      </c>
      <c r="B143" s="10">
        <v>11983</v>
      </c>
      <c r="C143" s="11">
        <f t="shared" si="2"/>
        <v>5</v>
      </c>
      <c r="E143" s="68"/>
      <c r="F143" s="68"/>
      <c r="G143" s="68"/>
      <c r="H143" s="68"/>
      <c r="I143" s="68"/>
      <c r="J143" s="68"/>
    </row>
    <row r="144" spans="1:10" ht="15" hidden="1" customHeight="1" x14ac:dyDescent="0.25">
      <c r="A144" s="1">
        <v>136</v>
      </c>
      <c r="B144" s="10">
        <v>11982</v>
      </c>
      <c r="C144" s="11">
        <f t="shared" si="2"/>
        <v>6</v>
      </c>
      <c r="E144" s="68"/>
      <c r="F144" s="68"/>
      <c r="G144" s="68"/>
      <c r="H144" s="68"/>
      <c r="I144" s="68"/>
      <c r="J144" s="68"/>
    </row>
    <row r="145" spans="1:10" ht="15" hidden="1" customHeight="1" x14ac:dyDescent="0.25">
      <c r="A145" s="1">
        <v>137</v>
      </c>
      <c r="B145" s="10">
        <v>11912</v>
      </c>
      <c r="C145" s="11">
        <f t="shared" si="2"/>
        <v>7</v>
      </c>
      <c r="E145" s="68"/>
      <c r="F145" s="68"/>
      <c r="G145" s="68"/>
      <c r="H145" s="68"/>
      <c r="I145" s="68"/>
      <c r="J145" s="68"/>
    </row>
    <row r="146" spans="1:10" ht="15" hidden="1" customHeight="1" x14ac:dyDescent="0.25">
      <c r="A146" s="1">
        <v>138</v>
      </c>
      <c r="B146" s="10">
        <v>11847</v>
      </c>
      <c r="C146" s="11">
        <f t="shared" si="2"/>
        <v>8</v>
      </c>
      <c r="E146" s="68"/>
      <c r="F146" s="68"/>
      <c r="G146" s="68"/>
      <c r="H146" s="68"/>
      <c r="I146" s="68"/>
      <c r="J146" s="68"/>
    </row>
    <row r="147" spans="1:10" ht="15" hidden="1" customHeight="1" x14ac:dyDescent="0.25">
      <c r="A147" s="1">
        <v>139</v>
      </c>
      <c r="B147" s="10">
        <v>11885</v>
      </c>
      <c r="C147" s="11">
        <f t="shared" si="2"/>
        <v>9</v>
      </c>
      <c r="E147" s="68"/>
      <c r="F147" s="68"/>
      <c r="G147" s="68"/>
      <c r="H147" s="68"/>
      <c r="I147" s="68"/>
      <c r="J147" s="68"/>
    </row>
    <row r="148" spans="1:10" ht="15" customHeight="1" x14ac:dyDescent="0.25">
      <c r="A148" s="1">
        <v>140</v>
      </c>
      <c r="B148" s="10">
        <v>11939</v>
      </c>
      <c r="C148" s="11">
        <f t="shared" si="2"/>
        <v>0</v>
      </c>
      <c r="E148" s="86" t="s">
        <v>87</v>
      </c>
      <c r="F148" s="86"/>
      <c r="G148" s="86"/>
      <c r="H148" s="86"/>
      <c r="I148" s="86"/>
      <c r="J148" s="86"/>
    </row>
    <row r="149" spans="1:10" hidden="1" x14ac:dyDescent="0.25">
      <c r="A149" s="1">
        <v>141</v>
      </c>
      <c r="B149" s="10">
        <v>11911</v>
      </c>
      <c r="C149" s="11">
        <f t="shared" si="2"/>
        <v>1</v>
      </c>
    </row>
    <row r="150" spans="1:10" hidden="1" x14ac:dyDescent="0.25">
      <c r="A150" s="1">
        <v>142</v>
      </c>
      <c r="B150" s="10">
        <v>11920</v>
      </c>
      <c r="C150" s="11">
        <f t="shared" si="2"/>
        <v>2</v>
      </c>
    </row>
    <row r="151" spans="1:10" hidden="1" x14ac:dyDescent="0.25">
      <c r="A151" s="1">
        <v>143</v>
      </c>
      <c r="B151" s="10">
        <v>11881</v>
      </c>
      <c r="C151" s="11">
        <f t="shared" si="2"/>
        <v>3</v>
      </c>
    </row>
    <row r="152" spans="1:10" hidden="1" x14ac:dyDescent="0.25">
      <c r="A152" s="1">
        <v>144</v>
      </c>
      <c r="B152" s="10">
        <v>11886</v>
      </c>
      <c r="C152" s="11">
        <f t="shared" si="2"/>
        <v>4</v>
      </c>
    </row>
    <row r="153" spans="1:10" hidden="1" x14ac:dyDescent="0.25">
      <c r="A153" s="1">
        <v>145</v>
      </c>
      <c r="B153" s="10">
        <v>11924</v>
      </c>
      <c r="C153" s="11">
        <f t="shared" si="2"/>
        <v>5</v>
      </c>
    </row>
    <row r="154" spans="1:10" hidden="1" x14ac:dyDescent="0.25">
      <c r="A154" s="1">
        <v>146</v>
      </c>
      <c r="B154" s="10">
        <v>11987</v>
      </c>
      <c r="C154" s="11">
        <f t="shared" si="2"/>
        <v>6</v>
      </c>
    </row>
    <row r="155" spans="1:10" hidden="1" x14ac:dyDescent="0.25">
      <c r="A155" s="1">
        <v>147</v>
      </c>
      <c r="B155" s="10">
        <v>11978</v>
      </c>
      <c r="C155" s="11">
        <f t="shared" si="2"/>
        <v>7</v>
      </c>
    </row>
    <row r="156" spans="1:10" hidden="1" x14ac:dyDescent="0.25">
      <c r="A156" s="1">
        <v>148</v>
      </c>
      <c r="B156" s="10">
        <v>11987</v>
      </c>
      <c r="C156" s="11">
        <f t="shared" si="2"/>
        <v>8</v>
      </c>
    </row>
    <row r="157" spans="1:10" hidden="1" x14ac:dyDescent="0.25">
      <c r="A157" s="1">
        <v>149</v>
      </c>
      <c r="B157" s="10">
        <v>11942</v>
      </c>
      <c r="C157" s="11">
        <f t="shared" si="2"/>
        <v>9</v>
      </c>
    </row>
    <row r="158" spans="1:10" x14ac:dyDescent="0.25">
      <c r="A158" s="1">
        <v>150</v>
      </c>
      <c r="B158" s="10">
        <v>11996</v>
      </c>
      <c r="C158" s="11">
        <f t="shared" si="2"/>
        <v>0</v>
      </c>
    </row>
    <row r="159" spans="1:10" hidden="1" x14ac:dyDescent="0.25">
      <c r="A159" s="1">
        <v>151</v>
      </c>
      <c r="B159" s="10">
        <v>12074</v>
      </c>
      <c r="C159" s="11">
        <f t="shared" si="2"/>
        <v>1</v>
      </c>
    </row>
    <row r="160" spans="1:10" hidden="1" x14ac:dyDescent="0.25">
      <c r="A160" s="1">
        <v>152</v>
      </c>
      <c r="B160" s="10">
        <v>12051</v>
      </c>
      <c r="C160" s="11">
        <f t="shared" si="2"/>
        <v>2</v>
      </c>
    </row>
    <row r="161" spans="1:3" hidden="1" x14ac:dyDescent="0.25">
      <c r="A161" s="1">
        <v>153</v>
      </c>
      <c r="B161" s="10">
        <v>12094</v>
      </c>
      <c r="C161" s="11">
        <f t="shared" si="2"/>
        <v>3</v>
      </c>
    </row>
    <row r="162" spans="1:3" hidden="1" x14ac:dyDescent="0.25">
      <c r="A162" s="1">
        <v>154</v>
      </c>
      <c r="B162" s="10">
        <v>12097</v>
      </c>
      <c r="C162" s="11">
        <f t="shared" si="2"/>
        <v>4</v>
      </c>
    </row>
    <row r="163" spans="1:3" hidden="1" x14ac:dyDescent="0.25">
      <c r="A163" s="1">
        <v>155</v>
      </c>
      <c r="B163" s="10">
        <v>12037</v>
      </c>
      <c r="C163" s="11">
        <f t="shared" si="2"/>
        <v>5</v>
      </c>
    </row>
    <row r="164" spans="1:3" hidden="1" x14ac:dyDescent="0.25">
      <c r="A164" s="1">
        <v>156</v>
      </c>
      <c r="B164" s="10">
        <v>12095</v>
      </c>
      <c r="C164" s="11">
        <f t="shared" si="2"/>
        <v>6</v>
      </c>
    </row>
    <row r="165" spans="1:3" hidden="1" x14ac:dyDescent="0.25">
      <c r="A165" s="1">
        <v>157</v>
      </c>
      <c r="B165" s="10">
        <v>12076</v>
      </c>
      <c r="C165" s="11">
        <f t="shared" si="2"/>
        <v>7</v>
      </c>
    </row>
    <row r="166" spans="1:3" hidden="1" x14ac:dyDescent="0.25">
      <c r="A166" s="1">
        <v>158</v>
      </c>
      <c r="B166" s="10">
        <v>12043</v>
      </c>
      <c r="C166" s="11">
        <f t="shared" si="2"/>
        <v>8</v>
      </c>
    </row>
    <row r="167" spans="1:3" hidden="1" x14ac:dyDescent="0.25">
      <c r="A167" s="1">
        <v>159</v>
      </c>
      <c r="B167" s="10">
        <v>11991</v>
      </c>
      <c r="C167" s="11">
        <f t="shared" si="2"/>
        <v>9</v>
      </c>
    </row>
    <row r="168" spans="1:3" x14ac:dyDescent="0.25">
      <c r="A168" s="1">
        <v>160</v>
      </c>
      <c r="B168" s="10">
        <v>12007</v>
      </c>
      <c r="C168" s="11">
        <f t="shared" si="2"/>
        <v>0</v>
      </c>
    </row>
    <row r="169" spans="1:3" hidden="1" x14ac:dyDescent="0.25">
      <c r="A169" s="1">
        <v>161</v>
      </c>
      <c r="B169" s="10">
        <v>12050</v>
      </c>
      <c r="C169" s="11">
        <f t="shared" si="2"/>
        <v>1</v>
      </c>
    </row>
    <row r="170" spans="1:3" hidden="1" x14ac:dyDescent="0.25">
      <c r="A170" s="1">
        <v>162</v>
      </c>
      <c r="B170" s="10">
        <v>11979</v>
      </c>
      <c r="C170" s="11">
        <f t="shared" si="2"/>
        <v>2</v>
      </c>
    </row>
    <row r="171" spans="1:3" hidden="1" x14ac:dyDescent="0.25">
      <c r="A171" s="1">
        <v>163</v>
      </c>
      <c r="B171" s="10">
        <v>11968</v>
      </c>
      <c r="C171" s="11">
        <f t="shared" si="2"/>
        <v>3</v>
      </c>
    </row>
    <row r="172" spans="1:3" hidden="1" x14ac:dyDescent="0.25">
      <c r="A172" s="1">
        <v>164</v>
      </c>
      <c r="B172" s="10">
        <v>11991</v>
      </c>
      <c r="C172" s="11">
        <f t="shared" si="2"/>
        <v>4</v>
      </c>
    </row>
    <row r="173" spans="1:3" hidden="1" x14ac:dyDescent="0.25">
      <c r="A173" s="1">
        <v>165</v>
      </c>
      <c r="B173" s="10">
        <v>11979</v>
      </c>
      <c r="C173" s="11">
        <f t="shared" si="2"/>
        <v>5</v>
      </c>
    </row>
    <row r="174" spans="1:3" hidden="1" x14ac:dyDescent="0.25">
      <c r="A174" s="1">
        <v>166</v>
      </c>
      <c r="B174" s="10">
        <v>11930</v>
      </c>
      <c r="C174" s="11">
        <f t="shared" si="2"/>
        <v>6</v>
      </c>
    </row>
    <row r="175" spans="1:3" hidden="1" x14ac:dyDescent="0.25">
      <c r="A175" s="1">
        <v>167</v>
      </c>
      <c r="B175" s="10">
        <v>11915</v>
      </c>
      <c r="C175" s="11">
        <f t="shared" si="2"/>
        <v>7</v>
      </c>
    </row>
    <row r="176" spans="1:3" hidden="1" x14ac:dyDescent="0.25">
      <c r="A176" s="1">
        <v>168</v>
      </c>
      <c r="B176" s="10">
        <v>11912</v>
      </c>
      <c r="C176" s="11">
        <f t="shared" si="2"/>
        <v>8</v>
      </c>
    </row>
    <row r="177" spans="1:3" hidden="1" x14ac:dyDescent="0.25">
      <c r="A177" s="1">
        <v>169</v>
      </c>
      <c r="B177" s="10">
        <v>11930</v>
      </c>
      <c r="C177" s="11">
        <f t="shared" si="2"/>
        <v>9</v>
      </c>
    </row>
    <row r="178" spans="1:3" x14ac:dyDescent="0.25">
      <c r="A178" s="1">
        <v>170</v>
      </c>
      <c r="B178" s="10">
        <v>11898</v>
      </c>
      <c r="C178" s="11">
        <f t="shared" si="2"/>
        <v>0</v>
      </c>
    </row>
    <row r="179" spans="1:3" hidden="1" x14ac:dyDescent="0.25">
      <c r="A179" s="1">
        <v>171</v>
      </c>
      <c r="B179" s="10">
        <v>11947</v>
      </c>
      <c r="C179" s="11">
        <f t="shared" si="2"/>
        <v>1</v>
      </c>
    </row>
    <row r="180" spans="1:3" hidden="1" x14ac:dyDescent="0.25">
      <c r="A180" s="1">
        <v>172</v>
      </c>
      <c r="B180" s="10">
        <v>11901</v>
      </c>
      <c r="C180" s="11">
        <f t="shared" si="2"/>
        <v>2</v>
      </c>
    </row>
    <row r="181" spans="1:3" hidden="1" x14ac:dyDescent="0.25">
      <c r="A181" s="1">
        <v>173</v>
      </c>
      <c r="B181" s="10">
        <v>11926</v>
      </c>
      <c r="C181" s="11">
        <f t="shared" si="2"/>
        <v>3</v>
      </c>
    </row>
    <row r="182" spans="1:3" hidden="1" x14ac:dyDescent="0.25">
      <c r="A182" s="1">
        <v>174</v>
      </c>
      <c r="B182" s="10">
        <v>12008</v>
      </c>
      <c r="C182" s="11">
        <f t="shared" si="2"/>
        <v>4</v>
      </c>
    </row>
    <row r="183" spans="1:3" hidden="1" x14ac:dyDescent="0.25">
      <c r="A183" s="1">
        <v>175</v>
      </c>
      <c r="B183" s="10">
        <v>12034</v>
      </c>
      <c r="C183" s="11">
        <f t="shared" si="2"/>
        <v>5</v>
      </c>
    </row>
    <row r="184" spans="1:3" hidden="1" x14ac:dyDescent="0.25">
      <c r="A184" s="1">
        <v>176</v>
      </c>
      <c r="B184" s="10">
        <v>11972</v>
      </c>
      <c r="C184" s="11">
        <f t="shared" si="2"/>
        <v>6</v>
      </c>
    </row>
    <row r="185" spans="1:3" hidden="1" x14ac:dyDescent="0.25">
      <c r="A185" s="1">
        <v>177</v>
      </c>
      <c r="B185" s="10">
        <v>12012</v>
      </c>
      <c r="C185" s="11">
        <f t="shared" si="2"/>
        <v>7</v>
      </c>
    </row>
    <row r="186" spans="1:3" hidden="1" x14ac:dyDescent="0.25">
      <c r="A186" s="1">
        <v>178</v>
      </c>
      <c r="B186" s="10">
        <v>12013</v>
      </c>
      <c r="C186" s="11">
        <f t="shared" si="2"/>
        <v>8</v>
      </c>
    </row>
    <row r="187" spans="1:3" hidden="1" x14ac:dyDescent="0.25">
      <c r="A187" s="1">
        <v>179</v>
      </c>
      <c r="B187" s="10">
        <v>12065</v>
      </c>
      <c r="C187" s="11">
        <f t="shared" si="2"/>
        <v>9</v>
      </c>
    </row>
    <row r="188" spans="1:3" x14ac:dyDescent="0.25">
      <c r="A188" s="1">
        <v>180</v>
      </c>
      <c r="B188" s="10">
        <v>12023</v>
      </c>
      <c r="C188" s="11">
        <f t="shared" si="2"/>
        <v>0</v>
      </c>
    </row>
    <row r="189" spans="1:3" hidden="1" x14ac:dyDescent="0.25">
      <c r="A189" s="1">
        <v>181</v>
      </c>
      <c r="B189" s="10">
        <v>12034</v>
      </c>
      <c r="C189" s="11">
        <f t="shared" si="2"/>
        <v>1</v>
      </c>
    </row>
    <row r="190" spans="1:3" hidden="1" x14ac:dyDescent="0.25">
      <c r="A190" s="1">
        <v>182</v>
      </c>
      <c r="B190" s="10">
        <v>12062</v>
      </c>
      <c r="C190" s="11">
        <f t="shared" si="2"/>
        <v>2</v>
      </c>
    </row>
    <row r="191" spans="1:3" hidden="1" x14ac:dyDescent="0.25">
      <c r="A191" s="1">
        <v>183</v>
      </c>
      <c r="B191" s="10">
        <v>11978</v>
      </c>
      <c r="C191" s="11">
        <f t="shared" si="2"/>
        <v>3</v>
      </c>
    </row>
    <row r="192" spans="1:3" hidden="1" x14ac:dyDescent="0.25">
      <c r="A192" s="1">
        <v>184</v>
      </c>
      <c r="B192" s="10">
        <v>11911</v>
      </c>
      <c r="C192" s="11">
        <f t="shared" si="2"/>
        <v>4</v>
      </c>
    </row>
    <row r="193" spans="1:3" hidden="1" x14ac:dyDescent="0.25">
      <c r="A193" s="1">
        <v>185</v>
      </c>
      <c r="B193" s="10">
        <v>11844</v>
      </c>
      <c r="C193" s="11">
        <f t="shared" si="2"/>
        <v>5</v>
      </c>
    </row>
    <row r="194" spans="1:3" hidden="1" x14ac:dyDescent="0.25">
      <c r="A194" s="1">
        <v>186</v>
      </c>
      <c r="B194" s="10">
        <v>11818</v>
      </c>
      <c r="C194" s="11">
        <f t="shared" si="2"/>
        <v>6</v>
      </c>
    </row>
    <row r="195" spans="1:3" hidden="1" x14ac:dyDescent="0.25">
      <c r="A195" s="1">
        <v>187</v>
      </c>
      <c r="B195" s="10">
        <v>11786</v>
      </c>
      <c r="C195" s="11">
        <f t="shared" si="2"/>
        <v>7</v>
      </c>
    </row>
    <row r="196" spans="1:3" hidden="1" x14ac:dyDescent="0.25">
      <c r="A196" s="1">
        <v>188</v>
      </c>
      <c r="B196" s="10">
        <v>11796</v>
      </c>
      <c r="C196" s="11">
        <f t="shared" si="2"/>
        <v>8</v>
      </c>
    </row>
    <row r="197" spans="1:3" hidden="1" x14ac:dyDescent="0.25">
      <c r="A197" s="1">
        <v>189</v>
      </c>
      <c r="B197" s="10">
        <v>11718</v>
      </c>
      <c r="C197" s="11">
        <f t="shared" si="2"/>
        <v>9</v>
      </c>
    </row>
    <row r="198" spans="1:3" x14ac:dyDescent="0.25">
      <c r="A198" s="1">
        <v>190</v>
      </c>
      <c r="B198" s="10">
        <v>11726</v>
      </c>
      <c r="C198" s="11">
        <f t="shared" si="2"/>
        <v>0</v>
      </c>
    </row>
    <row r="199" spans="1:3" hidden="1" x14ac:dyDescent="0.25">
      <c r="A199" s="1">
        <v>191</v>
      </c>
      <c r="B199" s="10">
        <v>11671</v>
      </c>
      <c r="C199" s="11">
        <f t="shared" si="2"/>
        <v>1</v>
      </c>
    </row>
    <row r="200" spans="1:3" hidden="1" x14ac:dyDescent="0.25">
      <c r="A200" s="1">
        <v>192</v>
      </c>
      <c r="B200" s="10">
        <v>11665</v>
      </c>
      <c r="C200" s="11">
        <f t="shared" si="2"/>
        <v>2</v>
      </c>
    </row>
    <row r="201" spans="1:3" hidden="1" x14ac:dyDescent="0.25">
      <c r="A201" s="1">
        <v>193</v>
      </c>
      <c r="B201" s="10">
        <v>11610</v>
      </c>
      <c r="C201" s="11">
        <f t="shared" ref="C201:C264" si="3">MOD(A201,C$5)</f>
        <v>3</v>
      </c>
    </row>
    <row r="202" spans="1:3" hidden="1" x14ac:dyDescent="0.25">
      <c r="A202" s="1">
        <v>194</v>
      </c>
      <c r="B202" s="10">
        <v>11680</v>
      </c>
      <c r="C202" s="11">
        <f t="shared" si="3"/>
        <v>4</v>
      </c>
    </row>
    <row r="203" spans="1:3" hidden="1" x14ac:dyDescent="0.25">
      <c r="A203" s="1">
        <v>195</v>
      </c>
      <c r="B203" s="10">
        <v>11701</v>
      </c>
      <c r="C203" s="11">
        <f t="shared" si="3"/>
        <v>5</v>
      </c>
    </row>
    <row r="204" spans="1:3" hidden="1" x14ac:dyDescent="0.25">
      <c r="A204" s="1">
        <v>196</v>
      </c>
      <c r="B204" s="10">
        <v>11718</v>
      </c>
      <c r="C204" s="11">
        <f t="shared" si="3"/>
        <v>6</v>
      </c>
    </row>
    <row r="205" spans="1:3" hidden="1" x14ac:dyDescent="0.25">
      <c r="A205" s="1">
        <v>197</v>
      </c>
      <c r="B205" s="10">
        <v>11734</v>
      </c>
      <c r="C205" s="11">
        <f t="shared" si="3"/>
        <v>7</v>
      </c>
    </row>
    <row r="206" spans="1:3" hidden="1" x14ac:dyDescent="0.25">
      <c r="A206" s="1">
        <v>198</v>
      </c>
      <c r="B206" s="10">
        <v>11718</v>
      </c>
      <c r="C206" s="11">
        <f t="shared" si="3"/>
        <v>8</v>
      </c>
    </row>
    <row r="207" spans="1:3" hidden="1" x14ac:dyDescent="0.25">
      <c r="A207" s="1">
        <v>199</v>
      </c>
      <c r="B207" s="10">
        <v>11746</v>
      </c>
      <c r="C207" s="11">
        <f t="shared" si="3"/>
        <v>9</v>
      </c>
    </row>
    <row r="208" spans="1:3" x14ac:dyDescent="0.25">
      <c r="A208" s="1">
        <v>200</v>
      </c>
      <c r="B208" s="10">
        <v>11769</v>
      </c>
      <c r="C208" s="11">
        <f t="shared" si="3"/>
        <v>0</v>
      </c>
    </row>
    <row r="209" spans="1:3" hidden="1" x14ac:dyDescent="0.25">
      <c r="A209" s="1">
        <v>201</v>
      </c>
      <c r="B209" s="10">
        <v>11837</v>
      </c>
      <c r="C209" s="11">
        <f t="shared" si="3"/>
        <v>1</v>
      </c>
    </row>
    <row r="210" spans="1:3" hidden="1" x14ac:dyDescent="0.25">
      <c r="A210" s="1">
        <v>202</v>
      </c>
      <c r="B210" s="10">
        <v>11855</v>
      </c>
      <c r="C210" s="11">
        <f t="shared" si="3"/>
        <v>2</v>
      </c>
    </row>
    <row r="211" spans="1:3" hidden="1" x14ac:dyDescent="0.25">
      <c r="A211" s="1">
        <v>203</v>
      </c>
      <c r="B211" s="10">
        <v>11831</v>
      </c>
      <c r="C211" s="11">
        <f t="shared" si="3"/>
        <v>3</v>
      </c>
    </row>
    <row r="212" spans="1:3" hidden="1" x14ac:dyDescent="0.25">
      <c r="A212" s="1">
        <v>204</v>
      </c>
      <c r="B212" s="10">
        <v>11783</v>
      </c>
      <c r="C212" s="11">
        <f t="shared" si="3"/>
        <v>4</v>
      </c>
    </row>
    <row r="213" spans="1:3" hidden="1" x14ac:dyDescent="0.25">
      <c r="A213" s="1">
        <v>205</v>
      </c>
      <c r="B213" s="10">
        <v>11742</v>
      </c>
      <c r="C213" s="11">
        <f t="shared" si="3"/>
        <v>5</v>
      </c>
    </row>
    <row r="214" spans="1:3" hidden="1" x14ac:dyDescent="0.25">
      <c r="A214" s="1">
        <v>206</v>
      </c>
      <c r="B214" s="10">
        <v>11703</v>
      </c>
      <c r="C214" s="11">
        <f t="shared" si="3"/>
        <v>6</v>
      </c>
    </row>
    <row r="215" spans="1:3" hidden="1" x14ac:dyDescent="0.25">
      <c r="A215" s="1">
        <v>207</v>
      </c>
      <c r="B215" s="10">
        <v>11708</v>
      </c>
      <c r="C215" s="11">
        <f t="shared" si="3"/>
        <v>7</v>
      </c>
    </row>
    <row r="216" spans="1:3" hidden="1" x14ac:dyDescent="0.25">
      <c r="A216" s="1">
        <v>208</v>
      </c>
      <c r="B216" s="10">
        <v>11739</v>
      </c>
      <c r="C216" s="11">
        <f t="shared" si="3"/>
        <v>8</v>
      </c>
    </row>
    <row r="217" spans="1:3" hidden="1" x14ac:dyDescent="0.25">
      <c r="A217" s="1">
        <v>209</v>
      </c>
      <c r="B217" s="10">
        <v>11718</v>
      </c>
      <c r="C217" s="11">
        <f t="shared" si="3"/>
        <v>9</v>
      </c>
    </row>
    <row r="218" spans="1:3" x14ac:dyDescent="0.25">
      <c r="A218" s="1">
        <v>210</v>
      </c>
      <c r="B218" s="10">
        <v>11668</v>
      </c>
      <c r="C218" s="11">
        <f t="shared" si="3"/>
        <v>0</v>
      </c>
    </row>
    <row r="219" spans="1:3" hidden="1" x14ac:dyDescent="0.25">
      <c r="A219" s="1">
        <v>211</v>
      </c>
      <c r="B219" s="10">
        <v>11595</v>
      </c>
      <c r="C219" s="11">
        <f t="shared" si="3"/>
        <v>1</v>
      </c>
    </row>
    <row r="220" spans="1:3" hidden="1" x14ac:dyDescent="0.25">
      <c r="A220" s="1">
        <v>212</v>
      </c>
      <c r="B220" s="10">
        <v>11580</v>
      </c>
      <c r="C220" s="11">
        <f t="shared" si="3"/>
        <v>2</v>
      </c>
    </row>
    <row r="221" spans="1:3" hidden="1" x14ac:dyDescent="0.25">
      <c r="A221" s="1">
        <v>213</v>
      </c>
      <c r="B221" s="10">
        <v>11580</v>
      </c>
      <c r="C221" s="11">
        <f t="shared" si="3"/>
        <v>3</v>
      </c>
    </row>
    <row r="222" spans="1:3" hidden="1" x14ac:dyDescent="0.25">
      <c r="A222" s="1">
        <v>214</v>
      </c>
      <c r="B222" s="10">
        <v>11559</v>
      </c>
      <c r="C222" s="11">
        <f t="shared" si="3"/>
        <v>4</v>
      </c>
    </row>
    <row r="223" spans="1:3" hidden="1" x14ac:dyDescent="0.25">
      <c r="A223" s="1">
        <v>215</v>
      </c>
      <c r="B223" s="10">
        <v>11577</v>
      </c>
      <c r="C223" s="11">
        <f t="shared" si="3"/>
        <v>5</v>
      </c>
    </row>
    <row r="224" spans="1:3" hidden="1" x14ac:dyDescent="0.25">
      <c r="A224" s="1">
        <v>216</v>
      </c>
      <c r="B224" s="10">
        <v>11560</v>
      </c>
      <c r="C224" s="11">
        <f t="shared" si="3"/>
        <v>6</v>
      </c>
    </row>
    <row r="225" spans="1:3" hidden="1" x14ac:dyDescent="0.25">
      <c r="A225" s="1">
        <v>217</v>
      </c>
      <c r="B225" s="10">
        <v>11577</v>
      </c>
      <c r="C225" s="11">
        <f t="shared" si="3"/>
        <v>7</v>
      </c>
    </row>
    <row r="226" spans="1:3" hidden="1" x14ac:dyDescent="0.25">
      <c r="A226" s="1">
        <v>218</v>
      </c>
      <c r="B226" s="10">
        <v>11619</v>
      </c>
      <c r="C226" s="11">
        <f t="shared" si="3"/>
        <v>8</v>
      </c>
    </row>
    <row r="227" spans="1:3" hidden="1" x14ac:dyDescent="0.25">
      <c r="A227" s="1">
        <v>219</v>
      </c>
      <c r="B227" s="10">
        <v>11679</v>
      </c>
      <c r="C227" s="11">
        <f t="shared" si="3"/>
        <v>9</v>
      </c>
    </row>
    <row r="228" spans="1:3" x14ac:dyDescent="0.25">
      <c r="A228" s="1">
        <v>220</v>
      </c>
      <c r="B228" s="10">
        <v>11702</v>
      </c>
      <c r="C228" s="11">
        <f t="shared" si="3"/>
        <v>0</v>
      </c>
    </row>
    <row r="229" spans="1:3" hidden="1" x14ac:dyDescent="0.25">
      <c r="A229" s="1">
        <v>221</v>
      </c>
      <c r="B229" s="10">
        <v>11756</v>
      </c>
      <c r="C229" s="11">
        <f t="shared" si="3"/>
        <v>1</v>
      </c>
    </row>
    <row r="230" spans="1:3" hidden="1" x14ac:dyDescent="0.25">
      <c r="A230" s="1">
        <v>222</v>
      </c>
      <c r="B230" s="10">
        <v>11815</v>
      </c>
      <c r="C230" s="11">
        <f t="shared" si="3"/>
        <v>2</v>
      </c>
    </row>
    <row r="231" spans="1:3" hidden="1" x14ac:dyDescent="0.25">
      <c r="A231" s="1">
        <v>223</v>
      </c>
      <c r="B231" s="10">
        <v>11773</v>
      </c>
      <c r="C231" s="11">
        <f t="shared" si="3"/>
        <v>3</v>
      </c>
    </row>
    <row r="232" spans="1:3" hidden="1" x14ac:dyDescent="0.25">
      <c r="A232" s="1">
        <v>224</v>
      </c>
      <c r="B232" s="10">
        <v>11731</v>
      </c>
      <c r="C232" s="11">
        <f t="shared" si="3"/>
        <v>4</v>
      </c>
    </row>
    <row r="233" spans="1:3" hidden="1" x14ac:dyDescent="0.25">
      <c r="A233" s="1">
        <v>225</v>
      </c>
      <c r="B233" s="10">
        <v>11763</v>
      </c>
      <c r="C233" s="11">
        <f t="shared" si="3"/>
        <v>5</v>
      </c>
    </row>
    <row r="234" spans="1:3" hidden="1" x14ac:dyDescent="0.25">
      <c r="A234" s="1">
        <v>226</v>
      </c>
      <c r="B234" s="10">
        <v>11749</v>
      </c>
      <c r="C234" s="11">
        <f t="shared" si="3"/>
        <v>6</v>
      </c>
    </row>
    <row r="235" spans="1:3" hidden="1" x14ac:dyDescent="0.25">
      <c r="A235" s="1">
        <v>227</v>
      </c>
      <c r="B235" s="10">
        <v>11755</v>
      </c>
      <c r="C235" s="11">
        <f t="shared" si="3"/>
        <v>7</v>
      </c>
    </row>
    <row r="236" spans="1:3" hidden="1" x14ac:dyDescent="0.25">
      <c r="A236" s="1">
        <v>228</v>
      </c>
      <c r="B236" s="10">
        <v>11817</v>
      </c>
      <c r="C236" s="11">
        <f t="shared" si="3"/>
        <v>8</v>
      </c>
    </row>
    <row r="237" spans="1:3" hidden="1" x14ac:dyDescent="0.25">
      <c r="A237" s="1">
        <v>229</v>
      </c>
      <c r="B237" s="10">
        <v>11821</v>
      </c>
      <c r="C237" s="11">
        <f t="shared" si="3"/>
        <v>9</v>
      </c>
    </row>
    <row r="238" spans="1:3" x14ac:dyDescent="0.25">
      <c r="A238" s="1">
        <v>230</v>
      </c>
      <c r="B238" s="10">
        <v>11755</v>
      </c>
      <c r="C238" s="11">
        <f t="shared" si="3"/>
        <v>0</v>
      </c>
    </row>
    <row r="239" spans="1:3" hidden="1" x14ac:dyDescent="0.25">
      <c r="A239" s="1">
        <v>231</v>
      </c>
      <c r="B239" s="10">
        <v>11755</v>
      </c>
      <c r="C239" s="11">
        <f t="shared" si="3"/>
        <v>1</v>
      </c>
    </row>
    <row r="240" spans="1:3" hidden="1" x14ac:dyDescent="0.25">
      <c r="A240" s="1">
        <v>232</v>
      </c>
      <c r="B240" s="10">
        <v>11793</v>
      </c>
      <c r="C240" s="11">
        <f t="shared" si="3"/>
        <v>2</v>
      </c>
    </row>
    <row r="241" spans="1:3" hidden="1" x14ac:dyDescent="0.25">
      <c r="A241" s="1">
        <v>233</v>
      </c>
      <c r="B241" s="10">
        <v>11739</v>
      </c>
      <c r="C241" s="11">
        <f t="shared" si="3"/>
        <v>3</v>
      </c>
    </row>
    <row r="242" spans="1:3" hidden="1" x14ac:dyDescent="0.25">
      <c r="A242" s="1">
        <v>234</v>
      </c>
      <c r="B242" s="10">
        <v>11676</v>
      </c>
      <c r="C242" s="11">
        <f t="shared" si="3"/>
        <v>4</v>
      </c>
    </row>
    <row r="243" spans="1:3" hidden="1" x14ac:dyDescent="0.25">
      <c r="A243" s="1">
        <v>235</v>
      </c>
      <c r="B243" s="10">
        <v>11743</v>
      </c>
      <c r="C243" s="11">
        <f t="shared" si="3"/>
        <v>5</v>
      </c>
    </row>
    <row r="244" spans="1:3" hidden="1" x14ac:dyDescent="0.25">
      <c r="A244" s="1">
        <v>236</v>
      </c>
      <c r="B244" s="10">
        <v>11774</v>
      </c>
      <c r="C244" s="11">
        <f t="shared" si="3"/>
        <v>6</v>
      </c>
    </row>
    <row r="245" spans="1:3" hidden="1" x14ac:dyDescent="0.25">
      <c r="A245" s="1">
        <v>237</v>
      </c>
      <c r="B245" s="10">
        <v>11819</v>
      </c>
      <c r="C245" s="11">
        <f t="shared" si="3"/>
        <v>7</v>
      </c>
    </row>
    <row r="246" spans="1:3" hidden="1" x14ac:dyDescent="0.25">
      <c r="A246" s="1">
        <v>238</v>
      </c>
      <c r="B246" s="10">
        <v>11827</v>
      </c>
      <c r="C246" s="11">
        <f t="shared" si="3"/>
        <v>8</v>
      </c>
    </row>
    <row r="247" spans="1:3" hidden="1" x14ac:dyDescent="0.25">
      <c r="A247" s="1">
        <v>239</v>
      </c>
      <c r="B247" s="10">
        <v>11832</v>
      </c>
      <c r="C247" s="11">
        <f t="shared" si="3"/>
        <v>9</v>
      </c>
    </row>
    <row r="248" spans="1:3" x14ac:dyDescent="0.25">
      <c r="A248" s="1">
        <v>240</v>
      </c>
      <c r="B248" s="10">
        <v>11765</v>
      </c>
      <c r="C248" s="11">
        <f t="shared" si="3"/>
        <v>0</v>
      </c>
    </row>
    <row r="249" spans="1:3" hidden="1" x14ac:dyDescent="0.25">
      <c r="A249" s="1">
        <v>241</v>
      </c>
      <c r="B249" s="10">
        <v>11749</v>
      </c>
      <c r="C249" s="11">
        <f t="shared" si="3"/>
        <v>1</v>
      </c>
    </row>
    <row r="250" spans="1:3" hidden="1" x14ac:dyDescent="0.25">
      <c r="A250" s="1">
        <v>242</v>
      </c>
      <c r="B250" s="10">
        <v>11733</v>
      </c>
      <c r="C250" s="11">
        <f t="shared" si="3"/>
        <v>2</v>
      </c>
    </row>
    <row r="251" spans="1:3" hidden="1" x14ac:dyDescent="0.25">
      <c r="A251" s="1">
        <v>243</v>
      </c>
      <c r="B251" s="10">
        <v>11706</v>
      </c>
      <c r="C251" s="11">
        <f t="shared" si="3"/>
        <v>3</v>
      </c>
    </row>
    <row r="252" spans="1:3" hidden="1" x14ac:dyDescent="0.25">
      <c r="A252" s="1">
        <v>244</v>
      </c>
      <c r="B252" s="10">
        <v>11719</v>
      </c>
      <c r="C252" s="11">
        <f t="shared" si="3"/>
        <v>4</v>
      </c>
    </row>
    <row r="253" spans="1:3" hidden="1" x14ac:dyDescent="0.25">
      <c r="A253" s="1">
        <v>245</v>
      </c>
      <c r="B253" s="10">
        <v>11765</v>
      </c>
      <c r="C253" s="11">
        <f t="shared" si="3"/>
        <v>5</v>
      </c>
    </row>
    <row r="254" spans="1:3" hidden="1" x14ac:dyDescent="0.25">
      <c r="A254" s="1">
        <v>246</v>
      </c>
      <c r="B254" s="10">
        <v>11794</v>
      </c>
      <c r="C254" s="11">
        <f t="shared" si="3"/>
        <v>6</v>
      </c>
    </row>
    <row r="255" spans="1:3" hidden="1" x14ac:dyDescent="0.25">
      <c r="A255" s="1">
        <v>247</v>
      </c>
      <c r="B255" s="10">
        <v>11872</v>
      </c>
      <c r="C255" s="11">
        <f t="shared" si="3"/>
        <v>7</v>
      </c>
    </row>
    <row r="256" spans="1:3" hidden="1" x14ac:dyDescent="0.25">
      <c r="A256" s="1">
        <v>248</v>
      </c>
      <c r="B256" s="10">
        <v>11892</v>
      </c>
      <c r="C256" s="11">
        <f t="shared" si="3"/>
        <v>8</v>
      </c>
    </row>
    <row r="257" spans="1:3" hidden="1" x14ac:dyDescent="0.25">
      <c r="A257" s="1">
        <v>249</v>
      </c>
      <c r="B257" s="10">
        <v>11943</v>
      </c>
      <c r="C257" s="11">
        <f t="shared" si="3"/>
        <v>9</v>
      </c>
    </row>
    <row r="258" spans="1:3" x14ac:dyDescent="0.25">
      <c r="A258" s="1">
        <v>250</v>
      </c>
      <c r="B258" s="10">
        <v>11986</v>
      </c>
      <c r="C258" s="11">
        <f t="shared" si="3"/>
        <v>0</v>
      </c>
    </row>
    <row r="259" spans="1:3" hidden="1" x14ac:dyDescent="0.25">
      <c r="A259" s="1">
        <v>251</v>
      </c>
      <c r="B259" s="10">
        <v>12064</v>
      </c>
      <c r="C259" s="11">
        <f t="shared" si="3"/>
        <v>1</v>
      </c>
    </row>
    <row r="260" spans="1:3" hidden="1" x14ac:dyDescent="0.25">
      <c r="A260" s="1">
        <v>252</v>
      </c>
      <c r="B260" s="10">
        <v>12055</v>
      </c>
      <c r="C260" s="11">
        <f t="shared" si="3"/>
        <v>2</v>
      </c>
    </row>
    <row r="261" spans="1:3" hidden="1" x14ac:dyDescent="0.25">
      <c r="A261" s="1">
        <v>253</v>
      </c>
      <c r="B261" s="10">
        <v>12091</v>
      </c>
      <c r="C261" s="11">
        <f t="shared" si="3"/>
        <v>3</v>
      </c>
    </row>
    <row r="262" spans="1:3" hidden="1" x14ac:dyDescent="0.25">
      <c r="A262" s="1">
        <v>254</v>
      </c>
      <c r="B262" s="10">
        <v>12086</v>
      </c>
      <c r="C262" s="11">
        <f t="shared" si="3"/>
        <v>4</v>
      </c>
    </row>
    <row r="263" spans="1:3" hidden="1" x14ac:dyDescent="0.25">
      <c r="A263" s="1">
        <v>255</v>
      </c>
      <c r="B263" s="10">
        <v>12108</v>
      </c>
      <c r="C263" s="11">
        <f t="shared" si="3"/>
        <v>5</v>
      </c>
    </row>
    <row r="264" spans="1:3" hidden="1" x14ac:dyDescent="0.25">
      <c r="A264" s="1">
        <v>256</v>
      </c>
      <c r="B264" s="10">
        <v>12128</v>
      </c>
      <c r="C264" s="11">
        <f t="shared" si="3"/>
        <v>6</v>
      </c>
    </row>
    <row r="265" spans="1:3" hidden="1" x14ac:dyDescent="0.25">
      <c r="A265" s="1">
        <v>257</v>
      </c>
      <c r="B265" s="10">
        <v>12140</v>
      </c>
      <c r="C265" s="11">
        <f t="shared" ref="C265:C328" si="4">MOD(A265,C$5)</f>
        <v>7</v>
      </c>
    </row>
    <row r="266" spans="1:3" hidden="1" x14ac:dyDescent="0.25">
      <c r="A266" s="1">
        <v>258</v>
      </c>
      <c r="B266" s="10">
        <v>12176</v>
      </c>
      <c r="C266" s="11">
        <f t="shared" si="4"/>
        <v>8</v>
      </c>
    </row>
    <row r="267" spans="1:3" hidden="1" x14ac:dyDescent="0.25">
      <c r="A267" s="1">
        <v>259</v>
      </c>
      <c r="B267" s="10">
        <v>12158</v>
      </c>
      <c r="C267" s="11">
        <f t="shared" si="4"/>
        <v>9</v>
      </c>
    </row>
    <row r="268" spans="1:3" x14ac:dyDescent="0.25">
      <c r="A268" s="1">
        <v>260</v>
      </c>
      <c r="B268" s="10">
        <v>12170</v>
      </c>
      <c r="C268" s="11">
        <f t="shared" si="4"/>
        <v>0</v>
      </c>
    </row>
    <row r="269" spans="1:3" hidden="1" x14ac:dyDescent="0.25">
      <c r="A269" s="1">
        <v>261</v>
      </c>
      <c r="B269" s="10">
        <v>12195</v>
      </c>
      <c r="C269" s="11">
        <f t="shared" si="4"/>
        <v>1</v>
      </c>
    </row>
    <row r="270" spans="1:3" hidden="1" x14ac:dyDescent="0.25">
      <c r="A270" s="1">
        <v>262</v>
      </c>
      <c r="B270" s="10">
        <v>12138</v>
      </c>
      <c r="C270" s="11">
        <f t="shared" si="4"/>
        <v>2</v>
      </c>
    </row>
    <row r="271" spans="1:3" hidden="1" x14ac:dyDescent="0.25">
      <c r="A271" s="1">
        <v>263</v>
      </c>
      <c r="B271" s="10">
        <v>12118</v>
      </c>
      <c r="C271" s="11">
        <f t="shared" si="4"/>
        <v>3</v>
      </c>
    </row>
    <row r="272" spans="1:3" hidden="1" x14ac:dyDescent="0.25">
      <c r="A272" s="1">
        <v>264</v>
      </c>
      <c r="B272" s="10">
        <v>12154</v>
      </c>
      <c r="C272" s="11">
        <f t="shared" si="4"/>
        <v>4</v>
      </c>
    </row>
    <row r="273" spans="1:3" hidden="1" x14ac:dyDescent="0.25">
      <c r="A273" s="1">
        <v>265</v>
      </c>
      <c r="B273" s="10">
        <v>12182</v>
      </c>
      <c r="C273" s="11">
        <f t="shared" si="4"/>
        <v>5</v>
      </c>
    </row>
    <row r="274" spans="1:3" hidden="1" x14ac:dyDescent="0.25">
      <c r="A274" s="1">
        <v>266</v>
      </c>
      <c r="B274" s="10">
        <v>12201</v>
      </c>
      <c r="C274" s="11">
        <f t="shared" si="4"/>
        <v>6</v>
      </c>
    </row>
    <row r="275" spans="1:3" hidden="1" x14ac:dyDescent="0.25">
      <c r="A275" s="1">
        <v>267</v>
      </c>
      <c r="B275" s="10">
        <v>12201</v>
      </c>
      <c r="C275" s="11">
        <f t="shared" si="4"/>
        <v>7</v>
      </c>
    </row>
    <row r="276" spans="1:3" hidden="1" x14ac:dyDescent="0.25">
      <c r="A276" s="1">
        <v>268</v>
      </c>
      <c r="B276" s="10">
        <v>12208</v>
      </c>
      <c r="C276" s="11">
        <f t="shared" si="4"/>
        <v>8</v>
      </c>
    </row>
    <row r="277" spans="1:3" hidden="1" x14ac:dyDescent="0.25">
      <c r="A277" s="1">
        <v>269</v>
      </c>
      <c r="B277" s="10">
        <v>12146</v>
      </c>
      <c r="C277" s="11">
        <f t="shared" si="4"/>
        <v>9</v>
      </c>
    </row>
    <row r="278" spans="1:3" x14ac:dyDescent="0.25">
      <c r="A278" s="1">
        <v>270</v>
      </c>
      <c r="B278" s="10">
        <v>12144</v>
      </c>
      <c r="C278" s="11">
        <f t="shared" si="4"/>
        <v>0</v>
      </c>
    </row>
    <row r="279" spans="1:3" hidden="1" x14ac:dyDescent="0.25">
      <c r="A279" s="1">
        <v>271</v>
      </c>
      <c r="B279" s="10">
        <v>12098</v>
      </c>
      <c r="C279" s="11">
        <f t="shared" si="4"/>
        <v>1</v>
      </c>
    </row>
    <row r="280" spans="1:3" hidden="1" x14ac:dyDescent="0.25">
      <c r="A280" s="1">
        <v>272</v>
      </c>
      <c r="B280" s="10">
        <v>12161</v>
      </c>
      <c r="C280" s="11">
        <f t="shared" si="4"/>
        <v>2</v>
      </c>
    </row>
    <row r="281" spans="1:3" hidden="1" x14ac:dyDescent="0.25">
      <c r="A281" s="1">
        <v>273</v>
      </c>
      <c r="B281" s="10">
        <v>12126</v>
      </c>
      <c r="C281" s="11">
        <f t="shared" si="4"/>
        <v>3</v>
      </c>
    </row>
    <row r="282" spans="1:3" hidden="1" x14ac:dyDescent="0.25">
      <c r="A282" s="1">
        <v>274</v>
      </c>
      <c r="B282" s="10">
        <v>12176</v>
      </c>
      <c r="C282" s="11">
        <f t="shared" si="4"/>
        <v>4</v>
      </c>
    </row>
    <row r="283" spans="1:3" hidden="1" x14ac:dyDescent="0.25">
      <c r="A283" s="1">
        <v>275</v>
      </c>
      <c r="B283" s="10">
        <v>12174</v>
      </c>
      <c r="C283" s="11">
        <f t="shared" si="4"/>
        <v>5</v>
      </c>
    </row>
    <row r="284" spans="1:3" hidden="1" x14ac:dyDescent="0.25">
      <c r="A284" s="1">
        <v>276</v>
      </c>
      <c r="B284" s="10">
        <v>12148</v>
      </c>
      <c r="C284" s="11">
        <f t="shared" si="4"/>
        <v>6</v>
      </c>
    </row>
    <row r="285" spans="1:3" hidden="1" x14ac:dyDescent="0.25">
      <c r="A285" s="1">
        <v>277</v>
      </c>
      <c r="B285" s="10">
        <v>12192</v>
      </c>
      <c r="C285" s="11">
        <f t="shared" si="4"/>
        <v>7</v>
      </c>
    </row>
    <row r="286" spans="1:3" hidden="1" x14ac:dyDescent="0.25">
      <c r="A286" s="1">
        <v>278</v>
      </c>
      <c r="B286" s="10">
        <v>12201</v>
      </c>
      <c r="C286" s="11">
        <f t="shared" si="4"/>
        <v>8</v>
      </c>
    </row>
    <row r="287" spans="1:3" hidden="1" x14ac:dyDescent="0.25">
      <c r="A287" s="1">
        <v>279</v>
      </c>
      <c r="B287" s="10">
        <v>12218</v>
      </c>
      <c r="C287" s="11">
        <f t="shared" si="4"/>
        <v>9</v>
      </c>
    </row>
    <row r="288" spans="1:3" x14ac:dyDescent="0.25">
      <c r="A288" s="1">
        <v>280</v>
      </c>
      <c r="B288" s="10">
        <v>12189</v>
      </c>
      <c r="C288" s="11">
        <f t="shared" si="4"/>
        <v>0</v>
      </c>
    </row>
    <row r="289" spans="1:3" hidden="1" x14ac:dyDescent="0.25">
      <c r="A289" s="1">
        <v>281</v>
      </c>
      <c r="B289" s="10">
        <v>12120</v>
      </c>
      <c r="C289" s="11">
        <f t="shared" si="4"/>
        <v>1</v>
      </c>
    </row>
    <row r="290" spans="1:3" hidden="1" x14ac:dyDescent="0.25">
      <c r="A290" s="1">
        <v>282</v>
      </c>
      <c r="B290" s="10">
        <v>12177</v>
      </c>
      <c r="C290" s="11">
        <f t="shared" si="4"/>
        <v>2</v>
      </c>
    </row>
    <row r="291" spans="1:3" hidden="1" x14ac:dyDescent="0.25">
      <c r="A291" s="1">
        <v>283</v>
      </c>
      <c r="B291" s="10">
        <v>12190</v>
      </c>
      <c r="C291" s="11">
        <f t="shared" si="4"/>
        <v>3</v>
      </c>
    </row>
    <row r="292" spans="1:3" hidden="1" x14ac:dyDescent="0.25">
      <c r="A292" s="1">
        <v>284</v>
      </c>
      <c r="B292" s="10">
        <v>12223</v>
      </c>
      <c r="C292" s="11">
        <f t="shared" si="4"/>
        <v>4</v>
      </c>
    </row>
    <row r="293" spans="1:3" hidden="1" x14ac:dyDescent="0.25">
      <c r="A293" s="1">
        <v>285</v>
      </c>
      <c r="B293" s="10">
        <v>12144</v>
      </c>
      <c r="C293" s="11">
        <f t="shared" si="4"/>
        <v>5</v>
      </c>
    </row>
    <row r="294" spans="1:3" hidden="1" x14ac:dyDescent="0.25">
      <c r="A294" s="1">
        <v>286</v>
      </c>
      <c r="B294" s="10">
        <v>12166</v>
      </c>
      <c r="C294" s="11">
        <f t="shared" si="4"/>
        <v>6</v>
      </c>
    </row>
    <row r="295" spans="1:3" hidden="1" x14ac:dyDescent="0.25">
      <c r="A295" s="1">
        <v>287</v>
      </c>
      <c r="B295" s="10">
        <v>12172</v>
      </c>
      <c r="C295" s="11">
        <f t="shared" si="4"/>
        <v>7</v>
      </c>
    </row>
    <row r="296" spans="1:3" hidden="1" x14ac:dyDescent="0.25">
      <c r="A296" s="1">
        <v>288</v>
      </c>
      <c r="B296" s="10">
        <v>12147</v>
      </c>
      <c r="C296" s="11">
        <f t="shared" si="4"/>
        <v>8</v>
      </c>
    </row>
    <row r="297" spans="1:3" hidden="1" x14ac:dyDescent="0.25">
      <c r="A297" s="1">
        <v>289</v>
      </c>
      <c r="B297" s="10">
        <v>12157</v>
      </c>
      <c r="C297" s="11">
        <f t="shared" si="4"/>
        <v>9</v>
      </c>
    </row>
    <row r="298" spans="1:3" x14ac:dyDescent="0.25">
      <c r="A298" s="1">
        <v>290</v>
      </c>
      <c r="B298" s="10">
        <v>12145</v>
      </c>
      <c r="C298" s="11">
        <f t="shared" si="4"/>
        <v>0</v>
      </c>
    </row>
    <row r="299" spans="1:3" hidden="1" x14ac:dyDescent="0.25">
      <c r="A299" s="1">
        <v>291</v>
      </c>
      <c r="B299" s="10">
        <v>12133</v>
      </c>
      <c r="C299" s="11">
        <f t="shared" si="4"/>
        <v>1</v>
      </c>
    </row>
    <row r="300" spans="1:3" hidden="1" x14ac:dyDescent="0.25">
      <c r="A300" s="1">
        <v>292</v>
      </c>
      <c r="B300" s="10">
        <v>12099</v>
      </c>
      <c r="C300" s="11">
        <f t="shared" si="4"/>
        <v>2</v>
      </c>
    </row>
    <row r="301" spans="1:3" hidden="1" x14ac:dyDescent="0.25">
      <c r="A301" s="1">
        <v>293</v>
      </c>
      <c r="B301" s="10">
        <v>12162</v>
      </c>
      <c r="C301" s="11">
        <f t="shared" si="4"/>
        <v>3</v>
      </c>
    </row>
    <row r="302" spans="1:3" hidden="1" x14ac:dyDescent="0.25">
      <c r="A302" s="1">
        <v>294</v>
      </c>
      <c r="B302" s="10">
        <v>12154</v>
      </c>
      <c r="C302" s="11">
        <f t="shared" si="4"/>
        <v>4</v>
      </c>
    </row>
    <row r="303" spans="1:3" hidden="1" x14ac:dyDescent="0.25">
      <c r="A303" s="1">
        <v>295</v>
      </c>
      <c r="B303" s="10">
        <v>12147</v>
      </c>
      <c r="C303" s="11">
        <f t="shared" si="4"/>
        <v>5</v>
      </c>
    </row>
    <row r="304" spans="1:3" hidden="1" x14ac:dyDescent="0.25">
      <c r="A304" s="1">
        <v>296</v>
      </c>
      <c r="B304" s="10">
        <v>12150</v>
      </c>
      <c r="C304" s="11">
        <f t="shared" si="4"/>
        <v>6</v>
      </c>
    </row>
    <row r="305" spans="1:3" hidden="1" x14ac:dyDescent="0.25">
      <c r="A305" s="1">
        <v>297</v>
      </c>
      <c r="B305" s="10">
        <v>12245</v>
      </c>
      <c r="C305" s="11">
        <f t="shared" si="4"/>
        <v>7</v>
      </c>
    </row>
    <row r="306" spans="1:3" hidden="1" x14ac:dyDescent="0.25">
      <c r="A306" s="1">
        <v>298</v>
      </c>
      <c r="B306" s="10">
        <v>12252</v>
      </c>
      <c r="C306" s="11">
        <f t="shared" si="4"/>
        <v>8</v>
      </c>
    </row>
    <row r="307" spans="1:3" hidden="1" x14ac:dyDescent="0.25">
      <c r="A307" s="1">
        <v>299</v>
      </c>
      <c r="B307" s="10">
        <v>12200</v>
      </c>
      <c r="C307" s="11">
        <f t="shared" si="4"/>
        <v>9</v>
      </c>
    </row>
    <row r="308" spans="1:3" x14ac:dyDescent="0.25">
      <c r="A308" s="1">
        <v>300</v>
      </c>
      <c r="B308" s="10">
        <v>12284</v>
      </c>
      <c r="C308" s="11">
        <f t="shared" si="4"/>
        <v>0</v>
      </c>
    </row>
    <row r="309" spans="1:3" hidden="1" x14ac:dyDescent="0.25">
      <c r="A309" s="1">
        <v>301</v>
      </c>
      <c r="B309" s="10">
        <v>12230</v>
      </c>
      <c r="C309" s="11">
        <f t="shared" si="4"/>
        <v>1</v>
      </c>
    </row>
    <row r="310" spans="1:3" hidden="1" x14ac:dyDescent="0.25">
      <c r="A310" s="1">
        <v>302</v>
      </c>
      <c r="B310" s="10">
        <v>12168</v>
      </c>
      <c r="C310" s="11">
        <f t="shared" si="4"/>
        <v>2</v>
      </c>
    </row>
    <row r="311" spans="1:3" hidden="1" x14ac:dyDescent="0.25">
      <c r="A311" s="1">
        <v>303</v>
      </c>
      <c r="B311" s="10">
        <v>12221</v>
      </c>
      <c r="C311" s="11">
        <f t="shared" si="4"/>
        <v>3</v>
      </c>
    </row>
    <row r="312" spans="1:3" hidden="1" x14ac:dyDescent="0.25">
      <c r="A312" s="1">
        <v>304</v>
      </c>
      <c r="B312" s="10">
        <v>12243</v>
      </c>
      <c r="C312" s="11">
        <f t="shared" si="4"/>
        <v>4</v>
      </c>
    </row>
    <row r="313" spans="1:3" hidden="1" x14ac:dyDescent="0.25">
      <c r="A313" s="1">
        <v>305</v>
      </c>
      <c r="B313" s="10">
        <v>12274</v>
      </c>
      <c r="C313" s="11">
        <f t="shared" si="4"/>
        <v>5</v>
      </c>
    </row>
    <row r="314" spans="1:3" hidden="1" x14ac:dyDescent="0.25">
      <c r="A314" s="1">
        <v>306</v>
      </c>
      <c r="B314" s="10">
        <v>12256</v>
      </c>
      <c r="C314" s="11">
        <f t="shared" si="4"/>
        <v>6</v>
      </c>
    </row>
    <row r="315" spans="1:3" hidden="1" x14ac:dyDescent="0.25">
      <c r="A315" s="1">
        <v>307</v>
      </c>
      <c r="B315" s="10">
        <v>12276</v>
      </c>
      <c r="C315" s="11">
        <f t="shared" si="4"/>
        <v>7</v>
      </c>
    </row>
    <row r="316" spans="1:3" hidden="1" x14ac:dyDescent="0.25">
      <c r="A316" s="1">
        <v>308</v>
      </c>
      <c r="B316" s="10">
        <v>12254</v>
      </c>
      <c r="C316" s="11">
        <f t="shared" si="4"/>
        <v>8</v>
      </c>
    </row>
    <row r="317" spans="1:3" hidden="1" x14ac:dyDescent="0.25">
      <c r="A317" s="1">
        <v>309</v>
      </c>
      <c r="B317" s="10">
        <v>12231</v>
      </c>
      <c r="C317" s="11">
        <f t="shared" si="4"/>
        <v>9</v>
      </c>
    </row>
    <row r="318" spans="1:3" x14ac:dyDescent="0.25">
      <c r="A318" s="1">
        <v>310</v>
      </c>
      <c r="B318" s="10">
        <v>12267</v>
      </c>
      <c r="C318" s="11">
        <f t="shared" si="4"/>
        <v>0</v>
      </c>
    </row>
    <row r="319" spans="1:3" hidden="1" x14ac:dyDescent="0.25">
      <c r="A319" s="1">
        <v>311</v>
      </c>
      <c r="B319" s="10">
        <v>12217</v>
      </c>
      <c r="C319" s="11">
        <f t="shared" si="4"/>
        <v>1</v>
      </c>
    </row>
    <row r="320" spans="1:3" hidden="1" x14ac:dyDescent="0.25">
      <c r="A320" s="1">
        <v>312</v>
      </c>
      <c r="B320" s="10">
        <v>12233</v>
      </c>
      <c r="C320" s="11">
        <f t="shared" si="4"/>
        <v>2</v>
      </c>
    </row>
    <row r="321" spans="1:3" hidden="1" x14ac:dyDescent="0.25">
      <c r="A321" s="1">
        <v>313</v>
      </c>
      <c r="B321" s="10">
        <v>12295</v>
      </c>
      <c r="C321" s="11">
        <f t="shared" si="4"/>
        <v>3</v>
      </c>
    </row>
    <row r="322" spans="1:3" hidden="1" x14ac:dyDescent="0.25">
      <c r="A322" s="1">
        <v>314</v>
      </c>
      <c r="B322" s="10">
        <v>12265</v>
      </c>
      <c r="C322" s="11">
        <f t="shared" si="4"/>
        <v>4</v>
      </c>
    </row>
    <row r="323" spans="1:3" hidden="1" x14ac:dyDescent="0.25">
      <c r="A323" s="1">
        <v>315</v>
      </c>
      <c r="B323" s="10">
        <v>12262</v>
      </c>
      <c r="C323" s="11">
        <f t="shared" si="4"/>
        <v>5</v>
      </c>
    </row>
    <row r="324" spans="1:3" hidden="1" x14ac:dyDescent="0.25">
      <c r="A324" s="1">
        <v>316</v>
      </c>
      <c r="B324" s="10">
        <v>12272</v>
      </c>
      <c r="C324" s="11">
        <f t="shared" si="4"/>
        <v>6</v>
      </c>
    </row>
    <row r="325" spans="1:3" hidden="1" x14ac:dyDescent="0.25">
      <c r="A325" s="1">
        <v>317</v>
      </c>
      <c r="B325" s="10">
        <v>12340</v>
      </c>
      <c r="C325" s="11">
        <f t="shared" si="4"/>
        <v>7</v>
      </c>
    </row>
    <row r="326" spans="1:3" hidden="1" x14ac:dyDescent="0.25">
      <c r="A326" s="1">
        <v>318</v>
      </c>
      <c r="B326" s="10">
        <v>12410</v>
      </c>
      <c r="C326" s="11">
        <f t="shared" si="4"/>
        <v>8</v>
      </c>
    </row>
    <row r="327" spans="1:3" hidden="1" x14ac:dyDescent="0.25">
      <c r="A327" s="1">
        <v>319</v>
      </c>
      <c r="B327" s="10">
        <v>12399</v>
      </c>
      <c r="C327" s="11">
        <f t="shared" si="4"/>
        <v>9</v>
      </c>
    </row>
    <row r="328" spans="1:3" x14ac:dyDescent="0.25">
      <c r="A328" s="1">
        <v>320</v>
      </c>
      <c r="B328" s="10">
        <v>12393</v>
      </c>
      <c r="C328" s="11">
        <f t="shared" si="4"/>
        <v>0</v>
      </c>
    </row>
    <row r="329" spans="1:3" hidden="1" x14ac:dyDescent="0.25">
      <c r="A329" s="1">
        <v>321</v>
      </c>
      <c r="B329" s="10">
        <v>12397</v>
      </c>
      <c r="C329" s="11">
        <f t="shared" ref="C329:C392" si="5">MOD(A329,C$5)</f>
        <v>1</v>
      </c>
    </row>
    <row r="330" spans="1:3" hidden="1" x14ac:dyDescent="0.25">
      <c r="A330" s="1">
        <v>322</v>
      </c>
      <c r="B330" s="10">
        <v>12405</v>
      </c>
      <c r="C330" s="11">
        <f t="shared" si="5"/>
        <v>2</v>
      </c>
    </row>
    <row r="331" spans="1:3" hidden="1" x14ac:dyDescent="0.25">
      <c r="A331" s="1">
        <v>323</v>
      </c>
      <c r="B331" s="10">
        <v>12322</v>
      </c>
      <c r="C331" s="11">
        <f t="shared" si="5"/>
        <v>3</v>
      </c>
    </row>
    <row r="332" spans="1:3" hidden="1" x14ac:dyDescent="0.25">
      <c r="A332" s="1">
        <v>324</v>
      </c>
      <c r="B332" s="10">
        <v>12371</v>
      </c>
      <c r="C332" s="11">
        <f t="shared" si="5"/>
        <v>4</v>
      </c>
    </row>
    <row r="333" spans="1:3" hidden="1" x14ac:dyDescent="0.25">
      <c r="A333" s="1">
        <v>325</v>
      </c>
      <c r="B333" s="10">
        <v>12309</v>
      </c>
      <c r="C333" s="11">
        <f t="shared" si="5"/>
        <v>5</v>
      </c>
    </row>
    <row r="334" spans="1:3" hidden="1" x14ac:dyDescent="0.25">
      <c r="A334" s="1">
        <v>326</v>
      </c>
      <c r="B334" s="10">
        <v>12340</v>
      </c>
      <c r="C334" s="11">
        <f t="shared" si="5"/>
        <v>6</v>
      </c>
    </row>
    <row r="335" spans="1:3" hidden="1" x14ac:dyDescent="0.25">
      <c r="A335" s="1">
        <v>327</v>
      </c>
      <c r="B335" s="10">
        <v>12352</v>
      </c>
      <c r="C335" s="11">
        <f t="shared" si="5"/>
        <v>7</v>
      </c>
    </row>
    <row r="336" spans="1:3" hidden="1" x14ac:dyDescent="0.25">
      <c r="A336" s="1">
        <v>328</v>
      </c>
      <c r="B336" s="10">
        <v>12335</v>
      </c>
      <c r="C336" s="11">
        <f t="shared" si="5"/>
        <v>8</v>
      </c>
    </row>
    <row r="337" spans="1:3" hidden="1" x14ac:dyDescent="0.25">
      <c r="A337" s="1">
        <v>329</v>
      </c>
      <c r="B337" s="10">
        <v>12303</v>
      </c>
      <c r="C337" s="11">
        <f t="shared" si="5"/>
        <v>9</v>
      </c>
    </row>
    <row r="338" spans="1:3" x14ac:dyDescent="0.25">
      <c r="A338" s="1">
        <v>330</v>
      </c>
      <c r="B338" s="10">
        <v>12322</v>
      </c>
      <c r="C338" s="11">
        <f t="shared" si="5"/>
        <v>0</v>
      </c>
    </row>
    <row r="339" spans="1:3" hidden="1" x14ac:dyDescent="0.25">
      <c r="A339" s="1">
        <v>331</v>
      </c>
      <c r="B339" s="10">
        <v>12387</v>
      </c>
      <c r="C339" s="11">
        <f t="shared" si="5"/>
        <v>1</v>
      </c>
    </row>
    <row r="340" spans="1:3" hidden="1" x14ac:dyDescent="0.25">
      <c r="A340" s="1">
        <v>332</v>
      </c>
      <c r="B340" s="10">
        <v>12406</v>
      </c>
      <c r="C340" s="11">
        <f t="shared" si="5"/>
        <v>2</v>
      </c>
    </row>
    <row r="341" spans="1:3" hidden="1" x14ac:dyDescent="0.25">
      <c r="A341" s="1">
        <v>333</v>
      </c>
      <c r="B341" s="10">
        <v>12484</v>
      </c>
      <c r="C341" s="11">
        <f t="shared" si="5"/>
        <v>3</v>
      </c>
    </row>
    <row r="342" spans="1:3" hidden="1" x14ac:dyDescent="0.25">
      <c r="A342" s="1">
        <v>334</v>
      </c>
      <c r="B342" s="10">
        <v>12473</v>
      </c>
      <c r="C342" s="11">
        <f t="shared" si="5"/>
        <v>4</v>
      </c>
    </row>
    <row r="343" spans="1:3" hidden="1" x14ac:dyDescent="0.25">
      <c r="A343" s="1">
        <v>335</v>
      </c>
      <c r="B343" s="10">
        <v>12441</v>
      </c>
      <c r="C343" s="11">
        <f t="shared" si="5"/>
        <v>5</v>
      </c>
    </row>
    <row r="344" spans="1:3" hidden="1" x14ac:dyDescent="0.25">
      <c r="A344" s="1">
        <v>336</v>
      </c>
      <c r="B344" s="10">
        <v>12421</v>
      </c>
      <c r="C344" s="11">
        <f t="shared" si="5"/>
        <v>6</v>
      </c>
    </row>
    <row r="345" spans="1:3" hidden="1" x14ac:dyDescent="0.25">
      <c r="A345" s="1">
        <v>337</v>
      </c>
      <c r="B345" s="10">
        <v>12460</v>
      </c>
      <c r="C345" s="11">
        <f t="shared" si="5"/>
        <v>7</v>
      </c>
    </row>
    <row r="346" spans="1:3" hidden="1" x14ac:dyDescent="0.25">
      <c r="A346" s="1">
        <v>338</v>
      </c>
      <c r="B346" s="10">
        <v>12436</v>
      </c>
      <c r="C346" s="11">
        <f t="shared" si="5"/>
        <v>8</v>
      </c>
    </row>
    <row r="347" spans="1:3" hidden="1" x14ac:dyDescent="0.25">
      <c r="A347" s="1">
        <v>339</v>
      </c>
      <c r="B347" s="10">
        <v>12439</v>
      </c>
      <c r="C347" s="11">
        <f t="shared" si="5"/>
        <v>9</v>
      </c>
    </row>
    <row r="348" spans="1:3" x14ac:dyDescent="0.25">
      <c r="A348" s="1">
        <v>340</v>
      </c>
      <c r="B348" s="10">
        <v>12468</v>
      </c>
      <c r="C348" s="11">
        <f t="shared" si="5"/>
        <v>0</v>
      </c>
    </row>
    <row r="349" spans="1:3" hidden="1" x14ac:dyDescent="0.25">
      <c r="A349" s="1">
        <v>341</v>
      </c>
      <c r="B349" s="10">
        <v>12421</v>
      </c>
      <c r="C349" s="11">
        <f t="shared" si="5"/>
        <v>1</v>
      </c>
    </row>
    <row r="350" spans="1:3" hidden="1" x14ac:dyDescent="0.25">
      <c r="A350" s="1">
        <v>342</v>
      </c>
      <c r="B350" s="10">
        <v>12389</v>
      </c>
      <c r="C350" s="11">
        <f t="shared" si="5"/>
        <v>2</v>
      </c>
    </row>
    <row r="351" spans="1:3" hidden="1" x14ac:dyDescent="0.25">
      <c r="A351" s="1">
        <v>343</v>
      </c>
      <c r="B351" s="10">
        <v>12408</v>
      </c>
      <c r="C351" s="11">
        <f t="shared" si="5"/>
        <v>3</v>
      </c>
    </row>
    <row r="352" spans="1:3" hidden="1" x14ac:dyDescent="0.25">
      <c r="A352" s="1">
        <v>344</v>
      </c>
      <c r="B352" s="10">
        <v>12409</v>
      </c>
      <c r="C352" s="11">
        <f t="shared" si="5"/>
        <v>4</v>
      </c>
    </row>
    <row r="353" spans="1:3" hidden="1" x14ac:dyDescent="0.25">
      <c r="A353" s="1">
        <v>345</v>
      </c>
      <c r="B353" s="10">
        <v>12431</v>
      </c>
      <c r="C353" s="11">
        <f t="shared" si="5"/>
        <v>5</v>
      </c>
    </row>
    <row r="354" spans="1:3" hidden="1" x14ac:dyDescent="0.25">
      <c r="A354" s="1">
        <v>346</v>
      </c>
      <c r="B354" s="10">
        <v>12404</v>
      </c>
      <c r="C354" s="11">
        <f t="shared" si="5"/>
        <v>6</v>
      </c>
    </row>
    <row r="355" spans="1:3" hidden="1" x14ac:dyDescent="0.25">
      <c r="A355" s="1">
        <v>347</v>
      </c>
      <c r="B355" s="10">
        <v>12425</v>
      </c>
      <c r="C355" s="11">
        <f t="shared" si="5"/>
        <v>7</v>
      </c>
    </row>
    <row r="356" spans="1:3" hidden="1" x14ac:dyDescent="0.25">
      <c r="A356" s="1">
        <v>348</v>
      </c>
      <c r="B356" s="10">
        <v>12408</v>
      </c>
      <c r="C356" s="11">
        <f t="shared" si="5"/>
        <v>8</v>
      </c>
    </row>
    <row r="357" spans="1:3" hidden="1" x14ac:dyDescent="0.25">
      <c r="A357" s="1">
        <v>349</v>
      </c>
      <c r="B357" s="10">
        <v>12469</v>
      </c>
      <c r="C357" s="11">
        <f t="shared" si="5"/>
        <v>9</v>
      </c>
    </row>
    <row r="358" spans="1:3" x14ac:dyDescent="0.25">
      <c r="A358" s="1">
        <v>350</v>
      </c>
      <c r="B358" s="10">
        <v>12426</v>
      </c>
      <c r="C358" s="11">
        <f t="shared" si="5"/>
        <v>0</v>
      </c>
    </row>
    <row r="359" spans="1:3" hidden="1" x14ac:dyDescent="0.25">
      <c r="A359" s="1">
        <v>351</v>
      </c>
      <c r="B359" s="10">
        <v>12469</v>
      </c>
      <c r="C359" s="11">
        <f t="shared" si="5"/>
        <v>1</v>
      </c>
    </row>
    <row r="360" spans="1:3" hidden="1" x14ac:dyDescent="0.25">
      <c r="A360" s="1">
        <v>352</v>
      </c>
      <c r="B360" s="10">
        <v>12508</v>
      </c>
      <c r="C360" s="11">
        <f t="shared" si="5"/>
        <v>2</v>
      </c>
    </row>
    <row r="361" spans="1:3" hidden="1" x14ac:dyDescent="0.25">
      <c r="A361" s="1">
        <v>353</v>
      </c>
      <c r="B361" s="10">
        <v>12445</v>
      </c>
      <c r="C361" s="11">
        <f t="shared" si="5"/>
        <v>3</v>
      </c>
    </row>
    <row r="362" spans="1:3" hidden="1" x14ac:dyDescent="0.25">
      <c r="A362" s="1">
        <v>354</v>
      </c>
      <c r="B362" s="10">
        <v>12484</v>
      </c>
      <c r="C362" s="11">
        <f t="shared" si="5"/>
        <v>4</v>
      </c>
    </row>
    <row r="363" spans="1:3" hidden="1" x14ac:dyDescent="0.25">
      <c r="A363" s="1">
        <v>355</v>
      </c>
      <c r="B363" s="10">
        <v>12490</v>
      </c>
      <c r="C363" s="11">
        <f t="shared" si="5"/>
        <v>5</v>
      </c>
    </row>
    <row r="364" spans="1:3" hidden="1" x14ac:dyDescent="0.25">
      <c r="A364" s="1">
        <v>356</v>
      </c>
      <c r="B364" s="10">
        <v>12575</v>
      </c>
      <c r="C364" s="11">
        <f t="shared" si="5"/>
        <v>6</v>
      </c>
    </row>
    <row r="365" spans="1:3" hidden="1" x14ac:dyDescent="0.25">
      <c r="A365" s="1">
        <v>357</v>
      </c>
      <c r="B365" s="10">
        <v>12563</v>
      </c>
      <c r="C365" s="11">
        <f t="shared" si="5"/>
        <v>7</v>
      </c>
    </row>
    <row r="366" spans="1:3" hidden="1" x14ac:dyDescent="0.25">
      <c r="A366" s="1">
        <v>358</v>
      </c>
      <c r="B366" s="10">
        <v>12611</v>
      </c>
      <c r="C366" s="11">
        <f t="shared" si="5"/>
        <v>8</v>
      </c>
    </row>
    <row r="367" spans="1:3" hidden="1" x14ac:dyDescent="0.25">
      <c r="A367" s="1">
        <v>359</v>
      </c>
      <c r="B367" s="10">
        <v>12587</v>
      </c>
      <c r="C367" s="11">
        <f t="shared" si="5"/>
        <v>9</v>
      </c>
    </row>
    <row r="368" spans="1:3" x14ac:dyDescent="0.25">
      <c r="A368" s="1">
        <v>360</v>
      </c>
      <c r="B368" s="10">
        <v>12574</v>
      </c>
      <c r="C368" s="11">
        <f t="shared" si="5"/>
        <v>0</v>
      </c>
    </row>
    <row r="369" spans="1:3" hidden="1" x14ac:dyDescent="0.25">
      <c r="A369" s="1">
        <v>361</v>
      </c>
      <c r="B369" s="10">
        <v>12607</v>
      </c>
      <c r="C369" s="11">
        <f t="shared" si="5"/>
        <v>1</v>
      </c>
    </row>
    <row r="370" spans="1:3" hidden="1" x14ac:dyDescent="0.25">
      <c r="A370" s="1">
        <v>362</v>
      </c>
      <c r="B370" s="10">
        <v>12600</v>
      </c>
      <c r="C370" s="11">
        <f t="shared" si="5"/>
        <v>2</v>
      </c>
    </row>
    <row r="371" spans="1:3" hidden="1" x14ac:dyDescent="0.25">
      <c r="A371" s="1">
        <v>363</v>
      </c>
      <c r="B371" s="10">
        <v>12604</v>
      </c>
      <c r="C371" s="11">
        <f t="shared" si="5"/>
        <v>3</v>
      </c>
    </row>
    <row r="372" spans="1:3" hidden="1" x14ac:dyDescent="0.25">
      <c r="A372" s="1">
        <v>364</v>
      </c>
      <c r="B372" s="10">
        <v>12656</v>
      </c>
      <c r="C372" s="11">
        <f t="shared" si="5"/>
        <v>4</v>
      </c>
    </row>
    <row r="373" spans="1:3" hidden="1" x14ac:dyDescent="0.25">
      <c r="A373" s="1">
        <v>365</v>
      </c>
      <c r="B373" s="10">
        <v>12695</v>
      </c>
      <c r="C373" s="11">
        <f t="shared" si="5"/>
        <v>5</v>
      </c>
    </row>
    <row r="374" spans="1:3" hidden="1" x14ac:dyDescent="0.25">
      <c r="A374" s="1">
        <v>366</v>
      </c>
      <c r="B374" s="10">
        <v>12646</v>
      </c>
      <c r="C374" s="11">
        <f t="shared" si="5"/>
        <v>6</v>
      </c>
    </row>
    <row r="375" spans="1:3" hidden="1" x14ac:dyDescent="0.25">
      <c r="A375" s="1">
        <v>367</v>
      </c>
      <c r="B375" s="10">
        <v>12636</v>
      </c>
      <c r="C375" s="11">
        <f t="shared" si="5"/>
        <v>7</v>
      </c>
    </row>
    <row r="376" spans="1:3" hidden="1" x14ac:dyDescent="0.25">
      <c r="A376" s="1">
        <v>368</v>
      </c>
      <c r="B376" s="10">
        <v>12652</v>
      </c>
      <c r="C376" s="11">
        <f t="shared" si="5"/>
        <v>8</v>
      </c>
    </row>
    <row r="377" spans="1:3" hidden="1" x14ac:dyDescent="0.25">
      <c r="A377" s="1">
        <v>369</v>
      </c>
      <c r="B377" s="10">
        <v>12721</v>
      </c>
      <c r="C377" s="11">
        <f t="shared" si="5"/>
        <v>9</v>
      </c>
    </row>
    <row r="378" spans="1:3" x14ac:dyDescent="0.25">
      <c r="A378" s="1">
        <v>370</v>
      </c>
      <c r="B378" s="10">
        <v>12744</v>
      </c>
      <c r="C378" s="11">
        <f t="shared" si="5"/>
        <v>0</v>
      </c>
    </row>
    <row r="379" spans="1:3" hidden="1" x14ac:dyDescent="0.25">
      <c r="A379" s="1">
        <v>371</v>
      </c>
      <c r="B379" s="10">
        <v>12707</v>
      </c>
      <c r="C379" s="11">
        <f t="shared" si="5"/>
        <v>1</v>
      </c>
    </row>
    <row r="380" spans="1:3" hidden="1" x14ac:dyDescent="0.25">
      <c r="A380" s="1">
        <v>372</v>
      </c>
      <c r="B380" s="10">
        <v>12698</v>
      </c>
      <c r="C380" s="11">
        <f t="shared" si="5"/>
        <v>2</v>
      </c>
    </row>
    <row r="381" spans="1:3" hidden="1" x14ac:dyDescent="0.25">
      <c r="A381" s="1">
        <v>373</v>
      </c>
      <c r="B381" s="10">
        <v>12641</v>
      </c>
      <c r="C381" s="11">
        <f t="shared" si="5"/>
        <v>3</v>
      </c>
    </row>
    <row r="382" spans="1:3" hidden="1" x14ac:dyDescent="0.25">
      <c r="A382" s="1">
        <v>374</v>
      </c>
      <c r="B382" s="10">
        <v>12718</v>
      </c>
      <c r="C382" s="11">
        <f t="shared" si="5"/>
        <v>4</v>
      </c>
    </row>
    <row r="383" spans="1:3" hidden="1" x14ac:dyDescent="0.25">
      <c r="A383" s="1">
        <v>375</v>
      </c>
      <c r="B383" s="10">
        <v>12755</v>
      </c>
      <c r="C383" s="11">
        <f t="shared" si="5"/>
        <v>5</v>
      </c>
    </row>
    <row r="384" spans="1:3" hidden="1" x14ac:dyDescent="0.25">
      <c r="A384" s="1">
        <v>376</v>
      </c>
      <c r="B384" s="10">
        <v>12752</v>
      </c>
      <c r="C384" s="11">
        <f t="shared" si="5"/>
        <v>6</v>
      </c>
    </row>
    <row r="385" spans="1:3" hidden="1" x14ac:dyDescent="0.25">
      <c r="A385" s="1">
        <v>377</v>
      </c>
      <c r="B385" s="10">
        <v>12719</v>
      </c>
      <c r="C385" s="11">
        <f t="shared" si="5"/>
        <v>7</v>
      </c>
    </row>
    <row r="386" spans="1:3" hidden="1" x14ac:dyDescent="0.25">
      <c r="A386" s="1">
        <v>378</v>
      </c>
      <c r="B386" s="10">
        <v>12683</v>
      </c>
      <c r="C386" s="11">
        <f t="shared" si="5"/>
        <v>8</v>
      </c>
    </row>
    <row r="387" spans="1:3" hidden="1" x14ac:dyDescent="0.25">
      <c r="A387" s="1">
        <v>379</v>
      </c>
      <c r="B387" s="10">
        <v>12690</v>
      </c>
      <c r="C387" s="11">
        <f t="shared" si="5"/>
        <v>9</v>
      </c>
    </row>
    <row r="388" spans="1:3" x14ac:dyDescent="0.25">
      <c r="A388" s="1">
        <v>380</v>
      </c>
      <c r="B388" s="10">
        <v>12737</v>
      </c>
      <c r="C388" s="11">
        <f t="shared" si="5"/>
        <v>0</v>
      </c>
    </row>
    <row r="389" spans="1:3" hidden="1" x14ac:dyDescent="0.25">
      <c r="A389" s="1">
        <v>381</v>
      </c>
      <c r="B389" s="10">
        <v>12777</v>
      </c>
      <c r="C389" s="11">
        <f t="shared" si="5"/>
        <v>1</v>
      </c>
    </row>
    <row r="390" spans="1:3" hidden="1" x14ac:dyDescent="0.25">
      <c r="A390" s="1">
        <v>382</v>
      </c>
      <c r="B390" s="10">
        <v>12787</v>
      </c>
      <c r="C390" s="11">
        <f t="shared" si="5"/>
        <v>2</v>
      </c>
    </row>
    <row r="391" spans="1:3" hidden="1" x14ac:dyDescent="0.25">
      <c r="A391" s="1">
        <v>383</v>
      </c>
      <c r="B391" s="10">
        <v>12797</v>
      </c>
      <c r="C391" s="11">
        <f t="shared" si="5"/>
        <v>3</v>
      </c>
    </row>
    <row r="392" spans="1:3" hidden="1" x14ac:dyDescent="0.25">
      <c r="A392" s="1">
        <v>384</v>
      </c>
      <c r="B392" s="10">
        <v>12800</v>
      </c>
      <c r="C392" s="11">
        <f t="shared" si="5"/>
        <v>4</v>
      </c>
    </row>
    <row r="393" spans="1:3" hidden="1" x14ac:dyDescent="0.25">
      <c r="A393" s="1">
        <v>385</v>
      </c>
      <c r="B393" s="10">
        <v>12864</v>
      </c>
      <c r="C393" s="11">
        <f t="shared" ref="C393:C456" si="6">MOD(A393,C$5)</f>
        <v>5</v>
      </c>
    </row>
    <row r="394" spans="1:3" hidden="1" x14ac:dyDescent="0.25">
      <c r="A394" s="1">
        <v>386</v>
      </c>
      <c r="B394" s="10">
        <v>12918</v>
      </c>
      <c r="C394" s="11">
        <f t="shared" si="6"/>
        <v>6</v>
      </c>
    </row>
    <row r="395" spans="1:3" hidden="1" x14ac:dyDescent="0.25">
      <c r="A395" s="1">
        <v>387</v>
      </c>
      <c r="B395" s="10">
        <v>12918</v>
      </c>
      <c r="C395" s="11">
        <f t="shared" si="6"/>
        <v>7</v>
      </c>
    </row>
    <row r="396" spans="1:3" hidden="1" x14ac:dyDescent="0.25">
      <c r="A396" s="1">
        <v>388</v>
      </c>
      <c r="B396" s="10">
        <v>12921</v>
      </c>
      <c r="C396" s="11">
        <f t="shared" si="6"/>
        <v>8</v>
      </c>
    </row>
    <row r="397" spans="1:3" hidden="1" x14ac:dyDescent="0.25">
      <c r="A397" s="1">
        <v>389</v>
      </c>
      <c r="B397" s="10">
        <v>12914</v>
      </c>
      <c r="C397" s="11">
        <f t="shared" si="6"/>
        <v>9</v>
      </c>
    </row>
    <row r="398" spans="1:3" x14ac:dyDescent="0.25">
      <c r="A398" s="1">
        <v>390</v>
      </c>
      <c r="B398" s="10">
        <v>12898</v>
      </c>
      <c r="C398" s="11">
        <f t="shared" si="6"/>
        <v>0</v>
      </c>
    </row>
    <row r="399" spans="1:3" hidden="1" x14ac:dyDescent="0.25">
      <c r="A399" s="1">
        <v>391</v>
      </c>
      <c r="B399" s="10">
        <v>12818</v>
      </c>
      <c r="C399" s="11">
        <f t="shared" si="6"/>
        <v>1</v>
      </c>
    </row>
    <row r="400" spans="1:3" hidden="1" x14ac:dyDescent="0.25">
      <c r="A400" s="1">
        <v>392</v>
      </c>
      <c r="B400" s="10">
        <v>12797</v>
      </c>
      <c r="C400" s="11">
        <f t="shared" si="6"/>
        <v>2</v>
      </c>
    </row>
    <row r="401" spans="1:3" hidden="1" x14ac:dyDescent="0.25">
      <c r="A401" s="1">
        <v>393</v>
      </c>
      <c r="B401" s="10">
        <v>12867</v>
      </c>
      <c r="C401" s="11">
        <f t="shared" si="6"/>
        <v>3</v>
      </c>
    </row>
    <row r="402" spans="1:3" hidden="1" x14ac:dyDescent="0.25">
      <c r="A402" s="1">
        <v>394</v>
      </c>
      <c r="B402" s="10">
        <v>12904</v>
      </c>
      <c r="C402" s="11">
        <f t="shared" si="6"/>
        <v>4</v>
      </c>
    </row>
    <row r="403" spans="1:3" hidden="1" x14ac:dyDescent="0.25">
      <c r="A403" s="1">
        <v>395</v>
      </c>
      <c r="B403" s="10">
        <v>12883</v>
      </c>
      <c r="C403" s="11">
        <f t="shared" si="6"/>
        <v>5</v>
      </c>
    </row>
    <row r="404" spans="1:3" hidden="1" x14ac:dyDescent="0.25">
      <c r="A404" s="1">
        <v>396</v>
      </c>
      <c r="B404" s="10">
        <v>12847</v>
      </c>
      <c r="C404" s="11">
        <f t="shared" si="6"/>
        <v>6</v>
      </c>
    </row>
    <row r="405" spans="1:3" hidden="1" x14ac:dyDescent="0.25">
      <c r="A405" s="1">
        <v>397</v>
      </c>
      <c r="B405" s="10">
        <v>12870</v>
      </c>
      <c r="C405" s="11">
        <f t="shared" si="6"/>
        <v>7</v>
      </c>
    </row>
    <row r="406" spans="1:3" hidden="1" x14ac:dyDescent="0.25">
      <c r="A406" s="1">
        <v>398</v>
      </c>
      <c r="B406" s="10">
        <v>12910</v>
      </c>
      <c r="C406" s="11">
        <f t="shared" si="6"/>
        <v>8</v>
      </c>
    </row>
    <row r="407" spans="1:3" hidden="1" x14ac:dyDescent="0.25">
      <c r="A407" s="1">
        <v>399</v>
      </c>
      <c r="B407" s="10">
        <v>12857</v>
      </c>
      <c r="C407" s="11">
        <f t="shared" si="6"/>
        <v>9</v>
      </c>
    </row>
    <row r="408" spans="1:3" x14ac:dyDescent="0.25">
      <c r="A408" s="1">
        <v>400</v>
      </c>
      <c r="B408" s="10">
        <v>12845</v>
      </c>
      <c r="C408" s="11">
        <f t="shared" si="6"/>
        <v>0</v>
      </c>
    </row>
    <row r="409" spans="1:3" hidden="1" x14ac:dyDescent="0.25">
      <c r="A409" s="1">
        <v>401</v>
      </c>
      <c r="B409" s="10">
        <v>12834</v>
      </c>
      <c r="C409" s="11">
        <f t="shared" si="6"/>
        <v>1</v>
      </c>
    </row>
    <row r="410" spans="1:3" hidden="1" x14ac:dyDescent="0.25">
      <c r="A410" s="1">
        <v>402</v>
      </c>
      <c r="B410" s="10">
        <v>12760</v>
      </c>
      <c r="C410" s="11">
        <f t="shared" si="6"/>
        <v>2</v>
      </c>
    </row>
    <row r="411" spans="1:3" hidden="1" x14ac:dyDescent="0.25">
      <c r="A411" s="1">
        <v>403</v>
      </c>
      <c r="B411" s="10">
        <v>12680</v>
      </c>
      <c r="C411" s="11">
        <f t="shared" si="6"/>
        <v>3</v>
      </c>
    </row>
    <row r="412" spans="1:3" hidden="1" x14ac:dyDescent="0.25">
      <c r="A412" s="1">
        <v>404</v>
      </c>
      <c r="B412" s="10">
        <v>12682</v>
      </c>
      <c r="C412" s="11">
        <f t="shared" si="6"/>
        <v>4</v>
      </c>
    </row>
    <row r="413" spans="1:3" hidden="1" x14ac:dyDescent="0.25">
      <c r="A413" s="1">
        <v>405</v>
      </c>
      <c r="B413" s="10">
        <v>12671</v>
      </c>
      <c r="C413" s="11">
        <f t="shared" si="6"/>
        <v>5</v>
      </c>
    </row>
    <row r="414" spans="1:3" hidden="1" x14ac:dyDescent="0.25">
      <c r="A414" s="1">
        <v>406</v>
      </c>
      <c r="B414" s="10">
        <v>12728</v>
      </c>
      <c r="C414" s="11">
        <f t="shared" si="6"/>
        <v>6</v>
      </c>
    </row>
    <row r="415" spans="1:3" hidden="1" x14ac:dyDescent="0.25">
      <c r="A415" s="1">
        <v>407</v>
      </c>
      <c r="B415" s="10">
        <v>12807</v>
      </c>
      <c r="C415" s="11">
        <f t="shared" si="6"/>
        <v>7</v>
      </c>
    </row>
    <row r="416" spans="1:3" hidden="1" x14ac:dyDescent="0.25">
      <c r="A416" s="1">
        <v>408</v>
      </c>
      <c r="B416" s="10">
        <v>12800</v>
      </c>
      <c r="C416" s="11">
        <f t="shared" si="6"/>
        <v>8</v>
      </c>
    </row>
    <row r="417" spans="1:3" hidden="1" x14ac:dyDescent="0.25">
      <c r="A417" s="1">
        <v>409</v>
      </c>
      <c r="B417" s="10">
        <v>12862</v>
      </c>
      <c r="C417" s="11">
        <f t="shared" si="6"/>
        <v>9</v>
      </c>
    </row>
    <row r="418" spans="1:3" x14ac:dyDescent="0.25">
      <c r="A418" s="1">
        <v>410</v>
      </c>
      <c r="B418" s="10">
        <v>12945</v>
      </c>
      <c r="C418" s="11">
        <f t="shared" si="6"/>
        <v>0</v>
      </c>
    </row>
    <row r="419" spans="1:3" hidden="1" x14ac:dyDescent="0.25">
      <c r="A419" s="1">
        <v>411</v>
      </c>
      <c r="B419" s="10">
        <v>12868</v>
      </c>
      <c r="C419" s="11">
        <f t="shared" si="6"/>
        <v>1</v>
      </c>
    </row>
    <row r="420" spans="1:3" hidden="1" x14ac:dyDescent="0.25">
      <c r="A420" s="1">
        <v>412</v>
      </c>
      <c r="B420" s="10">
        <v>12889</v>
      </c>
      <c r="C420" s="11">
        <f t="shared" si="6"/>
        <v>2</v>
      </c>
    </row>
    <row r="421" spans="1:3" hidden="1" x14ac:dyDescent="0.25">
      <c r="A421" s="1">
        <v>413</v>
      </c>
      <c r="B421" s="10">
        <v>12874</v>
      </c>
      <c r="C421" s="11">
        <f t="shared" si="6"/>
        <v>3</v>
      </c>
    </row>
    <row r="422" spans="1:3" hidden="1" x14ac:dyDescent="0.25">
      <c r="A422" s="1">
        <v>414</v>
      </c>
      <c r="B422" s="10">
        <v>12869</v>
      </c>
      <c r="C422" s="11">
        <f t="shared" si="6"/>
        <v>4</v>
      </c>
    </row>
    <row r="423" spans="1:3" hidden="1" x14ac:dyDescent="0.25">
      <c r="A423" s="1">
        <v>415</v>
      </c>
      <c r="B423" s="10">
        <v>12877</v>
      </c>
      <c r="C423" s="11">
        <f t="shared" si="6"/>
        <v>5</v>
      </c>
    </row>
    <row r="424" spans="1:3" hidden="1" x14ac:dyDescent="0.25">
      <c r="A424" s="1">
        <v>416</v>
      </c>
      <c r="B424" s="10">
        <v>12866</v>
      </c>
      <c r="C424" s="11">
        <f t="shared" si="6"/>
        <v>6</v>
      </c>
    </row>
    <row r="425" spans="1:3" hidden="1" x14ac:dyDescent="0.25">
      <c r="A425" s="1">
        <v>417</v>
      </c>
      <c r="B425" s="10">
        <v>12849</v>
      </c>
      <c r="C425" s="11">
        <f t="shared" si="6"/>
        <v>7</v>
      </c>
    </row>
    <row r="426" spans="1:3" hidden="1" x14ac:dyDescent="0.25">
      <c r="A426" s="1">
        <v>418</v>
      </c>
      <c r="B426" s="10">
        <v>12849</v>
      </c>
      <c r="C426" s="11">
        <f t="shared" si="6"/>
        <v>8</v>
      </c>
    </row>
    <row r="427" spans="1:3" hidden="1" x14ac:dyDescent="0.25">
      <c r="A427" s="1">
        <v>419</v>
      </c>
      <c r="B427" s="10">
        <v>12896</v>
      </c>
      <c r="C427" s="11">
        <f t="shared" si="6"/>
        <v>9</v>
      </c>
    </row>
    <row r="428" spans="1:3" x14ac:dyDescent="0.25">
      <c r="A428" s="1">
        <v>420</v>
      </c>
      <c r="B428" s="10">
        <v>12936</v>
      </c>
      <c r="C428" s="11">
        <f t="shared" si="6"/>
        <v>0</v>
      </c>
    </row>
    <row r="429" spans="1:3" hidden="1" x14ac:dyDescent="0.25">
      <c r="A429" s="1">
        <v>421</v>
      </c>
      <c r="B429" s="10">
        <v>12931</v>
      </c>
      <c r="C429" s="11">
        <f t="shared" si="6"/>
        <v>1</v>
      </c>
    </row>
    <row r="430" spans="1:3" hidden="1" x14ac:dyDescent="0.25">
      <c r="A430" s="1">
        <v>422</v>
      </c>
      <c r="B430" s="10">
        <v>12913</v>
      </c>
      <c r="C430" s="11">
        <f t="shared" si="6"/>
        <v>2</v>
      </c>
    </row>
    <row r="431" spans="1:3" hidden="1" x14ac:dyDescent="0.25">
      <c r="A431" s="1">
        <v>423</v>
      </c>
      <c r="B431" s="10">
        <v>12898</v>
      </c>
      <c r="C431" s="11">
        <f t="shared" si="6"/>
        <v>3</v>
      </c>
    </row>
    <row r="432" spans="1:3" hidden="1" x14ac:dyDescent="0.25">
      <c r="A432" s="1">
        <v>424</v>
      </c>
      <c r="B432" s="10">
        <v>12853</v>
      </c>
      <c r="C432" s="11">
        <f t="shared" si="6"/>
        <v>4</v>
      </c>
    </row>
    <row r="433" spans="1:3" hidden="1" x14ac:dyDescent="0.25">
      <c r="A433" s="1">
        <v>425</v>
      </c>
      <c r="B433" s="10">
        <v>12881</v>
      </c>
      <c r="C433" s="11">
        <f t="shared" si="6"/>
        <v>5</v>
      </c>
    </row>
    <row r="434" spans="1:3" hidden="1" x14ac:dyDescent="0.25">
      <c r="A434" s="1">
        <v>426</v>
      </c>
      <c r="B434" s="10">
        <v>12872</v>
      </c>
      <c r="C434" s="11">
        <f t="shared" si="6"/>
        <v>6</v>
      </c>
    </row>
    <row r="435" spans="1:3" hidden="1" x14ac:dyDescent="0.25">
      <c r="A435" s="1">
        <v>427</v>
      </c>
      <c r="B435" s="10">
        <v>12897</v>
      </c>
      <c r="C435" s="11">
        <f t="shared" si="6"/>
        <v>7</v>
      </c>
    </row>
    <row r="436" spans="1:3" hidden="1" x14ac:dyDescent="0.25">
      <c r="A436" s="1">
        <v>428</v>
      </c>
      <c r="B436" s="10">
        <v>12840</v>
      </c>
      <c r="C436" s="11">
        <f t="shared" si="6"/>
        <v>8</v>
      </c>
    </row>
    <row r="437" spans="1:3" hidden="1" x14ac:dyDescent="0.25">
      <c r="A437" s="1">
        <v>429</v>
      </c>
      <c r="B437" s="10">
        <v>12912</v>
      </c>
      <c r="C437" s="11">
        <f t="shared" si="6"/>
        <v>9</v>
      </c>
    </row>
    <row r="438" spans="1:3" x14ac:dyDescent="0.25">
      <c r="A438" s="1">
        <v>430</v>
      </c>
      <c r="B438" s="10">
        <v>12854</v>
      </c>
      <c r="C438" s="11">
        <f t="shared" si="6"/>
        <v>0</v>
      </c>
    </row>
    <row r="439" spans="1:3" hidden="1" x14ac:dyDescent="0.25">
      <c r="A439" s="1">
        <v>431</v>
      </c>
      <c r="B439" s="10">
        <v>12794</v>
      </c>
      <c r="C439" s="11">
        <f t="shared" si="6"/>
        <v>1</v>
      </c>
    </row>
    <row r="440" spans="1:3" hidden="1" x14ac:dyDescent="0.25">
      <c r="A440" s="1">
        <v>432</v>
      </c>
      <c r="B440" s="10">
        <v>12815</v>
      </c>
      <c r="C440" s="11">
        <f t="shared" si="6"/>
        <v>2</v>
      </c>
    </row>
    <row r="441" spans="1:3" hidden="1" x14ac:dyDescent="0.25">
      <c r="A441" s="1">
        <v>433</v>
      </c>
      <c r="B441" s="10">
        <v>12843</v>
      </c>
      <c r="C441" s="11">
        <f t="shared" si="6"/>
        <v>3</v>
      </c>
    </row>
    <row r="442" spans="1:3" hidden="1" x14ac:dyDescent="0.25">
      <c r="A442" s="1">
        <v>434</v>
      </c>
      <c r="B442" s="10">
        <v>12814</v>
      </c>
      <c r="C442" s="11">
        <f t="shared" si="6"/>
        <v>4</v>
      </c>
    </row>
    <row r="443" spans="1:3" hidden="1" x14ac:dyDescent="0.25">
      <c r="A443" s="1">
        <v>435</v>
      </c>
      <c r="B443" s="10">
        <v>12798</v>
      </c>
      <c r="C443" s="11">
        <f t="shared" si="6"/>
        <v>5</v>
      </c>
    </row>
    <row r="444" spans="1:3" hidden="1" x14ac:dyDescent="0.25">
      <c r="A444" s="1">
        <v>436</v>
      </c>
      <c r="B444" s="10">
        <v>12827</v>
      </c>
      <c r="C444" s="11">
        <f t="shared" si="6"/>
        <v>6</v>
      </c>
    </row>
    <row r="445" spans="1:3" hidden="1" x14ac:dyDescent="0.25">
      <c r="A445" s="1">
        <v>437</v>
      </c>
      <c r="B445" s="10">
        <v>12861</v>
      </c>
      <c r="C445" s="11">
        <f t="shared" si="6"/>
        <v>7</v>
      </c>
    </row>
    <row r="446" spans="1:3" hidden="1" x14ac:dyDescent="0.25">
      <c r="A446" s="1">
        <v>438</v>
      </c>
      <c r="B446" s="10">
        <v>12888</v>
      </c>
      <c r="C446" s="11">
        <f t="shared" si="6"/>
        <v>8</v>
      </c>
    </row>
    <row r="447" spans="1:3" hidden="1" x14ac:dyDescent="0.25">
      <c r="A447" s="1">
        <v>439</v>
      </c>
      <c r="B447" s="10">
        <v>12887</v>
      </c>
      <c r="C447" s="11">
        <f t="shared" si="6"/>
        <v>9</v>
      </c>
    </row>
    <row r="448" spans="1:3" x14ac:dyDescent="0.25">
      <c r="A448" s="1">
        <v>440</v>
      </c>
      <c r="B448" s="10">
        <v>12893</v>
      </c>
      <c r="C448" s="11">
        <f t="shared" si="6"/>
        <v>0</v>
      </c>
    </row>
    <row r="449" spans="1:3" hidden="1" x14ac:dyDescent="0.25">
      <c r="A449" s="1">
        <v>441</v>
      </c>
      <c r="B449" s="10">
        <v>12851</v>
      </c>
      <c r="C449" s="11">
        <f t="shared" si="6"/>
        <v>1</v>
      </c>
    </row>
    <row r="450" spans="1:3" hidden="1" x14ac:dyDescent="0.25">
      <c r="A450" s="1">
        <v>442</v>
      </c>
      <c r="B450" s="10">
        <v>12923</v>
      </c>
      <c r="C450" s="11">
        <f t="shared" si="6"/>
        <v>2</v>
      </c>
    </row>
    <row r="451" spans="1:3" hidden="1" x14ac:dyDescent="0.25">
      <c r="A451" s="1">
        <v>443</v>
      </c>
      <c r="B451" s="10">
        <v>13007</v>
      </c>
      <c r="C451" s="11">
        <f t="shared" si="6"/>
        <v>3</v>
      </c>
    </row>
    <row r="452" spans="1:3" hidden="1" x14ac:dyDescent="0.25">
      <c r="A452" s="1">
        <v>444</v>
      </c>
      <c r="B452" s="10">
        <v>13022</v>
      </c>
      <c r="C452" s="11">
        <f t="shared" si="6"/>
        <v>4</v>
      </c>
    </row>
    <row r="453" spans="1:3" hidden="1" x14ac:dyDescent="0.25">
      <c r="A453" s="1">
        <v>445</v>
      </c>
      <c r="B453" s="10">
        <v>12989</v>
      </c>
      <c r="C453" s="11">
        <f t="shared" si="6"/>
        <v>5</v>
      </c>
    </row>
    <row r="454" spans="1:3" hidden="1" x14ac:dyDescent="0.25">
      <c r="A454" s="1">
        <v>446</v>
      </c>
      <c r="B454" s="10">
        <v>12991</v>
      </c>
      <c r="C454" s="11">
        <f t="shared" si="6"/>
        <v>6</v>
      </c>
    </row>
    <row r="455" spans="1:3" hidden="1" x14ac:dyDescent="0.25">
      <c r="A455" s="1">
        <v>447</v>
      </c>
      <c r="B455" s="10">
        <v>13010</v>
      </c>
      <c r="C455" s="11">
        <f t="shared" si="6"/>
        <v>7</v>
      </c>
    </row>
    <row r="456" spans="1:3" hidden="1" x14ac:dyDescent="0.25">
      <c r="A456" s="1">
        <v>448</v>
      </c>
      <c r="B456" s="10">
        <v>13046</v>
      </c>
      <c r="C456" s="11">
        <f t="shared" si="6"/>
        <v>8</v>
      </c>
    </row>
    <row r="457" spans="1:3" hidden="1" x14ac:dyDescent="0.25">
      <c r="A457" s="1">
        <v>449</v>
      </c>
      <c r="B457" s="10">
        <v>13043</v>
      </c>
      <c r="C457" s="11">
        <f t="shared" ref="C457:C508" si="7">MOD(A457,C$5)</f>
        <v>9</v>
      </c>
    </row>
    <row r="458" spans="1:3" x14ac:dyDescent="0.25">
      <c r="A458" s="1">
        <v>450</v>
      </c>
      <c r="B458" s="10">
        <v>13033</v>
      </c>
      <c r="C458" s="11">
        <f t="shared" si="7"/>
        <v>0</v>
      </c>
    </row>
    <row r="459" spans="1:3" hidden="1" x14ac:dyDescent="0.25">
      <c r="A459" s="1">
        <v>451</v>
      </c>
      <c r="B459" s="10">
        <v>12965</v>
      </c>
      <c r="C459" s="11">
        <f t="shared" si="7"/>
        <v>1</v>
      </c>
    </row>
    <row r="460" spans="1:3" hidden="1" x14ac:dyDescent="0.25">
      <c r="A460" s="1">
        <v>452</v>
      </c>
      <c r="B460" s="10">
        <v>13012</v>
      </c>
      <c r="C460" s="11">
        <f t="shared" si="7"/>
        <v>2</v>
      </c>
    </row>
    <row r="461" spans="1:3" hidden="1" x14ac:dyDescent="0.25">
      <c r="A461" s="1">
        <v>453</v>
      </c>
      <c r="B461" s="10">
        <v>13042</v>
      </c>
      <c r="C461" s="11">
        <f t="shared" si="7"/>
        <v>3</v>
      </c>
    </row>
    <row r="462" spans="1:3" hidden="1" x14ac:dyDescent="0.25">
      <c r="A462" s="1">
        <v>454</v>
      </c>
      <c r="B462" s="10">
        <v>13045</v>
      </c>
      <c r="C462" s="11">
        <f t="shared" si="7"/>
        <v>4</v>
      </c>
    </row>
    <row r="463" spans="1:3" hidden="1" x14ac:dyDescent="0.25">
      <c r="A463" s="1">
        <v>455</v>
      </c>
      <c r="B463" s="10">
        <v>13054</v>
      </c>
      <c r="C463" s="11">
        <f t="shared" si="7"/>
        <v>5</v>
      </c>
    </row>
    <row r="464" spans="1:3" hidden="1" x14ac:dyDescent="0.25">
      <c r="A464" s="1">
        <v>456</v>
      </c>
      <c r="B464" s="10">
        <v>13064</v>
      </c>
      <c r="C464" s="11">
        <f t="shared" si="7"/>
        <v>6</v>
      </c>
    </row>
    <row r="465" spans="1:3" hidden="1" x14ac:dyDescent="0.25">
      <c r="A465" s="1">
        <v>457</v>
      </c>
      <c r="B465" s="10">
        <v>13081</v>
      </c>
      <c r="C465" s="11">
        <f t="shared" si="7"/>
        <v>7</v>
      </c>
    </row>
    <row r="466" spans="1:3" hidden="1" x14ac:dyDescent="0.25">
      <c r="A466" s="1">
        <v>458</v>
      </c>
      <c r="B466" s="10">
        <v>13118</v>
      </c>
      <c r="C466" s="11">
        <f t="shared" si="7"/>
        <v>8</v>
      </c>
    </row>
    <row r="467" spans="1:3" hidden="1" x14ac:dyDescent="0.25">
      <c r="A467" s="1">
        <v>459</v>
      </c>
      <c r="B467" s="10">
        <v>13140</v>
      </c>
      <c r="C467" s="11">
        <f t="shared" si="7"/>
        <v>9</v>
      </c>
    </row>
    <row r="468" spans="1:3" x14ac:dyDescent="0.25">
      <c r="A468" s="1">
        <v>460</v>
      </c>
      <c r="B468" s="10">
        <v>13053</v>
      </c>
      <c r="C468" s="11">
        <f t="shared" si="7"/>
        <v>0</v>
      </c>
    </row>
    <row r="469" spans="1:3" hidden="1" x14ac:dyDescent="0.25">
      <c r="A469" s="1">
        <v>461</v>
      </c>
      <c r="B469" s="10">
        <v>13069</v>
      </c>
      <c r="C469" s="11">
        <f t="shared" si="7"/>
        <v>1</v>
      </c>
    </row>
    <row r="470" spans="1:3" hidden="1" x14ac:dyDescent="0.25">
      <c r="A470" s="1">
        <v>462</v>
      </c>
      <c r="B470" s="10">
        <v>13113</v>
      </c>
      <c r="C470" s="11">
        <f t="shared" si="7"/>
        <v>2</v>
      </c>
    </row>
    <row r="471" spans="1:3" hidden="1" x14ac:dyDescent="0.25">
      <c r="A471" s="1">
        <v>463</v>
      </c>
      <c r="B471" s="10">
        <v>13116</v>
      </c>
      <c r="C471" s="11">
        <f t="shared" si="7"/>
        <v>3</v>
      </c>
    </row>
    <row r="472" spans="1:3" hidden="1" x14ac:dyDescent="0.25">
      <c r="A472" s="1">
        <v>464</v>
      </c>
      <c r="B472" s="10">
        <v>13107</v>
      </c>
      <c r="C472" s="11">
        <f t="shared" si="7"/>
        <v>4</v>
      </c>
    </row>
    <row r="473" spans="1:3" hidden="1" x14ac:dyDescent="0.25">
      <c r="A473" s="1">
        <v>465</v>
      </c>
      <c r="B473" s="10">
        <v>13100</v>
      </c>
      <c r="C473" s="11">
        <f t="shared" si="7"/>
        <v>5</v>
      </c>
    </row>
    <row r="474" spans="1:3" hidden="1" x14ac:dyDescent="0.25">
      <c r="A474" s="1">
        <v>466</v>
      </c>
      <c r="B474" s="10">
        <v>13119</v>
      </c>
      <c r="C474" s="11">
        <f t="shared" si="7"/>
        <v>6</v>
      </c>
    </row>
    <row r="475" spans="1:3" hidden="1" x14ac:dyDescent="0.25">
      <c r="A475" s="1">
        <v>467</v>
      </c>
      <c r="B475" s="10">
        <v>13125</v>
      </c>
      <c r="C475" s="11">
        <f t="shared" si="7"/>
        <v>7</v>
      </c>
    </row>
    <row r="476" spans="1:3" hidden="1" x14ac:dyDescent="0.25">
      <c r="A476" s="1">
        <v>468</v>
      </c>
      <c r="B476" s="10">
        <v>13163</v>
      </c>
      <c r="C476" s="11">
        <f t="shared" si="7"/>
        <v>8</v>
      </c>
    </row>
    <row r="477" spans="1:3" hidden="1" x14ac:dyDescent="0.25">
      <c r="A477" s="1">
        <v>469</v>
      </c>
      <c r="B477" s="10">
        <v>13193</v>
      </c>
      <c r="C477" s="11">
        <f t="shared" si="7"/>
        <v>9</v>
      </c>
    </row>
    <row r="478" spans="1:3" x14ac:dyDescent="0.25">
      <c r="A478" s="1">
        <v>470</v>
      </c>
      <c r="B478" s="10">
        <v>13252</v>
      </c>
      <c r="C478" s="11">
        <f t="shared" si="7"/>
        <v>0</v>
      </c>
    </row>
    <row r="479" spans="1:3" hidden="1" x14ac:dyDescent="0.25">
      <c r="A479" s="1">
        <v>471</v>
      </c>
      <c r="B479" s="10">
        <v>13211</v>
      </c>
      <c r="C479" s="11">
        <f t="shared" si="7"/>
        <v>1</v>
      </c>
    </row>
    <row r="480" spans="1:3" hidden="1" x14ac:dyDescent="0.25">
      <c r="A480" s="1">
        <v>472</v>
      </c>
      <c r="B480" s="10">
        <v>13278</v>
      </c>
      <c r="C480" s="11">
        <f t="shared" si="7"/>
        <v>2</v>
      </c>
    </row>
    <row r="481" spans="1:3" hidden="1" x14ac:dyDescent="0.25">
      <c r="A481" s="1">
        <v>473</v>
      </c>
      <c r="B481" s="10">
        <v>13235</v>
      </c>
      <c r="C481" s="11">
        <f t="shared" si="7"/>
        <v>3</v>
      </c>
    </row>
    <row r="482" spans="1:3" hidden="1" x14ac:dyDescent="0.25">
      <c r="A482" s="1">
        <v>474</v>
      </c>
      <c r="B482" s="10">
        <v>13238</v>
      </c>
      <c r="C482" s="11">
        <f t="shared" si="7"/>
        <v>4</v>
      </c>
    </row>
    <row r="483" spans="1:3" hidden="1" x14ac:dyDescent="0.25">
      <c r="A483" s="1">
        <v>475</v>
      </c>
      <c r="B483" s="10">
        <v>13266</v>
      </c>
      <c r="C483" s="11">
        <f t="shared" si="7"/>
        <v>5</v>
      </c>
    </row>
    <row r="484" spans="1:3" hidden="1" x14ac:dyDescent="0.25">
      <c r="A484" s="1">
        <v>476</v>
      </c>
      <c r="B484" s="10">
        <v>13306</v>
      </c>
      <c r="C484" s="11">
        <f t="shared" si="7"/>
        <v>6</v>
      </c>
    </row>
    <row r="485" spans="1:3" hidden="1" x14ac:dyDescent="0.25">
      <c r="A485" s="1">
        <v>477</v>
      </c>
      <c r="B485" s="10">
        <v>13321</v>
      </c>
      <c r="C485" s="11">
        <f t="shared" si="7"/>
        <v>7</v>
      </c>
    </row>
    <row r="486" spans="1:3" hidden="1" x14ac:dyDescent="0.25">
      <c r="A486" s="1">
        <v>478</v>
      </c>
      <c r="B486" s="10">
        <v>13311</v>
      </c>
      <c r="C486" s="11">
        <f t="shared" si="7"/>
        <v>8</v>
      </c>
    </row>
    <row r="487" spans="1:3" hidden="1" x14ac:dyDescent="0.25">
      <c r="A487" s="1">
        <v>479</v>
      </c>
      <c r="B487" s="10">
        <v>13330</v>
      </c>
      <c r="C487" s="11">
        <f t="shared" si="7"/>
        <v>9</v>
      </c>
    </row>
    <row r="488" spans="1:3" x14ac:dyDescent="0.25">
      <c r="A488" s="1">
        <v>480</v>
      </c>
      <c r="B488" s="10">
        <v>13409</v>
      </c>
      <c r="C488" s="11">
        <f t="shared" si="7"/>
        <v>0</v>
      </c>
    </row>
    <row r="489" spans="1:3" hidden="1" x14ac:dyDescent="0.25">
      <c r="A489" s="1">
        <v>481</v>
      </c>
      <c r="B489" s="10">
        <v>13379</v>
      </c>
      <c r="C489" s="11">
        <f t="shared" si="7"/>
        <v>1</v>
      </c>
    </row>
    <row r="490" spans="1:3" hidden="1" x14ac:dyDescent="0.25">
      <c r="A490" s="1">
        <v>482</v>
      </c>
      <c r="B490" s="10">
        <v>13416</v>
      </c>
      <c r="C490" s="11">
        <f t="shared" si="7"/>
        <v>2</v>
      </c>
    </row>
    <row r="491" spans="1:3" hidden="1" x14ac:dyDescent="0.25">
      <c r="A491" s="1">
        <v>483</v>
      </c>
      <c r="B491" s="10">
        <v>13444</v>
      </c>
      <c r="C491" s="11">
        <f t="shared" si="7"/>
        <v>3</v>
      </c>
    </row>
    <row r="492" spans="1:3" hidden="1" x14ac:dyDescent="0.25">
      <c r="A492" s="1">
        <v>484</v>
      </c>
      <c r="B492" s="10">
        <v>13437</v>
      </c>
      <c r="C492" s="11">
        <f t="shared" si="7"/>
        <v>4</v>
      </c>
    </row>
    <row r="493" spans="1:3" hidden="1" x14ac:dyDescent="0.25">
      <c r="A493" s="1">
        <v>485</v>
      </c>
      <c r="B493" s="10">
        <v>13437</v>
      </c>
      <c r="C493" s="11">
        <f t="shared" si="7"/>
        <v>5</v>
      </c>
    </row>
    <row r="494" spans="1:3" hidden="1" x14ac:dyDescent="0.25">
      <c r="A494" s="1">
        <v>486</v>
      </c>
      <c r="B494" s="10">
        <v>13371</v>
      </c>
      <c r="C494" s="11">
        <f t="shared" si="7"/>
        <v>6</v>
      </c>
    </row>
    <row r="495" spans="1:3" hidden="1" x14ac:dyDescent="0.25">
      <c r="A495" s="1">
        <v>487</v>
      </c>
      <c r="B495" s="10">
        <v>13321</v>
      </c>
      <c r="C495" s="11">
        <f t="shared" si="7"/>
        <v>7</v>
      </c>
    </row>
    <row r="496" spans="1:3" hidden="1" x14ac:dyDescent="0.25">
      <c r="A496" s="1">
        <v>488</v>
      </c>
      <c r="B496" s="10">
        <v>13278</v>
      </c>
      <c r="C496" s="11">
        <f t="shared" si="7"/>
        <v>8</v>
      </c>
    </row>
    <row r="497" spans="1:3" hidden="1" x14ac:dyDescent="0.25">
      <c r="A497" s="1">
        <v>489</v>
      </c>
      <c r="B497" s="10">
        <v>13291</v>
      </c>
      <c r="C497" s="11">
        <f t="shared" si="7"/>
        <v>9</v>
      </c>
    </row>
    <row r="498" spans="1:3" x14ac:dyDescent="0.25">
      <c r="A498" s="1">
        <v>490</v>
      </c>
      <c r="B498" s="10">
        <v>13299</v>
      </c>
      <c r="C498" s="11">
        <f t="shared" si="7"/>
        <v>0</v>
      </c>
    </row>
    <row r="499" spans="1:3" hidden="1" x14ac:dyDescent="0.25">
      <c r="A499" s="1">
        <v>491</v>
      </c>
      <c r="B499" s="10">
        <v>13337</v>
      </c>
      <c r="C499" s="11">
        <f t="shared" si="7"/>
        <v>1</v>
      </c>
    </row>
    <row r="500" spans="1:3" hidden="1" x14ac:dyDescent="0.25">
      <c r="A500" s="1">
        <v>492</v>
      </c>
      <c r="B500" s="10">
        <v>13346</v>
      </c>
      <c r="C500" s="11">
        <f t="shared" si="7"/>
        <v>2</v>
      </c>
    </row>
    <row r="501" spans="1:3" hidden="1" x14ac:dyDescent="0.25">
      <c r="A501" s="1">
        <v>493</v>
      </c>
      <c r="B501" s="10">
        <v>13285</v>
      </c>
      <c r="C501" s="11">
        <f t="shared" si="7"/>
        <v>3</v>
      </c>
    </row>
    <row r="502" spans="1:3" hidden="1" x14ac:dyDescent="0.25">
      <c r="A502" s="1">
        <v>494</v>
      </c>
      <c r="B502" s="10">
        <v>13349</v>
      </c>
      <c r="C502" s="11">
        <f t="shared" si="7"/>
        <v>4</v>
      </c>
    </row>
    <row r="503" spans="1:3" hidden="1" x14ac:dyDescent="0.25">
      <c r="A503" s="1">
        <v>495</v>
      </c>
      <c r="B503" s="10">
        <v>13324</v>
      </c>
      <c r="C503" s="11">
        <f t="shared" si="7"/>
        <v>5</v>
      </c>
    </row>
    <row r="504" spans="1:3" hidden="1" x14ac:dyDescent="0.25">
      <c r="A504" s="1">
        <v>496</v>
      </c>
      <c r="B504" s="10">
        <v>13369</v>
      </c>
      <c r="C504" s="11">
        <f t="shared" si="7"/>
        <v>6</v>
      </c>
    </row>
    <row r="505" spans="1:3" hidden="1" x14ac:dyDescent="0.25">
      <c r="A505" s="1">
        <v>497</v>
      </c>
      <c r="B505" s="10">
        <v>13448</v>
      </c>
      <c r="C505" s="11">
        <f t="shared" si="7"/>
        <v>7</v>
      </c>
    </row>
    <row r="506" spans="1:3" hidden="1" x14ac:dyDescent="0.25">
      <c r="A506" s="1">
        <v>498</v>
      </c>
      <c r="B506" s="10">
        <v>13463</v>
      </c>
      <c r="C506" s="11">
        <f t="shared" si="7"/>
        <v>8</v>
      </c>
    </row>
    <row r="507" spans="1:3" hidden="1" x14ac:dyDescent="0.25">
      <c r="A507" s="1">
        <v>499</v>
      </c>
      <c r="B507" s="10">
        <v>13476</v>
      </c>
      <c r="C507" s="11">
        <f t="shared" si="7"/>
        <v>9</v>
      </c>
    </row>
    <row r="508" spans="1:3" x14ac:dyDescent="0.25">
      <c r="A508" s="1">
        <v>500</v>
      </c>
      <c r="B508" s="10">
        <v>13436</v>
      </c>
      <c r="C508" s="11">
        <f t="shared" si="7"/>
        <v>0</v>
      </c>
    </row>
  </sheetData>
  <autoFilter ref="A7:C508">
    <filterColumn colId="2">
      <filters>
        <filter val="0"/>
      </filters>
    </filterColumn>
  </autoFilter>
  <mergeCells count="3">
    <mergeCell ref="E25:J26"/>
    <mergeCell ref="E138:J138"/>
    <mergeCell ref="E148:J148"/>
  </mergeCells>
  <pageMargins left="0.7" right="0.7" top="0.75" bottom="0.75" header="0.51180555555555551" footer="0.51180555555555551"/>
  <pageSetup firstPageNumber="0" orientation="portrait" horizontalDpi="300" verticalDpi="300"/>
  <headerFooter alignWithMargins="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48"/>
  <sheetViews>
    <sheetView zoomScaleNormal="100" workbookViewId="0">
      <selection activeCell="G14" sqref="G14"/>
    </sheetView>
  </sheetViews>
  <sheetFormatPr defaultRowHeight="12.75" x14ac:dyDescent="0.2"/>
  <cols>
    <col min="1" max="1" width="17.42578125" customWidth="1"/>
    <col min="2" max="3" width="14.5703125" bestFit="1" customWidth="1"/>
    <col min="5" max="5" width="12.28515625" customWidth="1"/>
    <col min="6" max="7" width="15" customWidth="1"/>
    <col min="8" max="8" width="12.42578125" style="52" customWidth="1"/>
    <col min="9" max="9" width="14.85546875" style="52" customWidth="1"/>
    <col min="10" max="10" width="14.28515625" style="52" customWidth="1"/>
    <col min="11" max="16384" width="9.140625" style="52"/>
  </cols>
  <sheetData>
    <row r="1" spans="1:16" ht="21" customHeight="1" x14ac:dyDescent="0.25">
      <c r="A1" s="91" t="s">
        <v>78</v>
      </c>
      <c r="B1" s="89" t="s">
        <v>75</v>
      </c>
      <c r="C1" s="90"/>
      <c r="D1" s="42"/>
      <c r="E1" s="62"/>
      <c r="F1" s="72"/>
      <c r="G1" s="73" t="s">
        <v>90</v>
      </c>
      <c r="H1" s="72"/>
      <c r="I1" s="72"/>
    </row>
    <row r="2" spans="1:16" ht="19.5" x14ac:dyDescent="0.3">
      <c r="A2" s="91"/>
      <c r="B2" s="49" t="s">
        <v>76</v>
      </c>
      <c r="C2" s="49" t="s">
        <v>77</v>
      </c>
      <c r="D2" s="42"/>
      <c r="E2" s="62"/>
      <c r="F2" s="73" t="s">
        <v>76</v>
      </c>
      <c r="G2" s="72"/>
      <c r="H2" s="72"/>
      <c r="I2" s="73" t="s">
        <v>77</v>
      </c>
    </row>
    <row r="3" spans="1:16" ht="15.75" x14ac:dyDescent="0.25">
      <c r="A3" s="48">
        <v>32962</v>
      </c>
      <c r="B3" s="43">
        <v>2.2284122199999999E-2</v>
      </c>
      <c r="C3" s="44">
        <v>1.0752688200000001E-2</v>
      </c>
      <c r="D3" s="42"/>
      <c r="E3" s="67" t="s">
        <v>88</v>
      </c>
      <c r="F3" s="74">
        <f>MIN(gm)</f>
        <v>-0.240320429</v>
      </c>
      <c r="G3" s="74"/>
      <c r="H3" s="67" t="s">
        <v>88</v>
      </c>
      <c r="I3" s="73">
        <f>MIN(csco)</f>
        <v>-0.20250895600000002</v>
      </c>
    </row>
    <row r="4" spans="1:16" ht="15.75" x14ac:dyDescent="0.25">
      <c r="A4" s="48">
        <v>32993</v>
      </c>
      <c r="B4" s="43">
        <v>-3.5422344000000001E-2</v>
      </c>
      <c r="C4" s="44">
        <v>1.0638297500000001E-2</v>
      </c>
      <c r="D4" s="42"/>
      <c r="E4" s="67" t="s">
        <v>89</v>
      </c>
      <c r="F4" s="75">
        <f>MAX(gm)</f>
        <v>0.27661910649999999</v>
      </c>
      <c r="G4" s="75"/>
      <c r="H4" s="67" t="s">
        <v>89</v>
      </c>
      <c r="I4" s="73">
        <f>MAX(csco)</f>
        <v>0.33898305890000002</v>
      </c>
    </row>
    <row r="5" spans="1:16" ht="15.75" x14ac:dyDescent="0.25">
      <c r="A5" s="48">
        <v>33024</v>
      </c>
      <c r="B5" s="43">
        <v>0.1158192083</v>
      </c>
      <c r="C5" s="44">
        <v>4.2105265000000003E-2</v>
      </c>
      <c r="D5" s="42"/>
      <c r="E5" s="42"/>
      <c r="F5" s="54"/>
      <c r="G5" s="54"/>
      <c r="H5" s="50"/>
      <c r="N5" s="51"/>
      <c r="O5" s="51"/>
    </row>
    <row r="6" spans="1:16" ht="15.75" x14ac:dyDescent="0.25">
      <c r="A6" s="48">
        <v>33053</v>
      </c>
      <c r="B6" s="43">
        <v>-2.0565553E-2</v>
      </c>
      <c r="C6" s="44">
        <v>7.0707067800000009E-2</v>
      </c>
      <c r="D6" s="42"/>
      <c r="F6" s="54"/>
      <c r="G6" s="54"/>
      <c r="H6" s="50"/>
      <c r="L6" s="88" t="s">
        <v>100</v>
      </c>
      <c r="M6" s="88"/>
      <c r="N6" s="88"/>
      <c r="O6" s="51"/>
      <c r="P6" s="51"/>
    </row>
    <row r="7" spans="1:16" ht="15.75" x14ac:dyDescent="0.25">
      <c r="A7" s="48">
        <v>33085</v>
      </c>
      <c r="B7" s="43">
        <v>-2.0997375000000002E-2</v>
      </c>
      <c r="C7" s="44">
        <v>-3.7735850000000001E-2</v>
      </c>
      <c r="D7" s="42"/>
      <c r="E7" s="79" t="s">
        <v>97</v>
      </c>
      <c r="F7" s="71" t="s">
        <v>95</v>
      </c>
      <c r="G7" s="71"/>
      <c r="H7" s="79" t="s">
        <v>97</v>
      </c>
      <c r="I7" s="71" t="s">
        <v>95</v>
      </c>
      <c r="N7" s="54"/>
      <c r="O7" s="54"/>
      <c r="P7" s="50"/>
    </row>
    <row r="8" spans="1:16" ht="15.75" x14ac:dyDescent="0.25">
      <c r="A8" s="48">
        <v>33116</v>
      </c>
      <c r="B8" s="43">
        <v>-0.13136729599999999</v>
      </c>
      <c r="C8" s="44">
        <v>-2.9411765000000003E-2</v>
      </c>
      <c r="D8" s="42"/>
      <c r="E8" s="70">
        <v>-0.3</v>
      </c>
      <c r="F8" s="71">
        <f t="array" ref="F8:F22">FREQUENCY(gm,H8:H21)</f>
        <v>0</v>
      </c>
      <c r="G8" s="71"/>
      <c r="H8" s="70">
        <v>-0.3</v>
      </c>
      <c r="I8" s="69">
        <f t="array" ref="I8:I22">FREQUENCY(gm,H8:H21)</f>
        <v>0</v>
      </c>
      <c r="K8" s="92" t="s">
        <v>91</v>
      </c>
      <c r="L8" s="92"/>
      <c r="M8" s="92"/>
      <c r="N8" s="92"/>
      <c r="O8" s="92"/>
      <c r="P8" s="50"/>
    </row>
    <row r="9" spans="1:16" ht="15.75" x14ac:dyDescent="0.25">
      <c r="A9" s="48">
        <v>33144</v>
      </c>
      <c r="B9" s="43">
        <v>-8.8050313000000005E-2</v>
      </c>
      <c r="C9" s="44">
        <v>-9.090909400000001E-2</v>
      </c>
      <c r="D9" s="42"/>
      <c r="E9" s="70">
        <v>-0.25</v>
      </c>
      <c r="F9" s="71">
        <v>0</v>
      </c>
      <c r="G9" s="71"/>
      <c r="H9" s="70">
        <v>-0.25</v>
      </c>
      <c r="I9" s="69">
        <v>0</v>
      </c>
      <c r="K9" s="92"/>
      <c r="L9" s="92"/>
      <c r="M9" s="92"/>
      <c r="N9" s="92"/>
      <c r="O9" s="92"/>
      <c r="P9" s="50"/>
    </row>
    <row r="10" spans="1:16" ht="15.75" x14ac:dyDescent="0.25">
      <c r="A10" s="48">
        <v>33177</v>
      </c>
      <c r="B10" s="43">
        <v>1.3793103400000001E-2</v>
      </c>
      <c r="C10" s="44">
        <v>0.3111111224</v>
      </c>
      <c r="D10" s="42"/>
      <c r="E10" s="70">
        <v>-0.2</v>
      </c>
      <c r="F10" s="71">
        <v>1</v>
      </c>
      <c r="G10" s="71"/>
      <c r="H10" s="70">
        <v>-0.2</v>
      </c>
      <c r="I10" s="69">
        <v>1</v>
      </c>
      <c r="K10" s="92" t="s">
        <v>92</v>
      </c>
      <c r="L10" s="92"/>
      <c r="M10" s="92"/>
      <c r="N10" s="92"/>
      <c r="O10" s="92"/>
      <c r="P10" s="50"/>
    </row>
    <row r="11" spans="1:16" ht="15.75" x14ac:dyDescent="0.25">
      <c r="A11" s="48">
        <v>33207</v>
      </c>
      <c r="B11" s="43">
        <v>1.3605441900000001E-2</v>
      </c>
      <c r="C11" s="44">
        <v>0.33898305890000002</v>
      </c>
      <c r="D11" s="42"/>
      <c r="E11" s="70">
        <v>-0.15</v>
      </c>
      <c r="F11" s="76">
        <v>5</v>
      </c>
      <c r="G11" s="76"/>
      <c r="H11" s="70">
        <v>-0.15</v>
      </c>
      <c r="I11" s="69">
        <v>5</v>
      </c>
      <c r="K11" s="92"/>
      <c r="L11" s="92"/>
      <c r="M11" s="92"/>
      <c r="N11" s="92"/>
      <c r="O11" s="92"/>
      <c r="P11" s="50"/>
    </row>
    <row r="12" spans="1:16" ht="15.75" customHeight="1" x14ac:dyDescent="0.25">
      <c r="A12" s="48">
        <v>33238</v>
      </c>
      <c r="B12" s="43">
        <v>-5.8219180000000002E-2</v>
      </c>
      <c r="C12" s="44">
        <v>0.13607594370000001</v>
      </c>
      <c r="D12" s="42"/>
      <c r="E12" s="70">
        <v>-0.1</v>
      </c>
      <c r="F12" s="76">
        <v>3</v>
      </c>
      <c r="G12" s="76"/>
      <c r="H12" s="70">
        <v>-0.1</v>
      </c>
      <c r="I12" s="69">
        <v>3</v>
      </c>
      <c r="K12" s="92" t="s">
        <v>96</v>
      </c>
      <c r="L12" s="92"/>
      <c r="M12" s="92"/>
      <c r="N12" s="92"/>
      <c r="O12" s="92"/>
      <c r="P12" s="50"/>
    </row>
    <row r="13" spans="1:16" ht="15.75" x14ac:dyDescent="0.25">
      <c r="A13" s="48">
        <v>33269</v>
      </c>
      <c r="B13" s="43">
        <v>5.4545454700000003E-2</v>
      </c>
      <c r="C13" s="44">
        <v>0.30362117290000001</v>
      </c>
      <c r="D13" s="42"/>
      <c r="E13" s="70">
        <v>-0.05</v>
      </c>
      <c r="F13" s="76">
        <v>21</v>
      </c>
      <c r="G13" s="76"/>
      <c r="H13" s="70">
        <v>-0.05</v>
      </c>
      <c r="I13" s="69">
        <v>21</v>
      </c>
      <c r="K13" s="92"/>
      <c r="L13" s="92"/>
      <c r="M13" s="92"/>
      <c r="N13" s="92"/>
      <c r="O13" s="92"/>
      <c r="P13" s="50"/>
    </row>
    <row r="14" spans="1:16" ht="15.75" x14ac:dyDescent="0.25">
      <c r="A14" s="48">
        <v>33297</v>
      </c>
      <c r="B14" s="43">
        <v>0.100689657</v>
      </c>
      <c r="C14" s="44">
        <v>-4.2735044E-2</v>
      </c>
      <c r="D14" s="42"/>
      <c r="E14" s="70">
        <v>0</v>
      </c>
      <c r="F14" s="69">
        <v>38</v>
      </c>
      <c r="G14" s="69"/>
      <c r="H14" s="70">
        <v>0</v>
      </c>
      <c r="I14" s="69">
        <v>38</v>
      </c>
      <c r="K14" s="92"/>
      <c r="L14" s="92"/>
      <c r="M14" s="92"/>
      <c r="N14" s="92"/>
      <c r="O14" s="92"/>
      <c r="P14" s="50"/>
    </row>
    <row r="15" spans="1:16" ht="15.75" x14ac:dyDescent="0.25">
      <c r="A15" s="48">
        <v>33325</v>
      </c>
      <c r="B15" s="43">
        <v>-4.4303797000000006E-2</v>
      </c>
      <c r="C15" s="44">
        <v>-0.12946428400000001</v>
      </c>
      <c r="D15" s="42"/>
      <c r="E15" s="70">
        <v>0.05</v>
      </c>
      <c r="F15" s="69">
        <v>21</v>
      </c>
      <c r="G15" s="69"/>
      <c r="H15" s="70">
        <v>0.05</v>
      </c>
      <c r="I15" s="69">
        <v>21</v>
      </c>
      <c r="K15" s="87" t="s">
        <v>99</v>
      </c>
      <c r="L15" s="87"/>
      <c r="M15" s="87"/>
      <c r="N15" s="87"/>
      <c r="O15" s="87"/>
    </row>
    <row r="16" spans="1:16" ht="15.75" x14ac:dyDescent="0.25">
      <c r="A16" s="48">
        <v>33358</v>
      </c>
      <c r="B16" s="43">
        <v>-5.2980132000000006E-2</v>
      </c>
      <c r="C16" s="44">
        <v>0.22051282229999999</v>
      </c>
      <c r="D16" s="42"/>
      <c r="E16" s="70">
        <v>0.1</v>
      </c>
      <c r="F16" s="69">
        <v>16</v>
      </c>
      <c r="G16" s="69"/>
      <c r="H16" s="70">
        <v>0.1</v>
      </c>
      <c r="I16" s="69">
        <v>16</v>
      </c>
      <c r="K16" s="87"/>
      <c r="L16" s="87"/>
      <c r="M16" s="87"/>
      <c r="N16" s="87"/>
      <c r="O16" s="87"/>
    </row>
    <row r="17" spans="1:15" ht="15.75" x14ac:dyDescent="0.25">
      <c r="A17" s="48">
        <v>33389</v>
      </c>
      <c r="B17" s="43">
        <v>0.21748250720000001</v>
      </c>
      <c r="C17" s="44">
        <v>8.4033615899999997E-2</v>
      </c>
      <c r="E17" s="70">
        <v>0.15</v>
      </c>
      <c r="F17" s="69">
        <v>18</v>
      </c>
      <c r="G17" s="69"/>
      <c r="H17" s="70">
        <v>0.15</v>
      </c>
      <c r="I17" s="69">
        <v>18</v>
      </c>
      <c r="K17" s="87"/>
      <c r="L17" s="87"/>
      <c r="M17" s="87"/>
      <c r="N17" s="87"/>
      <c r="O17" s="87"/>
    </row>
    <row r="18" spans="1:15" ht="15.75" x14ac:dyDescent="0.25">
      <c r="A18" s="48">
        <v>33417</v>
      </c>
      <c r="B18" s="43">
        <v>-5.5072464000000002E-2</v>
      </c>
      <c r="C18" s="44">
        <v>-5.4263566000000006E-2</v>
      </c>
      <c r="E18" s="70">
        <v>0.2</v>
      </c>
      <c r="F18" s="69">
        <v>4</v>
      </c>
      <c r="G18" s="69"/>
      <c r="H18" s="70">
        <v>0.2</v>
      </c>
      <c r="I18" s="69">
        <v>4</v>
      </c>
      <c r="K18" s="87"/>
      <c r="L18" s="87"/>
      <c r="M18" s="87"/>
      <c r="N18" s="87"/>
      <c r="O18" s="87"/>
    </row>
    <row r="19" spans="1:15" ht="15.75" x14ac:dyDescent="0.25">
      <c r="A19" s="48">
        <v>33450</v>
      </c>
      <c r="B19" s="43">
        <v>-2.4539877000000002E-2</v>
      </c>
      <c r="C19" s="44">
        <v>0.28688523170000002</v>
      </c>
      <c r="E19" s="70">
        <v>0.25</v>
      </c>
      <c r="F19" s="69">
        <v>1</v>
      </c>
      <c r="G19" s="69"/>
      <c r="H19" s="70">
        <v>0.25</v>
      </c>
      <c r="I19" s="69">
        <v>1</v>
      </c>
    </row>
    <row r="20" spans="1:15" ht="15.75" x14ac:dyDescent="0.25">
      <c r="A20" s="48">
        <v>33480</v>
      </c>
      <c r="B20" s="43">
        <v>-3.3962265000000005E-2</v>
      </c>
      <c r="C20" s="44">
        <v>0.15605095030000002</v>
      </c>
      <c r="E20" s="70">
        <v>0.3</v>
      </c>
      <c r="F20" s="69">
        <v>2</v>
      </c>
      <c r="G20" s="69"/>
      <c r="H20" s="70">
        <v>0.3</v>
      </c>
      <c r="I20" s="69">
        <v>2</v>
      </c>
    </row>
    <row r="21" spans="1:15" ht="15.75" x14ac:dyDescent="0.25">
      <c r="A21" s="48">
        <v>33511</v>
      </c>
      <c r="B21" s="43">
        <v>-1.6447369E-2</v>
      </c>
      <c r="C21" s="44">
        <v>-9.6418731000000008E-2</v>
      </c>
      <c r="E21" s="70">
        <v>0.35</v>
      </c>
      <c r="F21" s="69">
        <v>0</v>
      </c>
      <c r="G21" s="69"/>
      <c r="H21" s="70">
        <v>0.35</v>
      </c>
      <c r="I21" s="69">
        <v>0</v>
      </c>
    </row>
    <row r="22" spans="1:15" ht="15.75" x14ac:dyDescent="0.25">
      <c r="A22" s="48">
        <v>33542</v>
      </c>
      <c r="B22" s="43">
        <v>-6.0200669000000005E-2</v>
      </c>
      <c r="C22" s="44">
        <v>0.1890243888</v>
      </c>
      <c r="E22" s="79" t="s">
        <v>98</v>
      </c>
      <c r="F22" s="69">
        <v>0</v>
      </c>
      <c r="G22" s="69"/>
      <c r="H22" s="79" t="s">
        <v>98</v>
      </c>
      <c r="I22" s="69">
        <v>0</v>
      </c>
    </row>
    <row r="23" spans="1:15" ht="15.75" x14ac:dyDescent="0.25">
      <c r="A23" s="48">
        <v>33571</v>
      </c>
      <c r="B23" s="43">
        <v>-0.113167264</v>
      </c>
      <c r="C23" s="44">
        <v>1.5384615400000001E-2</v>
      </c>
      <c r="F23" s="52"/>
      <c r="G23" s="52"/>
    </row>
    <row r="24" spans="1:15" ht="15.75" x14ac:dyDescent="0.25">
      <c r="A24" s="48">
        <v>33603</v>
      </c>
      <c r="B24" s="43">
        <v>-6.0975611000000006E-2</v>
      </c>
      <c r="C24" s="44">
        <v>0.33838382360000002</v>
      </c>
      <c r="F24" s="52"/>
      <c r="G24" s="52"/>
    </row>
    <row r="25" spans="1:15" ht="15.75" x14ac:dyDescent="0.25">
      <c r="A25" s="48">
        <v>33634</v>
      </c>
      <c r="B25" s="43">
        <v>0.1212121248</v>
      </c>
      <c r="C25" s="44">
        <v>0.1339622587</v>
      </c>
      <c r="F25" s="52"/>
      <c r="G25" s="52"/>
    </row>
    <row r="26" spans="1:15" ht="15.75" x14ac:dyDescent="0.25">
      <c r="A26" s="48">
        <v>33662</v>
      </c>
      <c r="B26" s="43">
        <v>0.17065636810000001</v>
      </c>
      <c r="C26" s="44">
        <v>8.485856650000001E-2</v>
      </c>
      <c r="F26" s="52"/>
      <c r="G26" s="52"/>
    </row>
    <row r="27" spans="1:15" ht="15.75" x14ac:dyDescent="0.25">
      <c r="A27" s="48">
        <v>33694</v>
      </c>
      <c r="B27" s="43">
        <v>-2.3333333000000001E-2</v>
      </c>
      <c r="C27" s="44">
        <v>-3.0674847000000002E-2</v>
      </c>
      <c r="F27" s="52"/>
      <c r="G27" s="52"/>
    </row>
    <row r="28" spans="1:15" ht="15.75" x14ac:dyDescent="0.25">
      <c r="A28" s="48">
        <v>33724</v>
      </c>
      <c r="B28" s="43">
        <v>0.13310579959999999</v>
      </c>
      <c r="C28" s="44">
        <v>-7.5949363000000006E-2</v>
      </c>
      <c r="F28" s="52"/>
      <c r="G28" s="52"/>
    </row>
    <row r="29" spans="1:15" ht="15.75" x14ac:dyDescent="0.25">
      <c r="A29" s="48">
        <v>33753</v>
      </c>
      <c r="B29" s="43">
        <v>-3.9156626999999999E-2</v>
      </c>
      <c r="C29" s="44">
        <v>0.25342464450000002</v>
      </c>
      <c r="F29" s="52"/>
      <c r="G29" s="52"/>
    </row>
    <row r="30" spans="1:15" ht="15.75" x14ac:dyDescent="0.25">
      <c r="A30" s="48">
        <v>33785</v>
      </c>
      <c r="B30" s="43">
        <v>0.1134796292</v>
      </c>
      <c r="C30" s="44">
        <v>2.7322404099999999E-2</v>
      </c>
      <c r="F30" s="52"/>
      <c r="G30" s="52"/>
    </row>
    <row r="31" spans="1:15" ht="15.75" x14ac:dyDescent="0.25">
      <c r="A31" s="48">
        <v>33816</v>
      </c>
      <c r="B31" s="43">
        <v>-5.3977273000000006E-2</v>
      </c>
      <c r="C31" s="44">
        <v>0.13563829660000001</v>
      </c>
      <c r="F31" s="52"/>
      <c r="G31" s="52"/>
    </row>
    <row r="32" spans="1:15" ht="15.75" x14ac:dyDescent="0.25">
      <c r="A32" s="48">
        <v>33847</v>
      </c>
      <c r="B32" s="43">
        <v>-0.15855856200000001</v>
      </c>
      <c r="C32" s="44">
        <v>-0.121779859</v>
      </c>
      <c r="F32" s="52"/>
      <c r="G32" s="52"/>
    </row>
    <row r="33" spans="1:9" ht="15.75" x14ac:dyDescent="0.25">
      <c r="A33" s="48">
        <v>33877</v>
      </c>
      <c r="B33" s="43">
        <v>-7.2202168000000011E-2</v>
      </c>
      <c r="C33" s="44">
        <v>0.12800000610000001</v>
      </c>
      <c r="F33" s="52"/>
      <c r="G33" s="52"/>
    </row>
    <row r="34" spans="1:9" ht="15.75" x14ac:dyDescent="0.25">
      <c r="A34" s="48">
        <v>33907</v>
      </c>
      <c r="B34" s="43">
        <v>-4.2801555000000005E-2</v>
      </c>
      <c r="C34" s="44">
        <v>0.13475176690000001</v>
      </c>
      <c r="F34" s="52"/>
      <c r="G34" s="52"/>
    </row>
    <row r="35" spans="1:9" ht="15.75" x14ac:dyDescent="0.25">
      <c r="A35" s="48">
        <v>33938</v>
      </c>
      <c r="B35" s="43">
        <v>5.5284552300000005E-2</v>
      </c>
      <c r="C35" s="44">
        <v>0.24583333730000001</v>
      </c>
      <c r="F35" s="52"/>
      <c r="G35" s="52"/>
    </row>
    <row r="36" spans="1:9" ht="15.75" x14ac:dyDescent="0.25">
      <c r="A36" s="48">
        <v>33969</v>
      </c>
      <c r="B36" s="43">
        <v>0</v>
      </c>
      <c r="C36" s="44">
        <v>5.1839463400000001E-2</v>
      </c>
      <c r="F36" s="52"/>
      <c r="G36" s="52"/>
    </row>
    <row r="37" spans="1:9" ht="15.75" x14ac:dyDescent="0.25">
      <c r="A37" s="48">
        <v>33998</v>
      </c>
      <c r="B37" s="43">
        <v>0.17054264250000001</v>
      </c>
      <c r="C37" s="44">
        <v>0.1255961806</v>
      </c>
      <c r="F37" s="52"/>
      <c r="G37" s="52"/>
    </row>
    <row r="38" spans="1:9" ht="15.75" x14ac:dyDescent="0.25">
      <c r="A38" s="48">
        <v>34026</v>
      </c>
      <c r="B38" s="43">
        <v>-7.9470200000000008E-3</v>
      </c>
      <c r="C38" s="44">
        <v>-9.8870050000000008E-3</v>
      </c>
      <c r="F38" s="52"/>
      <c r="G38" s="52"/>
    </row>
    <row r="39" spans="1:9" ht="15.75" x14ac:dyDescent="0.25">
      <c r="A39" s="48">
        <v>34059</v>
      </c>
      <c r="B39" s="43">
        <v>1.00671137E-2</v>
      </c>
      <c r="C39" s="44">
        <v>2.13980023E-2</v>
      </c>
      <c r="F39" s="52"/>
      <c r="G39" s="52"/>
    </row>
    <row r="40" spans="1:9" ht="15.75" x14ac:dyDescent="0.25">
      <c r="A40" s="48">
        <v>34089</v>
      </c>
      <c r="B40" s="43">
        <v>8.6378738300000008E-2</v>
      </c>
      <c r="C40" s="44">
        <v>-7.8212291000000003E-2</v>
      </c>
      <c r="F40" s="52"/>
      <c r="G40" s="52"/>
    </row>
    <row r="41" spans="1:9" ht="15.75" x14ac:dyDescent="0.25">
      <c r="A41" s="48">
        <v>34117</v>
      </c>
      <c r="B41" s="43">
        <v>-1.3455656000000002E-2</v>
      </c>
      <c r="C41" s="44">
        <v>0.30909091230000002</v>
      </c>
      <c r="F41" s="52"/>
      <c r="G41" s="52"/>
    </row>
    <row r="42" spans="1:9" ht="15.75" x14ac:dyDescent="0.25">
      <c r="A42" s="48">
        <v>34150</v>
      </c>
      <c r="B42" s="43">
        <v>0.10903427</v>
      </c>
      <c r="C42" s="44">
        <v>1.3888889000000001E-2</v>
      </c>
      <c r="F42" s="52"/>
      <c r="G42" s="52"/>
    </row>
    <row r="43" spans="1:9" ht="15.75" x14ac:dyDescent="0.25">
      <c r="A43" s="48">
        <v>34180</v>
      </c>
      <c r="B43" s="43">
        <v>8.988764140000001E-2</v>
      </c>
      <c r="C43" s="44">
        <v>-5.2511416000000005E-2</v>
      </c>
      <c r="F43" s="52"/>
      <c r="G43" s="52"/>
    </row>
    <row r="44" spans="1:9" ht="15.75" x14ac:dyDescent="0.25">
      <c r="A44" s="48">
        <v>34212</v>
      </c>
      <c r="B44" s="43">
        <v>-2.9381441000000001E-2</v>
      </c>
      <c r="C44" s="44">
        <v>-7.9518072000000009E-2</v>
      </c>
      <c r="F44" s="52"/>
      <c r="G44" s="52"/>
    </row>
    <row r="45" spans="1:9" ht="15.75" x14ac:dyDescent="0.25">
      <c r="A45" s="48">
        <v>34242</v>
      </c>
      <c r="B45" s="43">
        <v>-0.109333336</v>
      </c>
      <c r="C45" s="44">
        <v>4.7120418400000003E-2</v>
      </c>
      <c r="F45" s="53"/>
      <c r="G45" s="53"/>
      <c r="H45" s="53"/>
      <c r="I45" s="53"/>
    </row>
    <row r="46" spans="1:9" ht="15.75" x14ac:dyDescent="0.25">
      <c r="A46" s="48">
        <v>34271</v>
      </c>
      <c r="B46" s="43">
        <v>0.1407185644</v>
      </c>
      <c r="C46" s="44">
        <v>2.50000004E-2</v>
      </c>
      <c r="F46" s="53"/>
      <c r="G46" s="53"/>
      <c r="H46" s="53"/>
      <c r="I46" s="53"/>
    </row>
    <row r="47" spans="1:9" ht="15.75" x14ac:dyDescent="0.25">
      <c r="A47" s="48">
        <v>34303</v>
      </c>
      <c r="B47" s="43">
        <v>0.1118110269</v>
      </c>
      <c r="C47" s="44">
        <v>9.756097200000001E-2</v>
      </c>
      <c r="F47" s="53"/>
      <c r="G47" s="53"/>
      <c r="H47" s="53"/>
      <c r="I47" s="53"/>
    </row>
    <row r="48" spans="1:9" ht="15.75" x14ac:dyDescent="0.25">
      <c r="A48" s="48">
        <v>34334</v>
      </c>
      <c r="B48" s="43">
        <v>4.02843617E-2</v>
      </c>
      <c r="C48" s="44">
        <v>0.148888886</v>
      </c>
      <c r="F48" s="53"/>
      <c r="G48" s="53"/>
      <c r="H48" s="53"/>
      <c r="I48" s="53"/>
    </row>
    <row r="49" spans="1:9" ht="15.75" x14ac:dyDescent="0.25">
      <c r="A49" s="48">
        <v>34365</v>
      </c>
      <c r="B49" s="43">
        <v>0.11617311840000001</v>
      </c>
      <c r="C49" s="44">
        <v>0.1218568683</v>
      </c>
      <c r="F49" s="53"/>
      <c r="G49" s="53"/>
      <c r="H49" s="53"/>
      <c r="I49" s="53"/>
    </row>
    <row r="50" spans="1:9" ht="15.75" x14ac:dyDescent="0.25">
      <c r="A50" s="48">
        <v>34393</v>
      </c>
      <c r="B50" s="43">
        <v>-4.5714285E-2</v>
      </c>
      <c r="C50" s="44">
        <v>1.72413792E-2</v>
      </c>
      <c r="F50" s="53"/>
      <c r="G50" s="53"/>
      <c r="H50" s="53"/>
      <c r="I50" s="53"/>
    </row>
    <row r="51" spans="1:9" ht="15.75" x14ac:dyDescent="0.25">
      <c r="A51" s="48">
        <v>34424</v>
      </c>
      <c r="B51" s="43">
        <v>-7.5107299000000002E-2</v>
      </c>
      <c r="C51" s="44">
        <v>-7.1186438000000005E-2</v>
      </c>
    </row>
    <row r="52" spans="1:9" ht="15.75" x14ac:dyDescent="0.25">
      <c r="A52" s="48">
        <v>34453</v>
      </c>
      <c r="B52" s="43">
        <v>5.3364269400000004E-2</v>
      </c>
      <c r="C52" s="44">
        <v>-0.11496350200000001</v>
      </c>
    </row>
    <row r="53" spans="1:9" ht="15.75" x14ac:dyDescent="0.25">
      <c r="A53" s="48">
        <v>34485</v>
      </c>
      <c r="B53" s="43">
        <v>-4.9339209000000002E-2</v>
      </c>
      <c r="C53" s="44">
        <v>-0.18350514800000001</v>
      </c>
    </row>
    <row r="54" spans="1:9" ht="15.75" x14ac:dyDescent="0.25">
      <c r="A54" s="48">
        <v>34515</v>
      </c>
      <c r="B54" s="43">
        <v>-6.5116278999999999E-2</v>
      </c>
      <c r="C54" s="44">
        <v>-5.5555556000000006E-2</v>
      </c>
    </row>
    <row r="55" spans="1:9" ht="15.75" x14ac:dyDescent="0.25">
      <c r="A55" s="48">
        <v>34544</v>
      </c>
      <c r="B55" s="43">
        <v>2.2388059599999999E-2</v>
      </c>
      <c r="C55" s="44">
        <v>-0.10160427500000001</v>
      </c>
    </row>
    <row r="56" spans="1:9" ht="15.75" x14ac:dyDescent="0.25">
      <c r="A56" s="48">
        <v>34577</v>
      </c>
      <c r="B56" s="43">
        <v>-1.8004866000000001E-2</v>
      </c>
      <c r="C56" s="44">
        <v>0.18154761200000002</v>
      </c>
    </row>
    <row r="57" spans="1:9" ht="15.75" x14ac:dyDescent="0.25">
      <c r="A57" s="48">
        <v>34607</v>
      </c>
      <c r="B57" s="43">
        <v>-6.7164183000000002E-2</v>
      </c>
      <c r="C57" s="44">
        <v>0.1032745615</v>
      </c>
    </row>
    <row r="58" spans="1:9" ht="15.75" x14ac:dyDescent="0.25">
      <c r="A58" s="48">
        <v>34638</v>
      </c>
      <c r="B58" s="43">
        <v>-0.15733332900000002</v>
      </c>
      <c r="C58" s="44">
        <v>0.10045661780000001</v>
      </c>
    </row>
    <row r="59" spans="1:9" ht="15.75" x14ac:dyDescent="0.25">
      <c r="A59" s="48">
        <v>34668</v>
      </c>
      <c r="B59" s="43">
        <v>-2.9746834000000003E-2</v>
      </c>
      <c r="C59" s="44">
        <v>7.0539422300000001E-2</v>
      </c>
    </row>
    <row r="60" spans="1:9" ht="15.75" x14ac:dyDescent="0.25">
      <c r="A60" s="48">
        <v>34698</v>
      </c>
      <c r="B60" s="43">
        <v>0.1049180329</v>
      </c>
      <c r="C60" s="44">
        <v>8.9147284600000001E-2</v>
      </c>
    </row>
    <row r="61" spans="1:9" ht="15.75" x14ac:dyDescent="0.25">
      <c r="A61" s="48">
        <v>34730</v>
      </c>
      <c r="B61" s="43">
        <v>-7.7151336000000001E-2</v>
      </c>
      <c r="C61" s="44">
        <v>-4.9822062E-2</v>
      </c>
    </row>
    <row r="62" spans="1:9" ht="15.75" x14ac:dyDescent="0.25">
      <c r="A62" s="48">
        <v>34758</v>
      </c>
      <c r="B62" s="43">
        <v>0.10160771760000001</v>
      </c>
      <c r="C62" s="44">
        <v>1.12359552E-2</v>
      </c>
    </row>
    <row r="63" spans="1:9" ht="15.75" x14ac:dyDescent="0.25">
      <c r="A63" s="48">
        <v>34789</v>
      </c>
      <c r="B63" s="43">
        <v>3.2258063600000005E-2</v>
      </c>
      <c r="C63" s="44">
        <v>0.12962962690000002</v>
      </c>
    </row>
    <row r="64" spans="1:9" ht="15.75" x14ac:dyDescent="0.25">
      <c r="A64" s="48">
        <v>34817</v>
      </c>
      <c r="B64" s="43">
        <v>2.55681816E-2</v>
      </c>
      <c r="C64" s="44">
        <v>4.5901637500000002E-2</v>
      </c>
    </row>
    <row r="65" spans="1:3" ht="15.75" x14ac:dyDescent="0.25">
      <c r="A65" s="48">
        <v>34850</v>
      </c>
      <c r="B65" s="43">
        <v>7.0360109200000007E-2</v>
      </c>
      <c r="C65" s="44">
        <v>9.7178682700000005E-2</v>
      </c>
    </row>
    <row r="66" spans="1:3" ht="15.75" x14ac:dyDescent="0.25">
      <c r="A66" s="48">
        <v>34880</v>
      </c>
      <c r="B66" s="43">
        <v>-2.34375E-2</v>
      </c>
      <c r="C66" s="44">
        <v>0.15571428840000001</v>
      </c>
    </row>
    <row r="67" spans="1:3" ht="15.75" x14ac:dyDescent="0.25">
      <c r="A67" s="48">
        <v>34911</v>
      </c>
      <c r="B67" s="43">
        <v>3.9999999100000003E-2</v>
      </c>
      <c r="C67" s="44">
        <v>0.1025957987</v>
      </c>
    </row>
    <row r="68" spans="1:3" ht="15.75" x14ac:dyDescent="0.25">
      <c r="A68" s="48">
        <v>34942</v>
      </c>
      <c r="B68" s="43">
        <v>-2.7179489000000001E-2</v>
      </c>
      <c r="C68" s="44">
        <v>0.1771300435</v>
      </c>
    </row>
    <row r="69" spans="1:3" ht="15.75" x14ac:dyDescent="0.25">
      <c r="A69" s="48">
        <v>34971</v>
      </c>
      <c r="B69" s="43">
        <v>-5.3050400000000004E-3</v>
      </c>
      <c r="C69" s="44">
        <v>5.1428571300000003E-2</v>
      </c>
    </row>
    <row r="70" spans="1:3" ht="15.75" x14ac:dyDescent="0.25">
      <c r="A70" s="48">
        <v>35003</v>
      </c>
      <c r="B70" s="43">
        <v>-6.6666669999999997E-2</v>
      </c>
      <c r="C70" s="44">
        <v>0.1231884062</v>
      </c>
    </row>
    <row r="71" spans="1:3" ht="15.75" x14ac:dyDescent="0.25">
      <c r="A71" s="48">
        <v>35033</v>
      </c>
      <c r="B71" s="43">
        <v>0.1154285669</v>
      </c>
      <c r="C71" s="44">
        <v>8.5483871400000008E-2</v>
      </c>
    </row>
    <row r="72" spans="1:3" ht="15.75" x14ac:dyDescent="0.25">
      <c r="A72" s="48">
        <v>35062</v>
      </c>
      <c r="B72" s="43">
        <v>9.0206183500000009E-2</v>
      </c>
      <c r="C72" s="44">
        <v>-0.11292719100000001</v>
      </c>
    </row>
    <row r="73" spans="1:3" ht="15.75" x14ac:dyDescent="0.25">
      <c r="A73" s="48">
        <v>35095</v>
      </c>
      <c r="B73" s="43">
        <v>-4.7281320000000003E-3</v>
      </c>
      <c r="C73" s="44">
        <v>0.1155778915</v>
      </c>
    </row>
    <row r="74" spans="1:3" ht="15.75" x14ac:dyDescent="0.25">
      <c r="A74" s="48">
        <v>35124</v>
      </c>
      <c r="B74" s="43">
        <v>-1.8527316000000002E-2</v>
      </c>
      <c r="C74" s="44">
        <v>0.1411411464</v>
      </c>
    </row>
    <row r="75" spans="1:3" ht="15.75" x14ac:dyDescent="0.25">
      <c r="A75" s="48">
        <v>35153</v>
      </c>
      <c r="B75" s="43">
        <v>3.9024390300000003E-2</v>
      </c>
      <c r="C75" s="44">
        <v>-2.3684211E-2</v>
      </c>
    </row>
    <row r="76" spans="1:3" ht="15.75" x14ac:dyDescent="0.25">
      <c r="A76" s="48">
        <v>35185</v>
      </c>
      <c r="B76" s="43">
        <v>1.8779343E-2</v>
      </c>
      <c r="C76" s="44">
        <v>0.11859837920000001</v>
      </c>
    </row>
    <row r="77" spans="1:3" ht="15.75" x14ac:dyDescent="0.25">
      <c r="A77" s="48">
        <v>35216</v>
      </c>
      <c r="B77" s="43">
        <v>2.3502303299999999E-2</v>
      </c>
      <c r="C77" s="44">
        <v>5.54216877E-2</v>
      </c>
    </row>
    <row r="78" spans="1:3" ht="15.75" x14ac:dyDescent="0.25">
      <c r="A78" s="48">
        <v>35244</v>
      </c>
      <c r="B78" s="43">
        <v>-4.9886622000000005E-2</v>
      </c>
      <c r="C78" s="44">
        <v>3.4246575100000003E-2</v>
      </c>
    </row>
    <row r="79" spans="1:3" ht="15.75" x14ac:dyDescent="0.25">
      <c r="A79" s="48">
        <v>35277</v>
      </c>
      <c r="B79" s="43">
        <v>-6.9212407000000004E-2</v>
      </c>
      <c r="C79" s="44">
        <v>-8.6092717999999999E-2</v>
      </c>
    </row>
    <row r="80" spans="1:3" ht="15.75" x14ac:dyDescent="0.25">
      <c r="A80" s="48">
        <v>35307</v>
      </c>
      <c r="B80" s="43">
        <v>2.6153847600000002E-2</v>
      </c>
      <c r="C80" s="44">
        <v>1.93236712E-2</v>
      </c>
    </row>
    <row r="81" spans="1:3" ht="15.75" x14ac:dyDescent="0.25">
      <c r="A81" s="48">
        <v>35338</v>
      </c>
      <c r="B81" s="43">
        <v>-3.2745592000000004E-2</v>
      </c>
      <c r="C81" s="44">
        <v>0.17654028530000002</v>
      </c>
    </row>
    <row r="82" spans="1:3" ht="15.75" x14ac:dyDescent="0.25">
      <c r="A82" s="48">
        <v>35369</v>
      </c>
      <c r="B82" s="43">
        <v>0.1171875</v>
      </c>
      <c r="C82" s="44">
        <v>-3.021148E-3</v>
      </c>
    </row>
    <row r="83" spans="1:3" ht="15.75" x14ac:dyDescent="0.25">
      <c r="A83" s="48">
        <v>35398</v>
      </c>
      <c r="B83" s="43">
        <v>8.2051284599999996E-2</v>
      </c>
      <c r="C83" s="44">
        <v>9.6969693900000001E-2</v>
      </c>
    </row>
    <row r="84" spans="1:3" ht="15.75" x14ac:dyDescent="0.25">
      <c r="A84" s="48">
        <v>35430</v>
      </c>
      <c r="B84" s="43">
        <v>-3.2537959999999998E-2</v>
      </c>
      <c r="C84" s="44">
        <v>-6.2615104000000005E-2</v>
      </c>
    </row>
    <row r="85" spans="1:3" ht="15.75" x14ac:dyDescent="0.25">
      <c r="A85" s="48">
        <v>35461</v>
      </c>
      <c r="B85" s="43">
        <v>5.8295965200000001E-2</v>
      </c>
      <c r="C85" s="44">
        <v>9.6267193600000009E-2</v>
      </c>
    </row>
    <row r="86" spans="1:3" ht="15.75" x14ac:dyDescent="0.25">
      <c r="A86" s="48">
        <v>35489</v>
      </c>
      <c r="B86" s="43">
        <v>-1.059322E-2</v>
      </c>
      <c r="C86" s="44">
        <v>-0.20250895600000002</v>
      </c>
    </row>
    <row r="87" spans="1:3" ht="15.75" x14ac:dyDescent="0.25">
      <c r="A87" s="48">
        <v>35520</v>
      </c>
      <c r="B87" s="43">
        <v>-4.3196544000000003E-2</v>
      </c>
      <c r="C87" s="44">
        <v>-0.13483145800000002</v>
      </c>
    </row>
    <row r="88" spans="1:3" ht="15.75" x14ac:dyDescent="0.25">
      <c r="A88" s="48">
        <v>35550</v>
      </c>
      <c r="B88" s="43">
        <v>4.5146726099999999E-2</v>
      </c>
      <c r="C88" s="44">
        <v>7.5324676899999998E-2</v>
      </c>
    </row>
    <row r="89" spans="1:3" ht="15.75" x14ac:dyDescent="0.25">
      <c r="A89" s="48">
        <v>35580</v>
      </c>
      <c r="B89" s="43">
        <v>2.3132200000000003E-10</v>
      </c>
      <c r="C89" s="44">
        <v>0.30917873979999999</v>
      </c>
    </row>
    <row r="90" spans="1:3" ht="15.75" x14ac:dyDescent="0.25">
      <c r="A90" s="48">
        <v>35611</v>
      </c>
      <c r="B90" s="43">
        <v>-2.8322440000000001E-2</v>
      </c>
      <c r="C90" s="44">
        <v>-9.2250920000000007E-3</v>
      </c>
    </row>
    <row r="91" spans="1:3" ht="15.75" x14ac:dyDescent="0.25">
      <c r="A91" s="48">
        <v>35642</v>
      </c>
      <c r="B91" s="43">
        <v>0.10986547170000001</v>
      </c>
      <c r="C91" s="44">
        <v>0.1852886379</v>
      </c>
    </row>
    <row r="92" spans="1:3" ht="15.75" x14ac:dyDescent="0.25">
      <c r="A92" s="48">
        <v>35671</v>
      </c>
      <c r="B92" s="43">
        <v>2.22222228E-2</v>
      </c>
      <c r="C92" s="44">
        <v>-5.2631579000000005E-2</v>
      </c>
    </row>
    <row r="93" spans="1:3" ht="15.75" x14ac:dyDescent="0.25">
      <c r="A93" s="48">
        <v>35703</v>
      </c>
      <c r="B93" s="43">
        <v>6.6733069700000008E-2</v>
      </c>
      <c r="C93" s="44">
        <v>-3.0679934000000002E-2</v>
      </c>
    </row>
    <row r="94" spans="1:3" ht="15.75" x14ac:dyDescent="0.25">
      <c r="A94" s="48">
        <v>35734</v>
      </c>
      <c r="B94" s="43">
        <v>-4.1083101000000004E-2</v>
      </c>
      <c r="C94" s="44">
        <v>0.1227544919</v>
      </c>
    </row>
    <row r="95" spans="1:3" ht="15.75" x14ac:dyDescent="0.25">
      <c r="A95" s="48">
        <v>35762</v>
      </c>
      <c r="B95" s="43">
        <v>-4.2843234000000001E-2</v>
      </c>
      <c r="C95" s="44">
        <v>5.1428571300000003E-2</v>
      </c>
    </row>
    <row r="96" spans="1:3" ht="15.75" x14ac:dyDescent="0.25">
      <c r="A96" s="48">
        <v>35795</v>
      </c>
      <c r="B96" s="43">
        <v>5.8036480100000003E-2</v>
      </c>
      <c r="C96" s="44">
        <v>-3.0434782000000001E-2</v>
      </c>
    </row>
    <row r="97" spans="1:3" ht="15.75" x14ac:dyDescent="0.25">
      <c r="A97" s="48">
        <v>35825</v>
      </c>
      <c r="B97" s="43">
        <v>-4.6296295000000001E-2</v>
      </c>
      <c r="C97" s="44">
        <v>0.13116592169999999</v>
      </c>
    </row>
    <row r="98" spans="1:3" ht="15.75" x14ac:dyDescent="0.25">
      <c r="A98" s="48">
        <v>35853</v>
      </c>
      <c r="B98" s="43">
        <v>0.1984897554</v>
      </c>
      <c r="C98" s="44">
        <v>4.4598612900000001E-2</v>
      </c>
    </row>
    <row r="99" spans="1:3" ht="15.75" x14ac:dyDescent="0.25">
      <c r="A99" s="48">
        <v>35885</v>
      </c>
      <c r="B99" s="43">
        <v>-1.7225748000000003E-2</v>
      </c>
      <c r="C99" s="44">
        <v>3.7950664799999999E-2</v>
      </c>
    </row>
    <row r="100" spans="1:3" ht="15.75" x14ac:dyDescent="0.25">
      <c r="A100" s="48">
        <v>35915</v>
      </c>
      <c r="B100" s="43">
        <v>-5.5350550000000005E-3</v>
      </c>
      <c r="C100" s="44">
        <v>7.1297988300000004E-2</v>
      </c>
    </row>
    <row r="101" spans="1:3" ht="15.75" x14ac:dyDescent="0.25">
      <c r="A101" s="48">
        <v>35944</v>
      </c>
      <c r="B101" s="43">
        <v>7.4211500600000008E-2</v>
      </c>
      <c r="C101" s="44">
        <v>3.24232094E-2</v>
      </c>
    </row>
    <row r="102" spans="1:3" ht="15.75" x14ac:dyDescent="0.25">
      <c r="A102" s="48">
        <v>35976</v>
      </c>
      <c r="B102" s="43">
        <v>-7.0434779000000003E-2</v>
      </c>
      <c r="C102" s="44">
        <v>0.21735537050000001</v>
      </c>
    </row>
    <row r="103" spans="1:3" ht="15.75" x14ac:dyDescent="0.25">
      <c r="A103" s="48">
        <v>36007</v>
      </c>
      <c r="B103" s="43">
        <v>8.2319922700000006E-2</v>
      </c>
      <c r="C103" s="44">
        <v>4.0054310100000004E-2</v>
      </c>
    </row>
    <row r="104" spans="1:3" ht="15.75" x14ac:dyDescent="0.25">
      <c r="A104" s="48">
        <v>36038</v>
      </c>
      <c r="B104" s="43">
        <v>-0.18928262600000001</v>
      </c>
      <c r="C104" s="44">
        <v>-0.14490862200000001</v>
      </c>
    </row>
    <row r="105" spans="1:3" ht="15.75" x14ac:dyDescent="0.25">
      <c r="A105" s="48">
        <v>36068</v>
      </c>
      <c r="B105" s="43">
        <v>-5.5913977000000004E-2</v>
      </c>
      <c r="C105" s="44">
        <v>0.1324427426</v>
      </c>
    </row>
    <row r="106" spans="1:3" ht="15.75" x14ac:dyDescent="0.25">
      <c r="A106" s="48">
        <v>36098</v>
      </c>
      <c r="B106" s="43">
        <v>0.15148064490000002</v>
      </c>
      <c r="C106" s="44">
        <v>1.9211323900000001E-2</v>
      </c>
    </row>
    <row r="107" spans="1:3" ht="15.75" x14ac:dyDescent="0.25">
      <c r="A107" s="48">
        <v>36129</v>
      </c>
      <c r="B107" s="43">
        <v>0.113748759</v>
      </c>
      <c r="C107" s="44">
        <v>0.19642856720000001</v>
      </c>
    </row>
    <row r="108" spans="1:3" ht="15.75" x14ac:dyDescent="0.25">
      <c r="A108" s="48">
        <v>36160</v>
      </c>
      <c r="B108" s="43">
        <v>2.41502691E-2</v>
      </c>
      <c r="C108" s="44">
        <v>0.2313432842</v>
      </c>
    </row>
    <row r="109" spans="1:3" ht="15.75" x14ac:dyDescent="0.25">
      <c r="A109" s="48">
        <v>36189</v>
      </c>
      <c r="B109" s="43">
        <v>0.25414848330000001</v>
      </c>
      <c r="C109" s="44">
        <v>0.20202019810000002</v>
      </c>
    </row>
    <row r="110" spans="1:3" ht="15.75" x14ac:dyDescent="0.25">
      <c r="A110" s="48">
        <v>36217</v>
      </c>
      <c r="B110" s="43">
        <v>-7.4512534000000005E-2</v>
      </c>
      <c r="C110" s="44">
        <v>-0.12324929999999999</v>
      </c>
    </row>
    <row r="111" spans="1:3" ht="15.75" x14ac:dyDescent="0.25">
      <c r="A111" s="48">
        <v>36250</v>
      </c>
      <c r="B111" s="43">
        <v>5.4352764000000005E-2</v>
      </c>
      <c r="C111" s="44">
        <v>0.1201277971</v>
      </c>
    </row>
    <row r="112" spans="1:3" ht="15.75" x14ac:dyDescent="0.25">
      <c r="A112" s="48">
        <v>36280</v>
      </c>
      <c r="B112" s="43">
        <v>2.3706896200000001E-2</v>
      </c>
      <c r="C112" s="44">
        <v>4.1072446900000004E-2</v>
      </c>
    </row>
    <row r="113" spans="1:3" ht="15.75" x14ac:dyDescent="0.25">
      <c r="A113" s="48">
        <v>36308</v>
      </c>
      <c r="B113" s="43">
        <v>-8.3789475000000002E-2</v>
      </c>
      <c r="C113" s="44">
        <v>-4.4383563000000001E-2</v>
      </c>
    </row>
    <row r="114" spans="1:3" ht="15.75" x14ac:dyDescent="0.25">
      <c r="A114" s="48">
        <v>36341</v>
      </c>
      <c r="B114" s="43">
        <v>-4.3478262000000004E-2</v>
      </c>
      <c r="C114" s="44">
        <v>0.1823394448</v>
      </c>
    </row>
    <row r="115" spans="1:3" ht="15.75" x14ac:dyDescent="0.25">
      <c r="A115" s="48">
        <v>36371</v>
      </c>
      <c r="B115" s="43">
        <v>-7.3863632999999998E-2</v>
      </c>
      <c r="C115" s="44">
        <v>-3.5887487000000003E-2</v>
      </c>
    </row>
    <row r="116" spans="1:3" ht="15.75" x14ac:dyDescent="0.25">
      <c r="A116" s="48">
        <v>36403</v>
      </c>
      <c r="B116" s="43">
        <v>9.2024542400000006E-2</v>
      </c>
      <c r="C116" s="44">
        <v>9.1549292200000007E-2</v>
      </c>
    </row>
    <row r="117" spans="1:3" ht="15.75" x14ac:dyDescent="0.25">
      <c r="A117" s="48">
        <v>36433</v>
      </c>
      <c r="B117" s="43">
        <v>-5.0000001000000002E-2</v>
      </c>
      <c r="C117" s="44">
        <v>1.1059908200000001E-2</v>
      </c>
    </row>
    <row r="118" spans="1:3" ht="15.75" x14ac:dyDescent="0.25">
      <c r="A118" s="48">
        <v>36462</v>
      </c>
      <c r="B118" s="43">
        <v>0.11916583780000001</v>
      </c>
      <c r="C118" s="44">
        <v>7.9307198500000009E-2</v>
      </c>
    </row>
    <row r="119" spans="1:3" ht="15.75" x14ac:dyDescent="0.25">
      <c r="A119" s="48">
        <v>36494</v>
      </c>
      <c r="B119" s="43">
        <v>2.9281279100000002E-2</v>
      </c>
      <c r="C119" s="44">
        <v>0.20523647960000002</v>
      </c>
    </row>
    <row r="120" spans="1:3" ht="15.75" x14ac:dyDescent="0.25">
      <c r="A120" s="48">
        <v>36525</v>
      </c>
      <c r="B120" s="43">
        <v>9.5486110000000003E-3</v>
      </c>
      <c r="C120" s="44">
        <v>0.20112122600000001</v>
      </c>
    </row>
    <row r="121" spans="1:3" ht="15.75" x14ac:dyDescent="0.25">
      <c r="A121" s="48">
        <v>36556</v>
      </c>
      <c r="B121" s="43">
        <v>0.1083405018</v>
      </c>
      <c r="C121" s="44">
        <v>2.2170361100000001E-2</v>
      </c>
    </row>
    <row r="122" spans="1:3" ht="15.75" x14ac:dyDescent="0.25">
      <c r="A122" s="48">
        <v>36585</v>
      </c>
      <c r="B122" s="43">
        <v>-4.9650893000000001E-2</v>
      </c>
      <c r="C122" s="44">
        <v>0.20719178020000001</v>
      </c>
    </row>
    <row r="123" spans="1:3" ht="15.75" x14ac:dyDescent="0.25">
      <c r="A123" s="48">
        <v>36616</v>
      </c>
      <c r="B123" s="43">
        <v>8.8742807500000007E-2</v>
      </c>
      <c r="C123" s="44">
        <v>0.16973994670000001</v>
      </c>
    </row>
    <row r="124" spans="1:3" ht="15.75" x14ac:dyDescent="0.25">
      <c r="A124" s="48">
        <v>36644</v>
      </c>
      <c r="B124" s="43">
        <v>0.1305660307</v>
      </c>
      <c r="C124" s="44">
        <v>-0.10327404700000001</v>
      </c>
    </row>
    <row r="125" spans="1:3" ht="15.75" x14ac:dyDescent="0.25">
      <c r="A125" s="48">
        <v>36677</v>
      </c>
      <c r="B125" s="43">
        <v>-0.240320429</v>
      </c>
      <c r="C125" s="44">
        <v>-0.17872436300000002</v>
      </c>
    </row>
    <row r="126" spans="1:3" ht="15.75" x14ac:dyDescent="0.25">
      <c r="A126" s="48">
        <v>36707</v>
      </c>
      <c r="B126" s="43">
        <v>-0.17787609999999998</v>
      </c>
      <c r="C126" s="44">
        <v>0.1163556501</v>
      </c>
    </row>
    <row r="127" spans="1:3" ht="15.75" x14ac:dyDescent="0.25">
      <c r="A127" s="48">
        <v>36738</v>
      </c>
      <c r="B127" s="43">
        <v>-1.9375673E-2</v>
      </c>
      <c r="C127" s="44">
        <v>2.9498525000000001E-2</v>
      </c>
    </row>
    <row r="128" spans="1:3" ht="15.75" x14ac:dyDescent="0.25">
      <c r="A128" s="48">
        <v>36769</v>
      </c>
      <c r="B128" s="43">
        <v>0.27661910649999999</v>
      </c>
      <c r="C128" s="44">
        <v>4.8710603300000002E-2</v>
      </c>
    </row>
    <row r="129" spans="1:3" ht="15.75" x14ac:dyDescent="0.25">
      <c r="A129" s="48">
        <v>36798</v>
      </c>
      <c r="B129" s="43">
        <v>-9.9567099999999992E-2</v>
      </c>
      <c r="C129" s="44">
        <v>-0.19489981200000001</v>
      </c>
    </row>
    <row r="130" spans="1:3" ht="15.75" x14ac:dyDescent="0.25">
      <c r="A130" s="48">
        <v>36830</v>
      </c>
      <c r="B130" s="43">
        <v>-4.4230770000000003E-2</v>
      </c>
      <c r="C130" s="44">
        <v>-2.4886878000000001E-2</v>
      </c>
    </row>
    <row r="131" spans="1:3" ht="15.75" x14ac:dyDescent="0.25">
      <c r="A131" s="48">
        <v>36860</v>
      </c>
      <c r="B131" s="43">
        <v>-0.195171013</v>
      </c>
      <c r="C131" s="44">
        <v>-0.111368909</v>
      </c>
    </row>
    <row r="132" spans="1:3" ht="15.75" x14ac:dyDescent="0.25">
      <c r="A132" s="48">
        <v>36889</v>
      </c>
      <c r="B132" s="45">
        <v>2.9040403700000002E-2</v>
      </c>
      <c r="C132" s="46">
        <v>-0.20104438100000002</v>
      </c>
    </row>
    <row r="133" spans="1:3" ht="15" x14ac:dyDescent="0.25">
      <c r="A133" s="42"/>
      <c r="B133" s="42"/>
      <c r="C133" s="47"/>
    </row>
    <row r="134" spans="1:3" ht="15" x14ac:dyDescent="0.25">
      <c r="A134" s="42"/>
      <c r="B134" s="42"/>
      <c r="C134" s="47"/>
    </row>
    <row r="135" spans="1:3" ht="15" x14ac:dyDescent="0.25">
      <c r="A135" s="42"/>
      <c r="B135" s="42"/>
      <c r="C135" s="47"/>
    </row>
    <row r="136" spans="1:3" ht="15" x14ac:dyDescent="0.25">
      <c r="A136" s="42"/>
      <c r="B136" s="42"/>
      <c r="C136" s="47"/>
    </row>
    <row r="137" spans="1:3" ht="15" x14ac:dyDescent="0.25">
      <c r="A137" s="42"/>
      <c r="B137" s="42"/>
      <c r="C137" s="47"/>
    </row>
    <row r="138" spans="1:3" ht="15" x14ac:dyDescent="0.25">
      <c r="A138" s="42"/>
      <c r="B138" s="42"/>
      <c r="C138" s="47"/>
    </row>
    <row r="139" spans="1:3" ht="15" x14ac:dyDescent="0.25">
      <c r="A139" s="42"/>
      <c r="B139" s="42"/>
      <c r="C139" s="47"/>
    </row>
    <row r="140" spans="1:3" ht="15" x14ac:dyDescent="0.25">
      <c r="A140" s="42"/>
      <c r="B140" s="42"/>
      <c r="C140" s="47"/>
    </row>
    <row r="141" spans="1:3" ht="15" x14ac:dyDescent="0.25">
      <c r="A141" s="42"/>
      <c r="B141" s="42"/>
      <c r="C141" s="47"/>
    </row>
    <row r="142" spans="1:3" ht="15" x14ac:dyDescent="0.25">
      <c r="A142" s="42"/>
      <c r="B142" s="42"/>
      <c r="C142" s="47"/>
    </row>
    <row r="143" spans="1:3" ht="15" x14ac:dyDescent="0.25">
      <c r="A143" s="42"/>
      <c r="B143" s="42"/>
      <c r="C143" s="47"/>
    </row>
    <row r="144" spans="1:3" ht="15" x14ac:dyDescent="0.25">
      <c r="A144" s="42"/>
      <c r="B144" s="42"/>
      <c r="C144" s="47"/>
    </row>
    <row r="145" spans="3:3" x14ac:dyDescent="0.2">
      <c r="C145" s="47"/>
    </row>
    <row r="146" spans="3:3" x14ac:dyDescent="0.2">
      <c r="C146" s="47"/>
    </row>
    <row r="147" spans="3:3" x14ac:dyDescent="0.2">
      <c r="C147" s="47"/>
    </row>
    <row r="148" spans="3:3" x14ac:dyDescent="0.2">
      <c r="C148" s="47"/>
    </row>
  </sheetData>
  <mergeCells count="7">
    <mergeCell ref="K15:O18"/>
    <mergeCell ref="L6:N6"/>
    <mergeCell ref="B1:C1"/>
    <mergeCell ref="A1:A2"/>
    <mergeCell ref="K8:O9"/>
    <mergeCell ref="K10:O11"/>
    <mergeCell ref="K12:O14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Views>
    <sheetView tabSelected="1" workbookViewId="0">
      <selection activeCell="J22" sqref="J22"/>
    </sheetView>
  </sheetViews>
  <sheetFormatPr defaultRowHeight="12.75" x14ac:dyDescent="0.2"/>
  <sheetData>
    <row r="1" spans="1:2" x14ac:dyDescent="0.2">
      <c r="A1" s="78" t="s">
        <v>93</v>
      </c>
      <c r="B1" s="78" t="s">
        <v>95</v>
      </c>
    </row>
    <row r="2" spans="1:2" x14ac:dyDescent="0.2">
      <c r="A2" s="50">
        <v>-0.240320429</v>
      </c>
      <c r="B2" s="50">
        <v>1</v>
      </c>
    </row>
    <row r="3" spans="1:2" x14ac:dyDescent="0.2">
      <c r="A3" s="50">
        <v>-0.19332592577272728</v>
      </c>
      <c r="B3" s="50">
        <v>1</v>
      </c>
    </row>
    <row r="4" spans="1:2" x14ac:dyDescent="0.2">
      <c r="A4" s="50">
        <v>-0.14633142254545456</v>
      </c>
      <c r="B4" s="50">
        <v>4</v>
      </c>
    </row>
    <row r="5" spans="1:2" x14ac:dyDescent="0.2">
      <c r="A5" s="50">
        <v>-9.9336919318181838E-2</v>
      </c>
      <c r="B5" s="50">
        <v>4</v>
      </c>
    </row>
    <row r="6" spans="1:2" x14ac:dyDescent="0.2">
      <c r="A6" s="50">
        <v>-5.2342416090909116E-2</v>
      </c>
      <c r="B6" s="50">
        <v>19</v>
      </c>
    </row>
    <row r="7" spans="1:2" x14ac:dyDescent="0.2">
      <c r="A7" s="50">
        <v>-5.3479128636363948E-3</v>
      </c>
      <c r="B7" s="50">
        <v>36</v>
      </c>
    </row>
    <row r="8" spans="1:2" x14ac:dyDescent="0.2">
      <c r="A8" s="50">
        <v>4.1646590363636327E-2</v>
      </c>
      <c r="B8" s="50">
        <v>23</v>
      </c>
    </row>
    <row r="9" spans="1:2" x14ac:dyDescent="0.2">
      <c r="A9" s="50">
        <v>8.8641093590909048E-2</v>
      </c>
      <c r="B9" s="50">
        <v>13</v>
      </c>
    </row>
    <row r="10" spans="1:2" x14ac:dyDescent="0.2">
      <c r="A10" s="50">
        <v>0.13563559681818177</v>
      </c>
      <c r="B10" s="50">
        <v>21</v>
      </c>
    </row>
    <row r="11" spans="1:2" x14ac:dyDescent="0.2">
      <c r="A11" s="50">
        <v>0.18263010004545449</v>
      </c>
      <c r="B11" s="50">
        <v>4</v>
      </c>
    </row>
    <row r="12" spans="1:2" x14ac:dyDescent="0.2">
      <c r="A12" s="50">
        <v>0.22962460327272721</v>
      </c>
      <c r="B12" s="50">
        <v>2</v>
      </c>
    </row>
    <row r="13" spans="1:2" ht="13.5" thickBot="1" x14ac:dyDescent="0.25">
      <c r="A13" s="77" t="s">
        <v>94</v>
      </c>
      <c r="B13" s="77">
        <v>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F20" sqref="F20"/>
    </sheetView>
  </sheetViews>
  <sheetFormatPr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2</vt:i4>
      </vt:variant>
    </vt:vector>
  </HeadingPairs>
  <TitlesOfParts>
    <vt:vector size="10" baseType="lpstr">
      <vt:lpstr>Bar Chart</vt:lpstr>
      <vt:lpstr>Horiz Bar Chart</vt:lpstr>
      <vt:lpstr>Pie Chart</vt:lpstr>
      <vt:lpstr>Scatter</vt:lpstr>
      <vt:lpstr>Every nth data point</vt:lpstr>
      <vt:lpstr>Histogram</vt:lpstr>
      <vt:lpstr>Sheet1</vt:lpstr>
      <vt:lpstr>Sheet2</vt:lpstr>
      <vt:lpstr>csco</vt:lpstr>
      <vt:lpstr>gm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Sneh Lata</dc:creator>
  <cp:lastModifiedBy>Kabir Kanha</cp:lastModifiedBy>
  <dcterms:created xsi:type="dcterms:W3CDTF">2016-09-26T05:58:42Z</dcterms:created>
  <dcterms:modified xsi:type="dcterms:W3CDTF">2018-04-25T03:56:03Z</dcterms:modified>
</cp:coreProperties>
</file>