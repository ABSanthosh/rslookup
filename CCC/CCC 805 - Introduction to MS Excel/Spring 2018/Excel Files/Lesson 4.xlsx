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abir\College Work\Semester 2\CCC 805\Excel Files\"/>
    </mc:Choice>
  </mc:AlternateContent>
  <bookViews>
    <workbookView xWindow="360" yWindow="15" windowWidth="14970" windowHeight="7065" firstSheet="1" activeTab="6"/>
  </bookViews>
  <sheets>
    <sheet name="FV Demo" sheetId="10" r:id="rId1"/>
    <sheet name="PV Demo" sheetId="12" r:id="rId2"/>
    <sheet name="Amortization table" sheetId="15" r:id="rId3"/>
    <sheet name="Amortization using functions" sheetId="16" r:id="rId4"/>
    <sheet name="Exercise" sheetId="17" r:id="rId5"/>
    <sheet name="RATE" sheetId="18" r:id="rId6"/>
    <sheet name="NPER" sheetId="19" r:id="rId7"/>
  </sheets>
  <calcPr calcId="162913"/>
</workbook>
</file>

<file path=xl/calcChain.xml><?xml version="1.0" encoding="utf-8"?>
<calcChain xmlns="http://schemas.openxmlformats.org/spreadsheetml/2006/main">
  <c r="B7" i="18" l="1"/>
  <c r="F11" i="17"/>
  <c r="F12" i="17"/>
  <c r="F13" i="17"/>
  <c r="F14" i="17"/>
  <c r="E11" i="17"/>
  <c r="E12" i="17"/>
  <c r="E13" i="17"/>
  <c r="E14" i="17"/>
  <c r="F10" i="17"/>
  <c r="E10" i="17"/>
  <c r="C5" i="17"/>
  <c r="F11" i="16"/>
  <c r="F12" i="16"/>
  <c r="F13" i="16"/>
  <c r="F14" i="16"/>
  <c r="F15" i="16"/>
  <c r="F16" i="16"/>
  <c r="F17" i="16"/>
  <c r="F18" i="16"/>
  <c r="F19" i="16"/>
  <c r="F10" i="16"/>
  <c r="E11" i="16"/>
  <c r="E12" i="16"/>
  <c r="E13" i="16"/>
  <c r="E14" i="16"/>
  <c r="E15" i="16"/>
  <c r="E16" i="16"/>
  <c r="E17" i="16"/>
  <c r="E18" i="16"/>
  <c r="E19" i="16"/>
  <c r="E10" i="16"/>
  <c r="D10" i="15"/>
  <c r="B7" i="15"/>
  <c r="H12" i="12"/>
  <c r="A12" i="10"/>
  <c r="A14" i="10" l="1"/>
  <c r="B7" i="19" l="1"/>
  <c r="B9" i="18" l="1"/>
  <c r="B16" i="17"/>
  <c r="D11" i="17"/>
  <c r="D10" i="17"/>
  <c r="B11" i="17" s="1"/>
  <c r="C11" i="17"/>
  <c r="C12" i="17"/>
  <c r="C13" i="17"/>
  <c r="C14" i="17"/>
  <c r="C10" i="17"/>
  <c r="B12" i="17"/>
  <c r="D12" i="17" s="1"/>
  <c r="B13" i="17" s="1"/>
  <c r="D13" i="17" s="1"/>
  <c r="B14" i="17" s="1"/>
  <c r="D14" i="17" s="1"/>
  <c r="B10" i="17"/>
  <c r="D9" i="17"/>
  <c r="B5" i="17"/>
  <c r="B21" i="16"/>
  <c r="D11" i="16"/>
  <c r="D10" i="16"/>
  <c r="B11" i="16"/>
  <c r="B12" i="16"/>
  <c r="D12" i="16" s="1"/>
  <c r="B13" i="16" s="1"/>
  <c r="D13" i="16" s="1"/>
  <c r="B14" i="16" s="1"/>
  <c r="D14" i="16" s="1"/>
  <c r="B15" i="16" s="1"/>
  <c r="D15" i="16" s="1"/>
  <c r="B16" i="16" s="1"/>
  <c r="D16" i="16" s="1"/>
  <c r="B17" i="16" s="1"/>
  <c r="D17" i="16" s="1"/>
  <c r="B18" i="16" s="1"/>
  <c r="D18" i="16" s="1"/>
  <c r="B19" i="16" s="1"/>
  <c r="D19" i="16" s="1"/>
  <c r="B10" i="16"/>
  <c r="C11" i="16"/>
  <c r="C12" i="16"/>
  <c r="C13" i="16"/>
  <c r="C14" i="16"/>
  <c r="C15" i="16"/>
  <c r="C16" i="16"/>
  <c r="C17" i="16"/>
  <c r="C18" i="16"/>
  <c r="C19" i="16"/>
  <c r="C10" i="16"/>
  <c r="B5" i="16"/>
  <c r="B4" i="16"/>
  <c r="B11" i="15"/>
  <c r="C12" i="15"/>
  <c r="C13" i="15"/>
  <c r="C14" i="15"/>
  <c r="C15" i="15"/>
  <c r="C16" i="15"/>
  <c r="C17" i="15"/>
  <c r="C18" i="15"/>
  <c r="C19" i="15"/>
  <c r="C20" i="15"/>
  <c r="C11" i="15"/>
  <c r="C7" i="15"/>
  <c r="H14" i="12"/>
  <c r="B5" i="15"/>
  <c r="D11" i="15" l="1"/>
  <c r="B12" i="15" s="1"/>
  <c r="E11" i="15"/>
  <c r="F11" i="15" s="1"/>
  <c r="D9" i="16"/>
  <c r="D12" i="15" l="1"/>
  <c r="B13" i="15" s="1"/>
  <c r="E12" i="15"/>
  <c r="F12" i="15" s="1"/>
  <c r="B9" i="17"/>
  <c r="B4" i="15"/>
  <c r="D13" i="15" l="1"/>
  <c r="B14" i="15" s="1"/>
  <c r="E13" i="15"/>
  <c r="F13" i="15" s="1"/>
  <c r="D14" i="15" l="1"/>
  <c r="B15" i="15" s="1"/>
  <c r="E14" i="15"/>
  <c r="F14" i="15" s="1"/>
  <c r="D15" i="15" l="1"/>
  <c r="B16" i="15" s="1"/>
  <c r="E15" i="15"/>
  <c r="F15" i="15" s="1"/>
  <c r="D16" i="15" l="1"/>
  <c r="B17" i="15" s="1"/>
  <c r="E16" i="15"/>
  <c r="F16" i="15" s="1"/>
  <c r="D17" i="15" l="1"/>
  <c r="B18" i="15" s="1"/>
  <c r="E17" i="15"/>
  <c r="F17" i="15" s="1"/>
  <c r="D18" i="15" l="1"/>
  <c r="B19" i="15" s="1"/>
  <c r="E18" i="15"/>
  <c r="F18" i="15" s="1"/>
  <c r="D19" i="15" l="1"/>
  <c r="B20" i="15" s="1"/>
  <c r="E19" i="15"/>
  <c r="F19" i="15" s="1"/>
  <c r="D20" i="15" l="1"/>
  <c r="E20" i="15"/>
  <c r="F20" i="15" s="1"/>
  <c r="B22" i="15" s="1"/>
</calcChain>
</file>

<file path=xl/sharedStrings.xml><?xml version="1.0" encoding="utf-8"?>
<sst xmlns="http://schemas.openxmlformats.org/spreadsheetml/2006/main" count="64" uniqueCount="34">
  <si>
    <t>MONTH</t>
  </si>
  <si>
    <t>YEAR</t>
  </si>
  <si>
    <t>Annual Rate</t>
  </si>
  <si>
    <t>ILLUSTRATING FV FUNCTION</t>
  </si>
  <si>
    <t>WHICH IS A BETTER DEAL?</t>
  </si>
  <si>
    <t>PLAN 1</t>
  </si>
  <si>
    <t>PLAN 2</t>
  </si>
  <si>
    <t>PV of the cash flow</t>
  </si>
  <si>
    <t>AMORTIZATION SCHEDULE</t>
  </si>
  <si>
    <t>Loan Amount</t>
  </si>
  <si>
    <t>Installment</t>
  </si>
  <si>
    <t>Outstanding balance before the payment</t>
  </si>
  <si>
    <t>Periodic Payment</t>
  </si>
  <si>
    <t>Outstanding balance after the payment</t>
  </si>
  <si>
    <t>Principal Repaid</t>
  </si>
  <si>
    <t>Interest Repaid</t>
  </si>
  <si>
    <t>&lt;-- a check to see that the full loan has been amortized</t>
  </si>
  <si>
    <t>Years of Investment</t>
  </si>
  <si>
    <t>Amount invested each year</t>
  </si>
  <si>
    <t>Annual Interest Rate</t>
  </si>
  <si>
    <t>When are the investments made?</t>
  </si>
  <si>
    <t>&lt;-- start of the year</t>
  </si>
  <si>
    <t>&lt;-- end of the year</t>
  </si>
  <si>
    <t>Final Amount upon retirement</t>
  </si>
  <si>
    <t>Yearly installment</t>
  </si>
  <si>
    <t>For how many years?</t>
  </si>
  <si>
    <t>When are the payments made?</t>
  </si>
  <si>
    <t>Flat Payment of 
Rs 11,000</t>
  </si>
  <si>
    <t>Monthly Rate</t>
  </si>
  <si>
    <t>&lt;-- check to see that the full loan has been amortized</t>
  </si>
  <si>
    <t>Months</t>
  </si>
  <si>
    <t>Years required for amortization</t>
  </si>
  <si>
    <t>Rs10,000.00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</si>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</sst>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8" formatCode="&quot;$&quot;#,##0.00_);[Red]\(&quot;$&quot;#,##0.00\)"/>
    <numFmt numFmtId="41" formatCode="_(* #,##0_);_(* \(#,##0\);_(* &quot;-&quot;_);_(@_)"/>
    <numFmt numFmtId="164" formatCode="&quot;₹&quot;\ #,##0.00;[Red]&quot;₹&quot;\ \-#,##0.00"/>
    <numFmt numFmtId="165" formatCode="&quot;Rs.&quot;\ #,##0.00;[Red]&quot;Rs.&quot;\ \-#,##0.00"/>
    <numFmt numFmtId="166" formatCode="[$Rs-420]#,##0.00_-;[Red][$Rs-420]#,##0.00\-"/>
    <numFmt numFmtId="167" formatCode="[$Rs-420]#,##0.00;[Red][$Rs-420]#,##0.00"/>
    <numFmt numFmtId="168" formatCode="&quot;Rs.&quot;\ #,##0.00"/>
    <numFmt numFmtId="169" formatCode="_(* #,##0.00_);_(* \(#,##0.00\);_(* &quot;-&quot;_);_(@_)"/>
  </numFmts>
  <fonts count="5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color theme="3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7CE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9" fontId="4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horizontal="center"/>
    </xf>
    <xf numFmtId="0" fontId="1" fillId="0" borderId="0" xfId="1" applyBorder="1" applyAlignment="1">
      <alignment horizontal="center"/>
    </xf>
    <xf numFmtId="0" fontId="1" fillId="0" borderId="0" xfId="1" applyBorder="1"/>
    <xf numFmtId="8" fontId="1" fillId="0" borderId="0" xfId="1" applyNumberFormat="1" applyFill="1" applyBorder="1" applyAlignment="1">
      <alignment horizontal="center"/>
    </xf>
    <xf numFmtId="0" fontId="1" fillId="0" borderId="0" xfId="1" applyFill="1" applyBorder="1" applyAlignment="1"/>
    <xf numFmtId="3" fontId="1" fillId="0" borderId="0" xfId="1" applyNumberFormat="1" applyBorder="1"/>
    <xf numFmtId="9" fontId="1" fillId="0" borderId="0" xfId="1" applyNumberFormat="1" applyBorder="1"/>
    <xf numFmtId="166" fontId="1" fillId="5" borderId="0" xfId="1" applyNumberFormat="1" applyFill="1" applyBorder="1" applyAlignment="1">
      <alignment horizontal="center"/>
    </xf>
    <xf numFmtId="0" fontId="1" fillId="6" borderId="0" xfId="1" applyFill="1" applyBorder="1" applyAlignment="1">
      <alignment horizontal="center" vertical="center"/>
    </xf>
    <xf numFmtId="0" fontId="1" fillId="6" borderId="0" xfId="1" applyFill="1" applyBorder="1" applyAlignment="1">
      <alignment horizontal="center" vertical="center" wrapText="1"/>
    </xf>
    <xf numFmtId="0" fontId="1" fillId="0" borderId="0" xfId="1" applyBorder="1" applyAlignment="1">
      <alignment horizontal="center" vertical="center"/>
    </xf>
    <xf numFmtId="0" fontId="1" fillId="0" borderId="0" xfId="1" applyBorder="1" applyAlignment="1">
      <alignment horizontal="center" vertical="center" wrapText="1"/>
    </xf>
    <xf numFmtId="0" fontId="1" fillId="5" borderId="0" xfId="1" applyFill="1" applyBorder="1" applyAlignment="1">
      <alignment horizontal="center"/>
    </xf>
    <xf numFmtId="41" fontId="1" fillId="5" borderId="0" xfId="1" applyNumberFormat="1" applyFill="1" applyBorder="1" applyAlignment="1">
      <alignment horizontal="center"/>
    </xf>
    <xf numFmtId="167" fontId="1" fillId="5" borderId="0" xfId="1" applyNumberFormat="1" applyFill="1" applyBorder="1" applyAlignment="1">
      <alignment horizontal="center"/>
    </xf>
    <xf numFmtId="167" fontId="1" fillId="0" borderId="0" xfId="1" applyNumberFormat="1" applyBorder="1"/>
    <xf numFmtId="167" fontId="1" fillId="4" borderId="0" xfId="1" applyNumberFormat="1" applyFill="1" applyBorder="1"/>
    <xf numFmtId="8" fontId="1" fillId="0" borderId="0" xfId="1" applyNumberFormat="1" applyBorder="1"/>
    <xf numFmtId="0" fontId="1" fillId="7" borderId="0" xfId="1" applyFill="1" applyBorder="1"/>
    <xf numFmtId="0" fontId="1" fillId="0" borderId="0" xfId="1" applyFill="1" applyBorder="1"/>
    <xf numFmtId="0" fontId="1" fillId="0" borderId="0" xfId="1" applyFill="1" applyBorder="1" applyAlignment="1">
      <alignment horizontal="center"/>
    </xf>
    <xf numFmtId="10" fontId="1" fillId="0" borderId="0" xfId="1" applyNumberFormat="1" applyFill="1" applyBorder="1" applyAlignment="1">
      <alignment horizontal="center"/>
    </xf>
    <xf numFmtId="0" fontId="1" fillId="0" borderId="1" xfId="1" applyAlignment="1">
      <alignment horizontal="center" vertical="center" wrapText="1"/>
    </xf>
    <xf numFmtId="0" fontId="1" fillId="0" borderId="1" xfId="1" applyAlignment="1">
      <alignment horizontal="center" wrapText="1"/>
    </xf>
    <xf numFmtId="0" fontId="2" fillId="0" borderId="0" xfId="0" applyFont="1" applyAlignment="1">
      <alignment horizontal="left"/>
    </xf>
    <xf numFmtId="0" fontId="3" fillId="0" borderId="0" xfId="1" applyFont="1" applyFill="1" applyBorder="1" applyAlignment="1">
      <alignment horizontal="center"/>
    </xf>
    <xf numFmtId="10" fontId="3" fillId="0" borderId="0" xfId="1" applyNumberFormat="1" applyFont="1" applyFill="1" applyBorder="1" applyAlignment="1">
      <alignment horizontal="center"/>
    </xf>
    <xf numFmtId="168" fontId="3" fillId="2" borderId="0" xfId="1" applyNumberFormat="1" applyFont="1" applyFill="1" applyBorder="1" applyAlignment="1">
      <alignment horizontal="center"/>
    </xf>
    <xf numFmtId="0" fontId="3" fillId="0" borderId="0" xfId="1" applyFont="1" applyBorder="1" applyAlignment="1">
      <alignment horizontal="center"/>
    </xf>
    <xf numFmtId="10" fontId="3" fillId="0" borderId="0" xfId="1" applyNumberFormat="1" applyFont="1" applyBorder="1" applyAlignment="1">
      <alignment horizontal="center"/>
    </xf>
    <xf numFmtId="0" fontId="0" fillId="0" borderId="0" xfId="0" applyBorder="1"/>
    <xf numFmtId="10" fontId="1" fillId="0" borderId="0" xfId="1" applyNumberFormat="1" applyBorder="1"/>
    <xf numFmtId="165" fontId="1" fillId="0" borderId="0" xfId="1" applyNumberFormat="1" applyBorder="1"/>
    <xf numFmtId="167" fontId="1" fillId="4" borderId="0" xfId="1" applyNumberFormat="1" applyFill="1" applyBorder="1" applyAlignment="1">
      <alignment horizontal="center" vertical="center"/>
    </xf>
    <xf numFmtId="0" fontId="1" fillId="0" borderId="0" xfId="1" applyBorder="1" applyAlignment="1">
      <alignment horizontal="left" vertical="center"/>
    </xf>
    <xf numFmtId="168" fontId="0" fillId="0" borderId="0" xfId="0" applyNumberFormat="1"/>
    <xf numFmtId="10" fontId="0" fillId="2" borderId="0" xfId="0" applyNumberFormat="1" applyFill="1"/>
    <xf numFmtId="9" fontId="0" fillId="0" borderId="0" xfId="0" applyNumberFormat="1"/>
    <xf numFmtId="0" fontId="0" fillId="0" borderId="0" xfId="0" applyAlignment="1">
      <alignment horizontal="left" wrapText="1"/>
    </xf>
    <xf numFmtId="2" fontId="0" fillId="2" borderId="0" xfId="0" applyNumberFormat="1" applyFill="1" applyAlignment="1">
      <alignment horizontal="center" vertical="center"/>
    </xf>
    <xf numFmtId="8" fontId="0" fillId="0" borderId="0" xfId="0" applyNumberFormat="1"/>
    <xf numFmtId="2" fontId="0" fillId="0" borderId="0" xfId="0" applyNumberFormat="1"/>
    <xf numFmtId="164" fontId="0" fillId="0" borderId="0" xfId="0" applyNumberFormat="1"/>
    <xf numFmtId="166" fontId="1" fillId="0" borderId="0" xfId="1" applyNumberFormat="1" applyBorder="1"/>
    <xf numFmtId="9" fontId="1" fillId="0" borderId="0" xfId="2" applyFont="1" applyBorder="1"/>
    <xf numFmtId="169" fontId="1" fillId="5" borderId="0" xfId="1" applyNumberFormat="1" applyFill="1" applyBorder="1" applyAlignment="1">
      <alignment horizontal="center"/>
    </xf>
    <xf numFmtId="0" fontId="1" fillId="0" borderId="1" xfId="1" applyAlignment="1">
      <alignment horizontal="center"/>
    </xf>
    <xf numFmtId="0" fontId="3" fillId="0" borderId="1" xfId="1" applyFont="1" applyAlignment="1">
      <alignment horizontal="center" vertical="center" wrapText="1"/>
    </xf>
    <xf numFmtId="0" fontId="3" fillId="0" borderId="0" xfId="1" applyFont="1" applyBorder="1" applyAlignment="1">
      <alignment horizontal="center" vertical="center" wrapText="1"/>
    </xf>
    <xf numFmtId="168" fontId="3" fillId="2" borderId="0" xfId="1" applyNumberFormat="1" applyFont="1" applyFill="1" applyBorder="1" applyAlignment="1">
      <alignment horizontal="center" vertical="center"/>
    </xf>
    <xf numFmtId="0" fontId="1" fillId="0" borderId="0" xfId="1" applyBorder="1" applyAlignment="1">
      <alignment horizontal="center"/>
    </xf>
    <xf numFmtId="0" fontId="1" fillId="3" borderId="0" xfId="1" applyFill="1" applyBorder="1" applyAlignment="1">
      <alignment horizontal="center"/>
    </xf>
    <xf numFmtId="0" fontId="1" fillId="7" borderId="0" xfId="1" applyFill="1" applyBorder="1" applyAlignment="1">
      <alignment horizontal="center"/>
    </xf>
  </cellXfs>
  <cellStyles count="3">
    <cellStyle name="Heading 1" xfId="1" builtinId="16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zoomScale="80" zoomScaleNormal="80" workbookViewId="0">
      <selection activeCell="A14" sqref="A14"/>
    </sheetView>
  </sheetViews>
  <sheetFormatPr defaultRowHeight="15" x14ac:dyDescent="0.25"/>
  <cols>
    <col min="1" max="1" width="25.85546875" customWidth="1"/>
    <col min="3" max="3" width="16.85546875" customWidth="1"/>
    <col min="5" max="5" width="13.42578125" customWidth="1"/>
    <col min="7" max="7" width="18.28515625" customWidth="1"/>
    <col min="8" max="8" width="13.7109375" customWidth="1"/>
  </cols>
  <sheetData>
    <row r="1" spans="1:8" ht="20.25" thickBot="1" x14ac:dyDescent="0.35">
      <c r="A1" s="47" t="s">
        <v>3</v>
      </c>
      <c r="B1" s="47"/>
      <c r="C1" s="47"/>
      <c r="D1" s="47"/>
      <c r="E1" s="47"/>
    </row>
    <row r="2" spans="1:8" ht="15.75" thickTop="1" x14ac:dyDescent="0.25"/>
    <row r="3" spans="1:8" ht="59.25" thickBot="1" x14ac:dyDescent="0.35">
      <c r="A3" s="23" t="s">
        <v>17</v>
      </c>
      <c r="C3" s="24" t="s">
        <v>18</v>
      </c>
      <c r="E3" s="24" t="s">
        <v>19</v>
      </c>
      <c r="G3" s="12"/>
    </row>
    <row r="4" spans="1:8" ht="20.25" thickTop="1" x14ac:dyDescent="0.3">
      <c r="A4" s="20"/>
      <c r="B4" s="21"/>
      <c r="C4" s="20"/>
      <c r="D4" s="21"/>
      <c r="E4" s="21"/>
    </row>
    <row r="5" spans="1:8" s="1" customFormat="1" ht="23.25" x14ac:dyDescent="0.35">
      <c r="A5" s="26">
        <v>40</v>
      </c>
      <c r="B5" s="21"/>
      <c r="C5" s="26">
        <v>20000</v>
      </c>
      <c r="D5" s="21"/>
      <c r="E5" s="27">
        <v>0.08</v>
      </c>
    </row>
    <row r="6" spans="1:8" ht="19.5" x14ac:dyDescent="0.3">
      <c r="A6" s="20"/>
      <c r="B6" s="22"/>
      <c r="C6" s="20"/>
      <c r="D6" s="21"/>
      <c r="E6" s="4"/>
    </row>
    <row r="7" spans="1:8" ht="19.5" x14ac:dyDescent="0.3">
      <c r="A7" s="20"/>
      <c r="B7" s="20"/>
      <c r="C7" s="20"/>
      <c r="D7" s="21"/>
      <c r="E7" s="4"/>
      <c r="H7" s="43"/>
    </row>
    <row r="10" spans="1:8" ht="78.75" thickBot="1" x14ac:dyDescent="0.3">
      <c r="A10" s="23" t="s">
        <v>23</v>
      </c>
      <c r="C10" s="23" t="s">
        <v>20</v>
      </c>
    </row>
    <row r="11" spans="1:8" ht="15.75" thickTop="1" x14ac:dyDescent="0.25"/>
    <row r="12" spans="1:8" ht="23.25" x14ac:dyDescent="0.35">
      <c r="A12" s="28">
        <f>FV(E5,A5,-C5,0,0)</f>
        <v>5181130.3741999725</v>
      </c>
      <c r="C12" s="26">
        <v>0</v>
      </c>
      <c r="D12" s="25" t="s">
        <v>22</v>
      </c>
      <c r="E12" s="1"/>
      <c r="F12" s="1"/>
    </row>
    <row r="14" spans="1:8" ht="23.25" x14ac:dyDescent="0.35">
      <c r="A14" s="28">
        <f>FV(E5,A5,-C5,0,1)</f>
        <v>5595620.8041359708</v>
      </c>
      <c r="C14" s="26">
        <v>1</v>
      </c>
      <c r="D14" s="25" t="s">
        <v>21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zoomScale="90" zoomScaleNormal="90" workbookViewId="0">
      <selection activeCell="H14" sqref="H14:J14"/>
    </sheetView>
  </sheetViews>
  <sheetFormatPr defaultRowHeight="15" x14ac:dyDescent="0.25"/>
  <cols>
    <col min="3" max="3" width="10.85546875" bestFit="1" customWidth="1"/>
    <col min="5" max="5" width="6.140625" customWidth="1"/>
    <col min="8" max="8" width="15" customWidth="1"/>
    <col min="10" max="10" width="13.42578125" customWidth="1"/>
    <col min="12" max="12" width="21.85546875" customWidth="1"/>
  </cols>
  <sheetData>
    <row r="1" spans="1:16" ht="19.5" x14ac:dyDescent="0.3">
      <c r="A1" s="51" t="s">
        <v>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1:16" s="31" customFormat="1" ht="19.5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6" ht="19.5" x14ac:dyDescent="0.3">
      <c r="B4" s="52" t="s">
        <v>5</v>
      </c>
      <c r="C4" s="52"/>
      <c r="D4" s="52"/>
      <c r="E4" s="52"/>
      <c r="H4" s="52" t="s">
        <v>6</v>
      </c>
      <c r="I4" s="52"/>
      <c r="J4" s="52"/>
      <c r="K4" s="52"/>
      <c r="L4" s="52"/>
    </row>
    <row r="6" spans="1:16" ht="98.25" customHeight="1" thickBot="1" x14ac:dyDescent="0.3">
      <c r="B6" s="48" t="s">
        <v>27</v>
      </c>
      <c r="C6" s="48"/>
      <c r="D6" s="48"/>
      <c r="E6" s="48"/>
      <c r="H6" s="23" t="s">
        <v>24</v>
      </c>
      <c r="I6" s="1"/>
      <c r="J6" s="23" t="s">
        <v>19</v>
      </c>
      <c r="K6" s="1"/>
      <c r="L6" s="23" t="s">
        <v>25</v>
      </c>
    </row>
    <row r="7" spans="1:16" ht="15.75" thickTop="1" x14ac:dyDescent="0.25">
      <c r="H7" s="1"/>
      <c r="I7" s="1"/>
      <c r="J7" s="1"/>
      <c r="K7" s="1"/>
      <c r="L7" s="1"/>
      <c r="P7" s="41"/>
    </row>
    <row r="8" spans="1:16" ht="23.25" x14ac:dyDescent="0.35">
      <c r="H8" s="29">
        <v>3000</v>
      </c>
      <c r="I8" s="1"/>
      <c r="J8" s="30">
        <v>0.12</v>
      </c>
      <c r="K8" s="1"/>
      <c r="L8" s="29">
        <v>5</v>
      </c>
    </row>
    <row r="10" spans="1:16" ht="39.75" customHeight="1" thickBot="1" x14ac:dyDescent="0.3">
      <c r="H10" s="49" t="s">
        <v>7</v>
      </c>
      <c r="I10" s="49"/>
      <c r="J10" s="49"/>
      <c r="L10" s="23" t="s">
        <v>26</v>
      </c>
    </row>
    <row r="11" spans="1:16" ht="15.75" thickTop="1" x14ac:dyDescent="0.25"/>
    <row r="12" spans="1:16" ht="23.25" x14ac:dyDescent="0.35">
      <c r="C12" s="41"/>
      <c r="H12" s="50">
        <f>PV(J8,L8,-H8,0,0)</f>
        <v>10814.32860703502</v>
      </c>
      <c r="I12" s="50"/>
      <c r="J12" s="50"/>
      <c r="L12" s="29">
        <v>0</v>
      </c>
      <c r="M12" s="25" t="s">
        <v>22</v>
      </c>
    </row>
    <row r="14" spans="1:16" ht="23.25" x14ac:dyDescent="0.35">
      <c r="H14" s="50">
        <f>PV(J8,L8,-H8,0,1)</f>
        <v>12112.048039879224</v>
      </c>
      <c r="I14" s="50"/>
      <c r="J14" s="50"/>
      <c r="L14" s="29">
        <v>1</v>
      </c>
      <c r="M14" s="25" t="s">
        <v>21</v>
      </c>
    </row>
  </sheetData>
  <mergeCells count="7">
    <mergeCell ref="B6:E6"/>
    <mergeCell ref="H10:J10"/>
    <mergeCell ref="H12:J12"/>
    <mergeCell ref="H14:J14"/>
    <mergeCell ref="A1:N1"/>
    <mergeCell ref="B4:E4"/>
    <mergeCell ref="H4:L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topLeftCell="A13" workbookViewId="0">
      <selection sqref="A1:H1"/>
    </sheetView>
  </sheetViews>
  <sheetFormatPr defaultRowHeight="19.5" x14ac:dyDescent="0.3"/>
  <cols>
    <col min="1" max="1" width="17.85546875" style="3" bestFit="1" customWidth="1"/>
    <col min="2" max="2" width="27.140625" style="3" customWidth="1"/>
    <col min="3" max="3" width="20.7109375" style="3" customWidth="1"/>
    <col min="4" max="4" width="30" style="3" customWidth="1"/>
    <col min="5" max="6" width="15.85546875" style="3" customWidth="1"/>
    <col min="7" max="7" width="20.5703125" style="3" customWidth="1"/>
    <col min="8" max="8" width="16.42578125" style="3" bestFit="1" customWidth="1"/>
    <col min="9" max="9" width="11.85546875" style="3" bestFit="1" customWidth="1"/>
    <col min="10" max="12" width="9.140625" style="3"/>
    <col min="13" max="13" width="11.5703125" style="3" bestFit="1" customWidth="1"/>
    <col min="14" max="16384" width="9.140625" style="3"/>
  </cols>
  <sheetData>
    <row r="1" spans="1:13" x14ac:dyDescent="0.3">
      <c r="A1" s="53" t="s">
        <v>8</v>
      </c>
      <c r="B1" s="53"/>
      <c r="C1" s="53"/>
      <c r="D1" s="53"/>
      <c r="E1" s="53"/>
      <c r="F1" s="53"/>
      <c r="G1" s="53"/>
      <c r="H1" s="53"/>
      <c r="I1" s="5"/>
      <c r="J1" s="5"/>
      <c r="K1" s="5"/>
      <c r="L1" s="5"/>
      <c r="M1" s="5"/>
    </row>
    <row r="3" spans="1:13" x14ac:dyDescent="0.3">
      <c r="A3" s="3" t="s">
        <v>9</v>
      </c>
      <c r="B3" s="6">
        <v>10000</v>
      </c>
    </row>
    <row r="4" spans="1:13" x14ac:dyDescent="0.3">
      <c r="A4" s="3" t="s">
        <v>2</v>
      </c>
      <c r="B4" s="32">
        <f>8%</f>
        <v>0.08</v>
      </c>
    </row>
    <row r="5" spans="1:13" x14ac:dyDescent="0.3">
      <c r="A5" s="3" t="s">
        <v>28</v>
      </c>
      <c r="B5" s="32">
        <f>B4/12</f>
        <v>6.6666666666666671E-3</v>
      </c>
    </row>
    <row r="6" spans="1:13" x14ac:dyDescent="0.3">
      <c r="B6" s="32"/>
    </row>
    <row r="7" spans="1:13" x14ac:dyDescent="0.3">
      <c r="A7" s="3" t="s">
        <v>10</v>
      </c>
      <c r="B7" s="8">
        <f>PMT(B5,10,-B3,0,0)</f>
        <v>1037.0320893591522</v>
      </c>
      <c r="C7" s="8">
        <f>PMT(B5,10,-B3,0,1)</f>
        <v>1030.1643271779658</v>
      </c>
      <c r="D7" s="18"/>
    </row>
    <row r="9" spans="1:13" ht="39" x14ac:dyDescent="0.3">
      <c r="A9" s="9" t="s">
        <v>0</v>
      </c>
      <c r="B9" s="10" t="s">
        <v>11</v>
      </c>
      <c r="C9" s="10" t="s">
        <v>12</v>
      </c>
      <c r="D9" s="10" t="s">
        <v>13</v>
      </c>
      <c r="E9" s="10" t="s">
        <v>15</v>
      </c>
      <c r="F9" s="10" t="s">
        <v>14</v>
      </c>
    </row>
    <row r="10" spans="1:13" x14ac:dyDescent="0.3">
      <c r="A10" s="13">
        <v>0</v>
      </c>
      <c r="B10" s="8">
        <v>10000</v>
      </c>
      <c r="C10" s="8">
        <v>0</v>
      </c>
      <c r="D10" s="8">
        <f>B10-C10</f>
        <v>10000</v>
      </c>
      <c r="E10" s="14">
        <v>0</v>
      </c>
      <c r="F10" s="14">
        <v>0</v>
      </c>
      <c r="H10" s="45"/>
    </row>
    <row r="11" spans="1:13" x14ac:dyDescent="0.3">
      <c r="A11" s="13">
        <v>1</v>
      </c>
      <c r="B11" s="8">
        <f>D10*(1+$B$5)</f>
        <v>10066.666666666666</v>
      </c>
      <c r="C11" s="8">
        <f>$B$7</f>
        <v>1037.0320893591522</v>
      </c>
      <c r="D11" s="8">
        <f>B11-C11</f>
        <v>9029.6345773075136</v>
      </c>
      <c r="E11" s="15">
        <f>B11-D10</f>
        <v>66.66666666666606</v>
      </c>
      <c r="F11" s="15">
        <f>C11-E11</f>
        <v>970.36542269248616</v>
      </c>
    </row>
    <row r="12" spans="1:13" x14ac:dyDescent="0.3">
      <c r="A12" s="13">
        <v>2</v>
      </c>
      <c r="B12" s="8">
        <f t="shared" ref="B12:B20" si="0">D11*(1+$B$5)</f>
        <v>9089.8321411562301</v>
      </c>
      <c r="C12" s="8">
        <f t="shared" ref="C12:C20" si="1">$B$7</f>
        <v>1037.0320893591522</v>
      </c>
      <c r="D12" s="8">
        <f t="shared" ref="D12:D20" si="2">B12-C12</f>
        <v>8052.8000517970777</v>
      </c>
      <c r="E12" s="15">
        <f t="shared" ref="E12:E20" si="3">B12-D11</f>
        <v>60.197563848716527</v>
      </c>
      <c r="F12" s="15">
        <f t="shared" ref="F12:F20" si="4">C12-E12</f>
        <v>976.8345255104357</v>
      </c>
    </row>
    <row r="13" spans="1:13" x14ac:dyDescent="0.3">
      <c r="A13" s="13">
        <v>3</v>
      </c>
      <c r="B13" s="8">
        <f t="shared" si="0"/>
        <v>8106.4853854757239</v>
      </c>
      <c r="C13" s="8">
        <f t="shared" si="1"/>
        <v>1037.0320893591522</v>
      </c>
      <c r="D13" s="8">
        <f t="shared" si="2"/>
        <v>7069.4532961165714</v>
      </c>
      <c r="E13" s="15">
        <f t="shared" si="3"/>
        <v>53.685333678646202</v>
      </c>
      <c r="F13" s="15">
        <f t="shared" si="4"/>
        <v>983.34675568050602</v>
      </c>
      <c r="H13" s="44"/>
    </row>
    <row r="14" spans="1:13" x14ac:dyDescent="0.3">
      <c r="A14" s="13">
        <v>4</v>
      </c>
      <c r="B14" s="8">
        <f t="shared" si="0"/>
        <v>7116.5829847573477</v>
      </c>
      <c r="C14" s="8">
        <f t="shared" si="1"/>
        <v>1037.0320893591522</v>
      </c>
      <c r="D14" s="8">
        <f t="shared" si="2"/>
        <v>6079.5508953981953</v>
      </c>
      <c r="E14" s="15">
        <f t="shared" si="3"/>
        <v>47.129688640776294</v>
      </c>
      <c r="F14" s="15">
        <f t="shared" si="4"/>
        <v>989.90240071837593</v>
      </c>
    </row>
    <row r="15" spans="1:13" x14ac:dyDescent="0.3">
      <c r="A15" s="13">
        <v>5</v>
      </c>
      <c r="B15" s="8">
        <f t="shared" si="0"/>
        <v>6120.0812347008496</v>
      </c>
      <c r="C15" s="8">
        <f t="shared" si="1"/>
        <v>1037.0320893591522</v>
      </c>
      <c r="D15" s="8">
        <f t="shared" si="2"/>
        <v>5083.0491453416971</v>
      </c>
      <c r="E15" s="15">
        <f t="shared" si="3"/>
        <v>40.530339302654284</v>
      </c>
      <c r="F15" s="15">
        <f t="shared" si="4"/>
        <v>996.50175005649794</v>
      </c>
      <c r="I15" s="16"/>
      <c r="M15" s="16"/>
    </row>
    <row r="16" spans="1:13" x14ac:dyDescent="0.3">
      <c r="A16" s="13">
        <v>6</v>
      </c>
      <c r="B16" s="8">
        <f t="shared" si="0"/>
        <v>5116.9361396439745</v>
      </c>
      <c r="C16" s="8">
        <f t="shared" si="1"/>
        <v>1037.0320893591522</v>
      </c>
      <c r="D16" s="8">
        <f t="shared" si="2"/>
        <v>4079.904050284822</v>
      </c>
      <c r="E16" s="15">
        <f t="shared" si="3"/>
        <v>33.886994302277344</v>
      </c>
      <c r="F16" s="15">
        <f t="shared" si="4"/>
        <v>1003.1450950568749</v>
      </c>
      <c r="G16" s="3" t="s">
        <v>33</v>
      </c>
    </row>
    <row r="17" spans="1:13" x14ac:dyDescent="0.3">
      <c r="A17" s="13">
        <v>7</v>
      </c>
      <c r="B17" s="8">
        <f t="shared" si="0"/>
        <v>4107.1034106200541</v>
      </c>
      <c r="C17" s="8">
        <f t="shared" si="1"/>
        <v>1037.0320893591522</v>
      </c>
      <c r="D17" s="8">
        <f t="shared" si="2"/>
        <v>3070.0713212609016</v>
      </c>
      <c r="E17" s="15">
        <f t="shared" si="3"/>
        <v>27.199360335232086</v>
      </c>
      <c r="F17" s="15">
        <f t="shared" si="4"/>
        <v>1009.8327290239201</v>
      </c>
    </row>
    <row r="18" spans="1:13" x14ac:dyDescent="0.3">
      <c r="A18" s="13">
        <v>8</v>
      </c>
      <c r="B18" s="8">
        <f t="shared" si="0"/>
        <v>3090.5384634026409</v>
      </c>
      <c r="C18" s="8">
        <f t="shared" si="1"/>
        <v>1037.0320893591522</v>
      </c>
      <c r="D18" s="8">
        <f t="shared" si="2"/>
        <v>2053.5063740434889</v>
      </c>
      <c r="E18" s="15">
        <f t="shared" si="3"/>
        <v>20.467142141739259</v>
      </c>
      <c r="F18" s="15">
        <f t="shared" si="4"/>
        <v>1016.564947217413</v>
      </c>
    </row>
    <row r="19" spans="1:13" x14ac:dyDescent="0.3">
      <c r="A19" s="13">
        <v>9</v>
      </c>
      <c r="B19" s="8">
        <f t="shared" si="0"/>
        <v>2067.1964165371119</v>
      </c>
      <c r="C19" s="8">
        <f t="shared" si="1"/>
        <v>1037.0320893591522</v>
      </c>
      <c r="D19" s="8">
        <f t="shared" si="2"/>
        <v>1030.1643271779596</v>
      </c>
      <c r="E19" s="15">
        <f t="shared" si="3"/>
        <v>13.690042493622968</v>
      </c>
      <c r="F19" s="15">
        <f t="shared" si="4"/>
        <v>1023.3420468655293</v>
      </c>
    </row>
    <row r="20" spans="1:13" x14ac:dyDescent="0.3">
      <c r="A20" s="13">
        <v>10</v>
      </c>
      <c r="B20" s="8">
        <f t="shared" si="0"/>
        <v>1037.0320893591461</v>
      </c>
      <c r="C20" s="8">
        <f t="shared" si="1"/>
        <v>1037.0320893591522</v>
      </c>
      <c r="D20" s="8">
        <f t="shared" si="2"/>
        <v>-6.1390892369672656E-12</v>
      </c>
      <c r="E20" s="15">
        <f t="shared" si="3"/>
        <v>6.8677621811864356</v>
      </c>
      <c r="F20" s="15">
        <f t="shared" si="4"/>
        <v>1030.1643271779658</v>
      </c>
      <c r="M20" s="16"/>
    </row>
    <row r="22" spans="1:13" x14ac:dyDescent="0.3">
      <c r="B22" s="17">
        <f>SUM(F11:F20)</f>
        <v>10000.000000000004</v>
      </c>
      <c r="C22" s="3" t="s">
        <v>16</v>
      </c>
      <c r="M22" s="18"/>
    </row>
    <row r="24" spans="1:13" x14ac:dyDescent="0.3">
      <c r="A24" s="19"/>
      <c r="B24" s="19"/>
      <c r="C24" s="19"/>
      <c r="D24" s="19"/>
      <c r="E24" s="19"/>
      <c r="F24" s="19"/>
      <c r="G24" s="19"/>
      <c r="H24" s="19"/>
    </row>
  </sheetData>
  <mergeCells count="1">
    <mergeCell ref="A1:H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topLeftCell="A6" zoomScaleNormal="100" workbookViewId="0">
      <selection activeCell="G18" sqref="G18"/>
    </sheetView>
  </sheetViews>
  <sheetFormatPr defaultRowHeight="19.5" x14ac:dyDescent="0.3"/>
  <cols>
    <col min="1" max="1" width="17.7109375" style="3" bestFit="1" customWidth="1"/>
    <col min="2" max="2" width="27.85546875" style="3" customWidth="1"/>
    <col min="3" max="3" width="15.85546875" style="3" bestFit="1" customWidth="1"/>
    <col min="4" max="4" width="27.28515625" style="3" customWidth="1"/>
    <col min="5" max="5" width="17.5703125" style="3" customWidth="1"/>
    <col min="6" max="6" width="18" style="3" bestFit="1" customWidth="1"/>
    <col min="7" max="7" width="9.140625" style="3"/>
    <col min="8" max="8" width="15.140625" style="3" bestFit="1" customWidth="1"/>
    <col min="9" max="11" width="9.140625" style="3"/>
    <col min="12" max="12" width="11.5703125" style="3" bestFit="1" customWidth="1"/>
    <col min="13" max="16384" width="9.140625" style="3"/>
  </cols>
  <sheetData>
    <row r="1" spans="1:12" x14ac:dyDescent="0.3">
      <c r="A1" s="53" t="s">
        <v>8</v>
      </c>
      <c r="B1" s="53"/>
      <c r="C1" s="53"/>
      <c r="D1" s="53"/>
      <c r="E1" s="53"/>
      <c r="F1" s="53"/>
      <c r="G1" s="53"/>
      <c r="H1" s="5"/>
      <c r="I1" s="5"/>
      <c r="J1" s="5"/>
      <c r="K1" s="5"/>
      <c r="L1" s="5"/>
    </row>
    <row r="2" spans="1:12" x14ac:dyDescent="0.3">
      <c r="B2" s="7">
        <v>0.08</v>
      </c>
    </row>
    <row r="3" spans="1:12" x14ac:dyDescent="0.3">
      <c r="A3" s="3" t="s">
        <v>9</v>
      </c>
      <c r="B3" s="6">
        <v>10000</v>
      </c>
    </row>
    <row r="4" spans="1:12" x14ac:dyDescent="0.3">
      <c r="A4" s="3" t="s">
        <v>28</v>
      </c>
      <c r="B4" s="32">
        <f>B2/12</f>
        <v>6.6666666666666671E-3</v>
      </c>
    </row>
    <row r="5" spans="1:12" x14ac:dyDescent="0.3">
      <c r="A5" s="3" t="s">
        <v>10</v>
      </c>
      <c r="B5" s="8">
        <f>PMT(B4,10,-B3,0,0)</f>
        <v>1037.0320893591522</v>
      </c>
    </row>
    <row r="7" spans="1:12" ht="39" x14ac:dyDescent="0.3">
      <c r="A7" s="9" t="s">
        <v>0</v>
      </c>
      <c r="B7" s="10" t="s">
        <v>11</v>
      </c>
      <c r="C7" s="10" t="s">
        <v>12</v>
      </c>
      <c r="D7" s="10" t="s">
        <v>13</v>
      </c>
      <c r="E7" s="10" t="s">
        <v>15</v>
      </c>
      <c r="F7" s="10" t="s">
        <v>14</v>
      </c>
    </row>
    <row r="8" spans="1:12" x14ac:dyDescent="0.3">
      <c r="A8" s="11"/>
      <c r="B8" s="12"/>
      <c r="C8" s="12"/>
      <c r="D8" s="12"/>
      <c r="E8" s="12"/>
      <c r="F8" s="12"/>
    </row>
    <row r="9" spans="1:12" x14ac:dyDescent="0.3">
      <c r="A9" s="13">
        <v>0</v>
      </c>
      <c r="B9" s="8" t="s">
        <v>32</v>
      </c>
      <c r="C9" s="14"/>
      <c r="D9" s="8">
        <f>B3</f>
        <v>10000</v>
      </c>
      <c r="E9" s="14"/>
      <c r="F9" s="14"/>
    </row>
    <row r="10" spans="1:12" x14ac:dyDescent="0.3">
      <c r="A10" s="13">
        <v>1</v>
      </c>
      <c r="B10" s="8">
        <f>D9*(1+$B$4)</f>
        <v>10066.666666666666</v>
      </c>
      <c r="C10" s="46">
        <f>$B$5</f>
        <v>1037.0320893591522</v>
      </c>
      <c r="D10" s="8">
        <f>B10-C10</f>
        <v>9029.6345773075136</v>
      </c>
      <c r="E10" s="15">
        <f>IPMT($B$4,A10,10,-$B$3,0,0)</f>
        <v>66.666666666666671</v>
      </c>
      <c r="F10" s="15">
        <f>PPMT($B$4,A10,10,-$B$3,0,0)</f>
        <v>970.36542269248559</v>
      </c>
      <c r="H10" s="18"/>
    </row>
    <row r="11" spans="1:12" x14ac:dyDescent="0.3">
      <c r="A11" s="13">
        <v>2</v>
      </c>
      <c r="B11" s="8">
        <f t="shared" ref="B11:B19" si="0">D10*(1+$B$4)</f>
        <v>9089.8321411562301</v>
      </c>
      <c r="C11" s="46">
        <f t="shared" ref="C11:C19" si="1">$B$5</f>
        <v>1037.0320893591522</v>
      </c>
      <c r="D11" s="8">
        <f t="shared" ref="D11:D19" si="2">B11-C11</f>
        <v>8052.8000517970777</v>
      </c>
      <c r="E11" s="15">
        <f t="shared" ref="E11:E19" si="3">IPMT($B$4,A11,10,-$B$3,0,0)</f>
        <v>60.197563848716776</v>
      </c>
      <c r="F11" s="15">
        <f t="shared" ref="F11:F19" si="4">PPMT($B$4,A11,10,-$B$3,0,0)</f>
        <v>976.83452551043536</v>
      </c>
    </row>
    <row r="12" spans="1:12" x14ac:dyDescent="0.3">
      <c r="A12" s="13">
        <v>3</v>
      </c>
      <c r="B12" s="8">
        <f t="shared" si="0"/>
        <v>8106.4853854757239</v>
      </c>
      <c r="C12" s="46">
        <f t="shared" si="1"/>
        <v>1037.0320893591522</v>
      </c>
      <c r="D12" s="8">
        <f t="shared" si="2"/>
        <v>7069.4532961165714</v>
      </c>
      <c r="E12" s="15">
        <f t="shared" si="3"/>
        <v>53.685333678647197</v>
      </c>
      <c r="F12" s="15">
        <f t="shared" si="4"/>
        <v>983.346755680505</v>
      </c>
      <c r="H12" s="16"/>
    </row>
    <row r="13" spans="1:12" x14ac:dyDescent="0.3">
      <c r="A13" s="13">
        <v>4</v>
      </c>
      <c r="B13" s="8">
        <f t="shared" si="0"/>
        <v>7116.5829847573477</v>
      </c>
      <c r="C13" s="46">
        <f t="shared" si="1"/>
        <v>1037.0320893591522</v>
      </c>
      <c r="D13" s="8">
        <f t="shared" si="2"/>
        <v>6079.5508953981953</v>
      </c>
      <c r="E13" s="15">
        <f t="shared" si="3"/>
        <v>47.129688640777168</v>
      </c>
      <c r="F13" s="15">
        <f t="shared" si="4"/>
        <v>989.90240071837525</v>
      </c>
    </row>
    <row r="14" spans="1:12" x14ac:dyDescent="0.3">
      <c r="A14" s="13">
        <v>5</v>
      </c>
      <c r="B14" s="8">
        <f t="shared" si="0"/>
        <v>6120.0812347008496</v>
      </c>
      <c r="C14" s="46">
        <f t="shared" si="1"/>
        <v>1037.0320893591522</v>
      </c>
      <c r="D14" s="8">
        <f t="shared" si="2"/>
        <v>5083.0491453416971</v>
      </c>
      <c r="E14" s="15">
        <f t="shared" si="3"/>
        <v>40.530339302654674</v>
      </c>
      <c r="F14" s="15">
        <f t="shared" si="4"/>
        <v>996.50175005649771</v>
      </c>
      <c r="L14" s="16"/>
    </row>
    <row r="15" spans="1:12" x14ac:dyDescent="0.3">
      <c r="A15" s="13">
        <v>6</v>
      </c>
      <c r="B15" s="8">
        <f t="shared" si="0"/>
        <v>5116.9361396439745</v>
      </c>
      <c r="C15" s="46">
        <f t="shared" si="1"/>
        <v>1037.0320893591522</v>
      </c>
      <c r="D15" s="8">
        <f t="shared" si="2"/>
        <v>4079.904050284822</v>
      </c>
      <c r="E15" s="15">
        <f t="shared" si="3"/>
        <v>33.886994302278019</v>
      </c>
      <c r="F15" s="15">
        <f t="shared" si="4"/>
        <v>1003.1450950568742</v>
      </c>
    </row>
    <row r="16" spans="1:12" x14ac:dyDescent="0.3">
      <c r="A16" s="13">
        <v>7</v>
      </c>
      <c r="B16" s="8">
        <f t="shared" si="0"/>
        <v>4107.1034106200541</v>
      </c>
      <c r="C16" s="46">
        <f t="shared" si="1"/>
        <v>1037.0320893591522</v>
      </c>
      <c r="D16" s="8">
        <f t="shared" si="2"/>
        <v>3070.0713212609016</v>
      </c>
      <c r="E16" s="15">
        <f t="shared" si="3"/>
        <v>27.199360335232193</v>
      </c>
      <c r="F16" s="15">
        <f t="shared" si="4"/>
        <v>1009.8327290239201</v>
      </c>
    </row>
    <row r="17" spans="1:12" x14ac:dyDescent="0.3">
      <c r="A17" s="13">
        <v>8</v>
      </c>
      <c r="B17" s="8">
        <f t="shared" si="0"/>
        <v>3090.5384634026409</v>
      </c>
      <c r="C17" s="46">
        <f t="shared" si="1"/>
        <v>1037.0320893591522</v>
      </c>
      <c r="D17" s="8">
        <f t="shared" si="2"/>
        <v>2053.5063740434889</v>
      </c>
      <c r="E17" s="15">
        <f t="shared" si="3"/>
        <v>20.467142141739384</v>
      </c>
      <c r="F17" s="15">
        <f t="shared" si="4"/>
        <v>1016.5649472174129</v>
      </c>
    </row>
    <row r="18" spans="1:12" x14ac:dyDescent="0.3">
      <c r="A18" s="13">
        <v>9</v>
      </c>
      <c r="B18" s="8">
        <f t="shared" si="0"/>
        <v>2067.1964165371119</v>
      </c>
      <c r="C18" s="46">
        <f t="shared" si="1"/>
        <v>1037.0320893591522</v>
      </c>
      <c r="D18" s="8">
        <f t="shared" si="2"/>
        <v>1030.1643271779596</v>
      </c>
      <c r="E18" s="15">
        <f t="shared" si="3"/>
        <v>13.690042493623301</v>
      </c>
      <c r="F18" s="15">
        <f t="shared" si="4"/>
        <v>1023.3420468655289</v>
      </c>
    </row>
    <row r="19" spans="1:12" x14ac:dyDescent="0.3">
      <c r="A19" s="13">
        <v>10</v>
      </c>
      <c r="B19" s="8">
        <f t="shared" si="0"/>
        <v>1037.0320893591461</v>
      </c>
      <c r="C19" s="46">
        <f t="shared" si="1"/>
        <v>1037.0320893591522</v>
      </c>
      <c r="D19" s="8">
        <f t="shared" si="2"/>
        <v>-6.1390892369672656E-12</v>
      </c>
      <c r="E19" s="15">
        <f t="shared" si="3"/>
        <v>6.8677621811864391</v>
      </c>
      <c r="F19" s="15">
        <f t="shared" si="4"/>
        <v>1030.1643271779658</v>
      </c>
      <c r="L19" s="16"/>
    </row>
    <row r="21" spans="1:12" x14ac:dyDescent="0.3">
      <c r="B21" s="34">
        <f>SUM(F10:F19)</f>
        <v>10000</v>
      </c>
      <c r="C21" s="35" t="s">
        <v>29</v>
      </c>
      <c r="L21" s="18"/>
    </row>
    <row r="23" spans="1:12" x14ac:dyDescent="0.3">
      <c r="A23" s="19"/>
      <c r="B23" s="19"/>
      <c r="C23" s="19"/>
      <c r="D23" s="19"/>
      <c r="E23" s="19"/>
      <c r="F23" s="19"/>
      <c r="G23" s="19"/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zoomScaleNormal="100" workbookViewId="0">
      <selection activeCell="G13" sqref="G13"/>
    </sheetView>
  </sheetViews>
  <sheetFormatPr defaultRowHeight="19.5" x14ac:dyDescent="0.3"/>
  <cols>
    <col min="1" max="1" width="17.7109375" style="3" bestFit="1" customWidth="1"/>
    <col min="2" max="2" width="21.7109375" style="3" bestFit="1" customWidth="1"/>
    <col min="3" max="3" width="21.7109375" style="3" customWidth="1"/>
    <col min="4" max="4" width="29.7109375" style="3" customWidth="1"/>
    <col min="5" max="5" width="17.5703125" style="3" bestFit="1" customWidth="1"/>
    <col min="6" max="6" width="18" style="3" bestFit="1" customWidth="1"/>
    <col min="7" max="7" width="9.140625" style="3"/>
    <col min="8" max="8" width="13.42578125" style="3" bestFit="1" customWidth="1"/>
    <col min="9" max="9" width="9.140625" style="3"/>
    <col min="10" max="10" width="15.5703125" style="3" bestFit="1" customWidth="1"/>
    <col min="11" max="11" width="9.140625" style="3"/>
    <col min="12" max="12" width="11.5703125" style="3" bestFit="1" customWidth="1"/>
    <col min="13" max="16384" width="9.140625" style="3"/>
  </cols>
  <sheetData>
    <row r="1" spans="1:12" x14ac:dyDescent="0.3">
      <c r="A1" s="53" t="s">
        <v>8</v>
      </c>
      <c r="B1" s="53"/>
      <c r="C1" s="53"/>
      <c r="D1" s="53"/>
      <c r="E1" s="53"/>
      <c r="F1" s="53"/>
      <c r="G1" s="53"/>
      <c r="H1" s="5"/>
      <c r="I1" s="5"/>
      <c r="J1" s="5"/>
      <c r="K1" s="5"/>
      <c r="L1" s="5"/>
    </row>
    <row r="3" spans="1:12" x14ac:dyDescent="0.3">
      <c r="A3" s="3" t="s">
        <v>9</v>
      </c>
      <c r="B3" s="6">
        <v>10000</v>
      </c>
    </row>
    <row r="4" spans="1:12" x14ac:dyDescent="0.3">
      <c r="A4" s="3" t="s">
        <v>2</v>
      </c>
      <c r="B4" s="7">
        <v>0.05</v>
      </c>
    </row>
    <row r="5" spans="1:12" x14ac:dyDescent="0.3">
      <c r="A5" s="3" t="s">
        <v>10</v>
      </c>
      <c r="B5" s="8">
        <f>PMT(B4,5,-B3,0,0)</f>
        <v>2309.7479812826814</v>
      </c>
      <c r="C5" s="18">
        <f>PMT(B4,5,-B3)</f>
        <v>2309.7479812826814</v>
      </c>
    </row>
    <row r="7" spans="1:12" ht="58.5" x14ac:dyDescent="0.3">
      <c r="A7" s="9" t="s">
        <v>1</v>
      </c>
      <c r="B7" s="10" t="s">
        <v>11</v>
      </c>
      <c r="C7" s="10" t="s">
        <v>12</v>
      </c>
      <c r="D7" s="10" t="s">
        <v>13</v>
      </c>
      <c r="E7" s="10" t="s">
        <v>15</v>
      </c>
      <c r="F7" s="10" t="s">
        <v>14</v>
      </c>
    </row>
    <row r="8" spans="1:12" x14ac:dyDescent="0.3">
      <c r="A8" s="11"/>
      <c r="B8" s="12"/>
      <c r="C8" s="12"/>
      <c r="D8" s="12"/>
      <c r="E8" s="12"/>
      <c r="F8" s="12"/>
    </row>
    <row r="9" spans="1:12" x14ac:dyDescent="0.3">
      <c r="A9" s="13">
        <v>0</v>
      </c>
      <c r="B9" s="8">
        <f>B3</f>
        <v>10000</v>
      </c>
      <c r="C9" s="14">
        <v>0</v>
      </c>
      <c r="D9" s="8">
        <f>B9</f>
        <v>10000</v>
      </c>
      <c r="E9" s="14">
        <v>0</v>
      </c>
      <c r="F9" s="14">
        <v>0</v>
      </c>
    </row>
    <row r="10" spans="1:12" x14ac:dyDescent="0.3">
      <c r="A10" s="13">
        <v>1</v>
      </c>
      <c r="B10" s="8">
        <f>D9*(1+$B$4)</f>
        <v>10500</v>
      </c>
      <c r="C10" s="8">
        <f>$B$5</f>
        <v>2309.7479812826814</v>
      </c>
      <c r="D10" s="8">
        <f>B10-C10</f>
        <v>8190.2520187173186</v>
      </c>
      <c r="E10" s="15">
        <f>IPMT($B$4,A10,5,-$B$3,0,0)</f>
        <v>500</v>
      </c>
      <c r="F10" s="15">
        <f>PPMT($B$4,A10,5,-$B$3,0,0)</f>
        <v>1809.7479812826814</v>
      </c>
      <c r="H10" s="33"/>
      <c r="J10" s="33"/>
    </row>
    <row r="11" spans="1:12" x14ac:dyDescent="0.3">
      <c r="A11" s="13">
        <v>2</v>
      </c>
      <c r="B11" s="8">
        <f t="shared" ref="B11:B14" si="0">D10*(1+$B$4)</f>
        <v>8599.7646196531841</v>
      </c>
      <c r="C11" s="8">
        <f t="shared" ref="C11:C14" si="1">$B$5</f>
        <v>2309.7479812826814</v>
      </c>
      <c r="D11" s="8">
        <f t="shared" ref="D11:D14" si="2">B11-C11</f>
        <v>6290.0166383705027</v>
      </c>
      <c r="E11" s="15">
        <f t="shared" ref="E11:E14" si="3">IPMT($B$4,A11,5,-$B$3,0,0)</f>
        <v>409.51260093586598</v>
      </c>
      <c r="F11" s="15">
        <f t="shared" ref="F11:F14" si="4">PPMT($B$4,A11,5,-$B$3,0,0)</f>
        <v>1900.2353803468152</v>
      </c>
      <c r="H11" s="33"/>
      <c r="J11" s="33"/>
    </row>
    <row r="12" spans="1:12" x14ac:dyDescent="0.3">
      <c r="A12" s="13">
        <v>3</v>
      </c>
      <c r="B12" s="8">
        <f t="shared" si="0"/>
        <v>6604.5174702890281</v>
      </c>
      <c r="C12" s="8">
        <f t="shared" si="1"/>
        <v>2309.7479812826814</v>
      </c>
      <c r="D12" s="8">
        <f t="shared" si="2"/>
        <v>4294.7694890063467</v>
      </c>
      <c r="E12" s="15">
        <f t="shared" si="3"/>
        <v>314.50083191852514</v>
      </c>
      <c r="F12" s="15">
        <f t="shared" si="4"/>
        <v>1995.247149364156</v>
      </c>
      <c r="H12" s="33"/>
      <c r="J12" s="33"/>
    </row>
    <row r="13" spans="1:12" x14ac:dyDescent="0.3">
      <c r="A13" s="13">
        <v>4</v>
      </c>
      <c r="B13" s="8">
        <f t="shared" si="0"/>
        <v>4509.5079634566646</v>
      </c>
      <c r="C13" s="8">
        <f t="shared" si="1"/>
        <v>2309.7479812826814</v>
      </c>
      <c r="D13" s="8">
        <f t="shared" si="2"/>
        <v>2199.7599821739832</v>
      </c>
      <c r="E13" s="15">
        <f t="shared" si="3"/>
        <v>214.73847445031734</v>
      </c>
      <c r="F13" s="15">
        <f t="shared" si="4"/>
        <v>2095.009506832364</v>
      </c>
      <c r="H13" s="33"/>
      <c r="J13" s="33"/>
    </row>
    <row r="14" spans="1:12" x14ac:dyDescent="0.3">
      <c r="A14" s="13">
        <v>5</v>
      </c>
      <c r="B14" s="8">
        <f t="shared" si="0"/>
        <v>2309.7479812826823</v>
      </c>
      <c r="C14" s="8">
        <f t="shared" si="1"/>
        <v>2309.7479812826814</v>
      </c>
      <c r="D14" s="8">
        <f t="shared" si="2"/>
        <v>0</v>
      </c>
      <c r="E14" s="15">
        <f t="shared" si="3"/>
        <v>109.98799910869914</v>
      </c>
      <c r="F14" s="15">
        <f t="shared" si="4"/>
        <v>2199.7599821739818</v>
      </c>
      <c r="H14" s="33"/>
      <c r="J14" s="33"/>
      <c r="L14" s="16"/>
    </row>
    <row r="16" spans="1:12" x14ac:dyDescent="0.3">
      <c r="B16" s="17">
        <f>SUM(F10:F14)</f>
        <v>9999.9999999999982</v>
      </c>
      <c r="C16" s="3" t="s">
        <v>16</v>
      </c>
      <c r="L16" s="18"/>
    </row>
    <row r="18" spans="1:7" x14ac:dyDescent="0.3">
      <c r="A18" s="19"/>
      <c r="B18" s="19"/>
      <c r="C18" s="19"/>
      <c r="D18" s="19"/>
      <c r="E18" s="19"/>
      <c r="F18" s="19"/>
      <c r="G18" s="19"/>
    </row>
  </sheetData>
  <mergeCells count="1">
    <mergeCell ref="A1:G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zoomScale="170" zoomScaleNormal="170" workbookViewId="0">
      <selection activeCell="E1" sqref="E1"/>
    </sheetView>
  </sheetViews>
  <sheetFormatPr defaultRowHeight="15" x14ac:dyDescent="0.25"/>
  <cols>
    <col min="1" max="2" width="12.7109375" bestFit="1" customWidth="1"/>
  </cols>
  <sheetData>
    <row r="1" spans="1:2" x14ac:dyDescent="0.25">
      <c r="A1" t="s">
        <v>9</v>
      </c>
      <c r="B1" s="36">
        <v>80000</v>
      </c>
    </row>
    <row r="3" spans="1:2" x14ac:dyDescent="0.25">
      <c r="A3" t="s">
        <v>30</v>
      </c>
      <c r="B3">
        <v>120</v>
      </c>
    </row>
    <row r="5" spans="1:2" x14ac:dyDescent="0.25">
      <c r="A5" t="s">
        <v>10</v>
      </c>
      <c r="B5" s="36">
        <v>1000</v>
      </c>
    </row>
    <row r="7" spans="1:2" x14ac:dyDescent="0.25">
      <c r="A7" t="s">
        <v>28</v>
      </c>
      <c r="B7" s="37">
        <f>RATE(B3,-B5,B1,0,0)</f>
        <v>7.2410201352274099E-3</v>
      </c>
    </row>
    <row r="9" spans="1:2" x14ac:dyDescent="0.25">
      <c r="A9" t="s">
        <v>2</v>
      </c>
      <c r="B9" s="37">
        <f>B7*12</f>
        <v>8.6892241622728919E-2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zoomScale="170" zoomScaleNormal="170" workbookViewId="0">
      <selection activeCell="B7" sqref="B7"/>
    </sheetView>
  </sheetViews>
  <sheetFormatPr defaultRowHeight="15" x14ac:dyDescent="0.25"/>
  <cols>
    <col min="1" max="1" width="12.7109375" bestFit="1" customWidth="1"/>
    <col min="2" max="2" width="14.28515625" bestFit="1" customWidth="1"/>
  </cols>
  <sheetData>
    <row r="1" spans="1:4" x14ac:dyDescent="0.25">
      <c r="A1" t="s">
        <v>9</v>
      </c>
      <c r="B1" s="36">
        <v>100000</v>
      </c>
    </row>
    <row r="3" spans="1:4" x14ac:dyDescent="0.25">
      <c r="A3" t="s">
        <v>2</v>
      </c>
      <c r="B3" s="38">
        <v>0.08</v>
      </c>
      <c r="C3" s="38"/>
    </row>
    <row r="5" spans="1:4" x14ac:dyDescent="0.25">
      <c r="A5" t="s">
        <v>10</v>
      </c>
      <c r="B5" s="36">
        <v>10000</v>
      </c>
    </row>
    <row r="7" spans="1:4" ht="45" x14ac:dyDescent="0.25">
      <c r="A7" s="39" t="s">
        <v>31</v>
      </c>
      <c r="B7" s="40">
        <f>NPER(B3,-B5,B1,0,0)</f>
        <v>20.912371879004763</v>
      </c>
      <c r="D7" s="4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FV Demo</vt:lpstr>
      <vt:lpstr>PV Demo</vt:lpstr>
      <vt:lpstr>Amortization table</vt:lpstr>
      <vt:lpstr>Amortization using functions</vt:lpstr>
      <vt:lpstr>Exercise</vt:lpstr>
      <vt:lpstr>RATE</vt:lpstr>
      <vt:lpstr>NPER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msf</dc:creator>
  <cp:lastModifiedBy>Kabir Kanha</cp:lastModifiedBy>
  <dcterms:created xsi:type="dcterms:W3CDTF">2008-10-10T04:39:13Z</dcterms:created>
  <dcterms:modified xsi:type="dcterms:W3CDTF">2018-04-25T06:02:49Z</dcterms:modified>
</cp:coreProperties>
</file>