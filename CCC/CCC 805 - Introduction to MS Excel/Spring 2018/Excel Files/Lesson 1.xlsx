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bir\College Work\Semester 2\CCC 805\Excel Files\"/>
    </mc:Choice>
  </mc:AlternateContent>
  <bookViews>
    <workbookView xWindow="-15" yWindow="-15" windowWidth="15105" windowHeight="7050" activeTab="4"/>
  </bookViews>
  <sheets>
    <sheet name="Intro" sheetId="10" r:id="rId1"/>
    <sheet name="Desk Calc" sheetId="1" r:id="rId2"/>
    <sheet name="Functions" sheetId="2" r:id="rId3"/>
    <sheet name="Average Vs Averagea" sheetId="9" r:id="rId4"/>
    <sheet name="Naming Cells" sheetId="8" r:id="rId5"/>
  </sheets>
  <definedNames>
    <definedName name="BAN">'Naming Cells'!$B$8</definedName>
    <definedName name="CHE">'Naming Cells'!$B$6</definedName>
    <definedName name="DEL">'Naming Cells'!$B$3</definedName>
    <definedName name="HDR">'Naming Cells'!$B$7</definedName>
    <definedName name="KOL">'Naming Cells'!$B$5</definedName>
    <definedName name="MUM">'Naming Cells'!$B$4</definedName>
  </definedNames>
  <calcPr calcId="162913"/>
</workbook>
</file>

<file path=xl/calcChain.xml><?xml version="1.0" encoding="utf-8"?>
<calcChain xmlns="http://schemas.openxmlformats.org/spreadsheetml/2006/main">
  <c r="G10" i="2" l="1"/>
  <c r="G9" i="1"/>
  <c r="G11" i="2" l="1"/>
  <c r="D13" i="8"/>
  <c r="D11" i="8"/>
  <c r="E7" i="8"/>
  <c r="E5" i="8"/>
  <c r="G10" i="9"/>
  <c r="F10" i="9"/>
  <c r="E10" i="9"/>
  <c r="D10" i="9"/>
  <c r="C10" i="9"/>
  <c r="G7" i="9"/>
  <c r="F7" i="9"/>
  <c r="E7" i="9"/>
  <c r="D7" i="9"/>
  <c r="C7" i="9"/>
  <c r="G7" i="2"/>
  <c r="G6" i="2"/>
  <c r="G5" i="2"/>
  <c r="M12" i="1"/>
  <c r="M11" i="1"/>
  <c r="G10" i="1"/>
  <c r="G8" i="1"/>
  <c r="G7" i="1"/>
  <c r="G6" i="1"/>
</calcChain>
</file>

<file path=xl/comments1.xml><?xml version="1.0" encoding="utf-8"?>
<comments xmlns="http://schemas.openxmlformats.org/spreadsheetml/2006/main">
  <authors>
    <author>Kabir Kanha</author>
  </authors>
  <commentList>
    <comment ref="G5" authorId="0" shapeId="0">
      <text>
        <r>
          <rPr>
            <b/>
            <sz val="9"/>
            <color indexed="81"/>
            <rFont val="Tahoma"/>
            <family val="2"/>
          </rPr>
          <t>Kabir Kanha:</t>
        </r>
        <r>
          <rPr>
            <sz val="9"/>
            <color indexed="81"/>
            <rFont val="Tahoma"/>
            <family val="2"/>
          </rPr>
          <t xml:space="preserve">
Click on a cell in this column and see formula in the formula bar
</t>
        </r>
      </text>
    </comment>
  </commentList>
</comments>
</file>

<file path=xl/comments2.xml><?xml version="1.0" encoding="utf-8"?>
<comments xmlns="http://schemas.openxmlformats.org/spreadsheetml/2006/main">
  <authors>
    <author>Kabir Kanha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Kabir Kanha:</t>
        </r>
        <r>
          <rPr>
            <sz val="9"/>
            <color indexed="81"/>
            <rFont val="Tahoma"/>
            <family val="2"/>
          </rPr>
          <t xml:space="preserve">
Notice the difference in formulae.
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Kabir Kanha:</t>
        </r>
        <r>
          <rPr>
            <sz val="9"/>
            <color indexed="81"/>
            <rFont val="Tahoma"/>
            <family val="2"/>
          </rPr>
          <t xml:space="preserve">
Notice the difference in formulae.
</t>
        </r>
      </text>
    </comment>
  </commentList>
</comments>
</file>

<file path=xl/sharedStrings.xml><?xml version="1.0" encoding="utf-8"?>
<sst xmlns="http://schemas.openxmlformats.org/spreadsheetml/2006/main" count="65" uniqueCount="64">
  <si>
    <t>Operations to perform</t>
  </si>
  <si>
    <t>How to perform?</t>
  </si>
  <si>
    <t>Addition</t>
  </si>
  <si>
    <t>Subtraction</t>
  </si>
  <si>
    <t>Multiplication</t>
  </si>
  <si>
    <t>Division</t>
  </si>
  <si>
    <t>Raise to Power</t>
  </si>
  <si>
    <t>DATA</t>
  </si>
  <si>
    <t>S.No</t>
  </si>
  <si>
    <t>Income</t>
  </si>
  <si>
    <t>Mean</t>
  </si>
  <si>
    <t>Median</t>
  </si>
  <si>
    <t>Mode</t>
  </si>
  <si>
    <t>AVERAGE</t>
  </si>
  <si>
    <t>AVERAGEA</t>
  </si>
  <si>
    <t>PLACE</t>
  </si>
  <si>
    <t>TICKETS SOLD</t>
  </si>
  <si>
    <t>DEL</t>
  </si>
  <si>
    <t>Total Tickets Sold</t>
  </si>
  <si>
    <t>MUM</t>
  </si>
  <si>
    <t>KOL</t>
  </si>
  <si>
    <t>Without Naming</t>
  </si>
  <si>
    <t>CHE</t>
  </si>
  <si>
    <t>HDR</t>
  </si>
  <si>
    <t>With Naming</t>
  </si>
  <si>
    <t>BAN</t>
  </si>
  <si>
    <t>Copy the values</t>
  </si>
  <si>
    <t>ECF08</t>
  </si>
  <si>
    <t xml:space="preserve">A </t>
  </si>
  <si>
    <t xml:space="preserve">B </t>
  </si>
  <si>
    <t xml:space="preserve">C </t>
  </si>
  <si>
    <t xml:space="preserve">D </t>
  </si>
  <si>
    <t xml:space="preserve">X </t>
  </si>
  <si>
    <t>E</t>
  </si>
  <si>
    <t>Following is the data corresponding to the salaries of employees in some company.</t>
  </si>
  <si>
    <t>Calculate :</t>
  </si>
  <si>
    <t>Standard Deviation</t>
  </si>
  <si>
    <t>Variance</t>
  </si>
  <si>
    <t>L7+M7</t>
  </si>
  <si>
    <t>Now, if we change the values of L7 or M7, the value of this cell also changes automatically</t>
  </si>
  <si>
    <t>Even though I simply copied the formula from the cell above the value changes as Excel records formulae as the number of cells to be traversed in each direction to get there.</t>
  </si>
  <si>
    <t>Random numbers</t>
  </si>
  <si>
    <t>eg: Marking students as zero when they are ABSENT and being able to calculate the average of the entire class.</t>
  </si>
  <si>
    <t>Averagea takes TRUE as 1 and FALSE as 0. Useful for a Yes/No survey.</t>
  </si>
  <si>
    <t>Averagea takes non-numeric values as zero but takes them for the denominator.</t>
  </si>
  <si>
    <t>In the last cell, there are no numeric values to average, so division by zero is happening.</t>
  </si>
  <si>
    <t>So we see here that the cells with non numeric values are simply ignored.</t>
  </si>
  <si>
    <t>NOTES</t>
  </si>
  <si>
    <t>Naming cells is not case sensitive.</t>
  </si>
  <si>
    <t>B2 can now also be referred to as Del or del or DEL</t>
  </si>
  <si>
    <t>Going to name manager streamlines the entire process.</t>
  </si>
  <si>
    <t>After selection, I click on "Create from selection"</t>
  </si>
  <si>
    <t>Notes:</t>
  </si>
  <si>
    <t>Becomes 0 as reference changes to A8:A13</t>
  </si>
  <si>
    <t>Since we refer to them by names now (similar to pointers)</t>
  </si>
  <si>
    <t>NOTE:</t>
  </si>
  <si>
    <t>If we wish to keep the sum the same even upon copying and pasting to someplace else, we must write B2 as $B$2. So in short, put $ in front of whatever you wish to fix. One could also write $B2, which would leave the 2 exposed to changes.</t>
  </si>
  <si>
    <t>Since this data set seems to represent the entire population, i.e, all the employees of the company, we use the population formulae.</t>
  </si>
  <si>
    <t>Exam 1 and 2 - 30% each.</t>
  </si>
  <si>
    <t>There will be 3 exams.</t>
  </si>
  <si>
    <t>Exam 3 - 40% (Full Syllabus)</t>
  </si>
  <si>
    <t>Roughly 8-9 lessons will be covered and uploaded on BB.</t>
  </si>
  <si>
    <t>Exams will be conducted through BB (Ensure name resistered)</t>
  </si>
  <si>
    <t>Exams will happen at the end of every 3 lessons.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</si>
</sst>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"/>
    <numFmt numFmtId="165" formatCode="0.000"/>
  </numFmts>
  <fonts count="41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Calibri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8"/>
      <name val="Calibri"/>
      <family val="2"/>
    </font>
    <font>
      <i/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theme="1"/>
      <name val="Calibri"/>
      <family val="2"/>
      <scheme val="minor"/>
    </font>
    <font>
      <sz val="16"/>
      <color theme="1"/>
      <name val="Tw Cen MT"/>
      <family val="2"/>
    </font>
    <font>
      <b/>
      <sz val="16"/>
      <color theme="1"/>
      <name val="Tw Cen MT"/>
      <family val="2"/>
    </font>
    <font>
      <b/>
      <sz val="15"/>
      <color theme="1"/>
      <name val="Calibri"/>
      <family val="2"/>
    </font>
    <font>
      <u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rgb="FFFF0000"/>
      <name val="Calibri"/>
      <family val="2"/>
      <scheme val="minor"/>
    </font>
    <font>
      <b/>
      <sz val="11"/>
      <name val="Calibri"/>
      <family val="2"/>
    </font>
    <font>
      <i/>
      <u/>
      <sz val="11"/>
      <color indexed="23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48"/>
        <bgColor indexed="54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52"/>
        <bgColor indexed="51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2" borderId="0" applyNumberFormat="0" applyBorder="0" applyAlignment="0" applyProtection="0"/>
    <xf numFmtId="0" fontId="24" fillId="5" borderId="0" applyNumberFormat="0" applyBorder="0" applyAlignment="0" applyProtection="0"/>
    <xf numFmtId="0" fontId="24" fillId="3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3" fillId="2" borderId="1" applyNumberFormat="0" applyAlignment="0" applyProtection="0"/>
    <xf numFmtId="0" fontId="4" fillId="17" borderId="2" applyNumberFormat="0" applyAlignment="0" applyProtection="0"/>
    <xf numFmtId="0" fontId="23" fillId="0" borderId="0"/>
    <xf numFmtId="0" fontId="18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7" fillId="0" borderId="4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1" applyNumberFormat="0" applyAlignment="0" applyProtection="0"/>
    <xf numFmtId="0" fontId="11" fillId="0" borderId="6" applyNumberFormat="0" applyFill="0" applyAlignment="0" applyProtection="0"/>
    <xf numFmtId="0" fontId="12" fillId="8" borderId="0" applyNumberFormat="0" applyBorder="0" applyAlignment="0" applyProtection="0"/>
    <xf numFmtId="0" fontId="13" fillId="0" borderId="0"/>
    <xf numFmtId="0" fontId="24" fillId="4" borderId="7" applyNumberFormat="0" applyAlignment="0" applyProtection="0"/>
    <xf numFmtId="0" fontId="14" fillId="2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75">
    <xf numFmtId="0" fontId="0" fillId="0" borderId="0" xfId="0"/>
    <xf numFmtId="0" fontId="20" fillId="0" borderId="0" xfId="0" applyFont="1" applyFill="1"/>
    <xf numFmtId="1" fontId="20" fillId="0" borderId="0" xfId="0" applyNumberFormat="1" applyFont="1" applyFill="1"/>
    <xf numFmtId="0" fontId="0" fillId="0" borderId="0" xfId="0" applyFill="1"/>
    <xf numFmtId="0" fontId="19" fillId="0" borderId="0" xfId="0" applyFont="1" applyFill="1" applyBorder="1" applyAlignment="1"/>
    <xf numFmtId="0" fontId="21" fillId="0" borderId="0" xfId="0" applyFont="1" applyAlignment="1"/>
    <xf numFmtId="0" fontId="19" fillId="0" borderId="0" xfId="0" applyFont="1" applyBorder="1"/>
    <xf numFmtId="1" fontId="19" fillId="0" borderId="0" xfId="0" applyNumberFormat="1" applyFont="1" applyBorder="1"/>
    <xf numFmtId="0" fontId="19" fillId="19" borderId="10" xfId="0" applyFont="1" applyFill="1" applyBorder="1" applyAlignment="1">
      <alignment horizontal="center"/>
    </xf>
    <xf numFmtId="1" fontId="19" fillId="19" borderId="11" xfId="0" applyNumberFormat="1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"/>
    </xf>
    <xf numFmtId="0" fontId="0" fillId="0" borderId="0" xfId="0" applyNumberFormat="1"/>
    <xf numFmtId="1" fontId="0" fillId="0" borderId="0" xfId="0" applyNumberFormat="1"/>
    <xf numFmtId="0" fontId="19" fillId="0" borderId="10" xfId="0" applyFont="1" applyBorder="1" applyAlignment="1">
      <alignment horizontal="center"/>
    </xf>
    <xf numFmtId="1" fontId="19" fillId="0" borderId="11" xfId="0" applyNumberFormat="1" applyFont="1" applyBorder="1"/>
    <xf numFmtId="0" fontId="19" fillId="0" borderId="12" xfId="0" applyFont="1" applyBorder="1"/>
    <xf numFmtId="0" fontId="0" fillId="0" borderId="0" xfId="0" applyBorder="1"/>
    <xf numFmtId="0" fontId="22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ont="1" applyFill="1" applyBorder="1" applyAlignment="1"/>
    <xf numFmtId="0" fontId="19" fillId="0" borderId="10" xfId="0" applyFont="1" applyFill="1" applyBorder="1" applyAlignment="1">
      <alignment horizontal="center"/>
    </xf>
    <xf numFmtId="0" fontId="26" fillId="20" borderId="0" xfId="32" applyFont="1" applyFill="1" applyBorder="1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left"/>
    </xf>
    <xf numFmtId="164" fontId="0" fillId="0" borderId="0" xfId="0" applyNumberFormat="1" applyAlignment="1" applyProtection="1">
      <alignment horizontal="center"/>
      <protection hidden="1"/>
    </xf>
    <xf numFmtId="0" fontId="28" fillId="0" borderId="0" xfId="0" applyFont="1" applyAlignment="1">
      <alignment horizontal="center"/>
    </xf>
    <xf numFmtId="0" fontId="0" fillId="21" borderId="0" xfId="0" applyFill="1"/>
    <xf numFmtId="0" fontId="21" fillId="0" borderId="0" xfId="0" applyFont="1" applyBorder="1" applyAlignment="1"/>
    <xf numFmtId="0" fontId="29" fillId="20" borderId="0" xfId="32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29" fillId="0" borderId="0" xfId="32" applyFont="1" applyBorder="1" applyAlignment="1">
      <alignment horizontal="center"/>
    </xf>
    <xf numFmtId="0" fontId="30" fillId="0" borderId="0" xfId="0" applyFont="1" applyAlignment="1">
      <alignment horizontal="left"/>
    </xf>
    <xf numFmtId="0" fontId="31" fillId="0" borderId="0" xfId="33" applyFont="1" applyBorder="1" applyAlignment="1">
      <alignment horizontal="left"/>
    </xf>
    <xf numFmtId="0" fontId="31" fillId="21" borderId="0" xfId="33" applyFont="1" applyFill="1" applyBorder="1" applyAlignment="1">
      <alignment horizontal="center"/>
    </xf>
    <xf numFmtId="0" fontId="31" fillId="0" borderId="0" xfId="33" applyFont="1" applyFill="1" applyBorder="1" applyAlignment="1">
      <alignment horizontal="center"/>
    </xf>
    <xf numFmtId="0" fontId="31" fillId="0" borderId="0" xfId="33" applyFont="1" applyFill="1" applyBorder="1" applyAlignment="1"/>
    <xf numFmtId="0" fontId="29" fillId="20" borderId="0" xfId="32" applyFont="1" applyFill="1" applyBorder="1" applyAlignment="1">
      <alignment horizontal="left"/>
    </xf>
    <xf numFmtId="0" fontId="29" fillId="0" borderId="0" xfId="32" applyFont="1" applyFill="1" applyBorder="1" applyAlignment="1">
      <alignment horizontal="center"/>
    </xf>
    <xf numFmtId="0" fontId="21" fillId="0" borderId="0" xfId="0" applyFont="1" applyFill="1" applyBorder="1"/>
    <xf numFmtId="0" fontId="32" fillId="0" borderId="13" xfId="0" applyFont="1" applyFill="1" applyBorder="1" applyAlignment="1">
      <alignment horizontal="center" vertical="top" wrapText="1"/>
    </xf>
    <xf numFmtId="0" fontId="0" fillId="21" borderId="0" xfId="0" applyNumberFormat="1" applyFill="1"/>
    <xf numFmtId="1" fontId="21" fillId="21" borderId="0" xfId="0" applyNumberFormat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3" fillId="20" borderId="13" xfId="0" applyFont="1" applyFill="1" applyBorder="1" applyAlignment="1">
      <alignment horizontal="center" vertical="top" wrapText="1"/>
    </xf>
    <xf numFmtId="0" fontId="0" fillId="0" borderId="0" xfId="0" applyFill="1" applyAlignment="1">
      <alignment wrapText="1"/>
    </xf>
    <xf numFmtId="0" fontId="29" fillId="0" borderId="0" xfId="32" applyFont="1" applyFill="1" applyBorder="1" applyAlignment="1">
      <alignment horizontal="center" wrapText="1"/>
    </xf>
    <xf numFmtId="0" fontId="21" fillId="21" borderId="0" xfId="0" applyFont="1" applyFill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 applyFill="1" applyAlignment="1">
      <alignment wrapText="1"/>
    </xf>
    <xf numFmtId="0" fontId="5" fillId="0" borderId="0" xfId="30" applyAlignment="1">
      <alignment wrapText="1"/>
    </xf>
    <xf numFmtId="0" fontId="5" fillId="0" borderId="0" xfId="30"/>
    <xf numFmtId="0" fontId="5" fillId="0" borderId="0" xfId="30" applyBorder="1" applyAlignment="1"/>
    <xf numFmtId="0" fontId="5" fillId="0" borderId="0" xfId="30" applyAlignment="1">
      <alignment horizontal="left"/>
    </xf>
    <xf numFmtId="0" fontId="5" fillId="0" borderId="0" xfId="30" applyBorder="1" applyAlignment="1">
      <alignment horizontal="left"/>
    </xf>
    <xf numFmtId="0" fontId="5" fillId="0" borderId="0" xfId="30" applyFill="1" applyBorder="1" applyAlignment="1">
      <alignment horizontal="left"/>
    </xf>
    <xf numFmtId="0" fontId="5" fillId="0" borderId="0" xfId="30" applyFill="1" applyAlignment="1">
      <alignment horizontal="left"/>
    </xf>
    <xf numFmtId="0" fontId="38" fillId="0" borderId="0" xfId="33" applyFont="1" applyFill="1" applyBorder="1" applyAlignment="1">
      <alignment horizontal="center"/>
    </xf>
    <xf numFmtId="0" fontId="29" fillId="0" borderId="0" xfId="32" applyFont="1" applyFill="1" applyBorder="1" applyAlignment="1"/>
    <xf numFmtId="0" fontId="40" fillId="0" borderId="0" xfId="30" applyFont="1" applyAlignment="1">
      <alignment horizontal="center"/>
    </xf>
    <xf numFmtId="0" fontId="40" fillId="0" borderId="0" xfId="30" applyFont="1" applyAlignment="1">
      <alignment horizontal="center" wrapText="1"/>
    </xf>
    <xf numFmtId="0" fontId="0" fillId="0" borderId="0" xfId="0" applyNumberFormat="1" applyFill="1"/>
    <xf numFmtId="0" fontId="7" fillId="0" borderId="4" xfId="32" applyAlignment="1">
      <alignment horizontal="center"/>
    </xf>
    <xf numFmtId="0" fontId="5" fillId="0" borderId="0" xfId="30"/>
    <xf numFmtId="0" fontId="5" fillId="0" borderId="0" xfId="30" applyFill="1" applyBorder="1"/>
    <xf numFmtId="0" fontId="35" fillId="0" borderId="0" xfId="0" applyFont="1" applyAlignment="1">
      <alignment horizontal="center" wrapText="1"/>
    </xf>
    <xf numFmtId="0" fontId="34" fillId="0" borderId="3" xfId="29" applyNumberFormat="1" applyFont="1" applyFill="1" applyBorder="1" applyAlignment="1" applyProtection="1">
      <alignment horizontal="center" wrapText="1"/>
    </xf>
    <xf numFmtId="165" fontId="34" fillId="0" borderId="3" xfId="29" applyNumberFormat="1" applyFont="1" applyFill="1" applyBorder="1" applyAlignment="1" applyProtection="1">
      <alignment horizontal="center" wrapText="1"/>
    </xf>
    <xf numFmtId="0" fontId="25" fillId="20" borderId="0" xfId="0" applyFont="1" applyFill="1" applyAlignment="1">
      <alignment horizontal="center"/>
    </xf>
    <xf numFmtId="0" fontId="5" fillId="0" borderId="0" xfId="30" applyAlignment="1">
      <alignment horizontal="left" vertical="center" wrapText="1"/>
    </xf>
    <xf numFmtId="0" fontId="5" fillId="0" borderId="0" xfId="30" applyFill="1" applyBorder="1" applyAlignment="1">
      <alignment wrapText="1"/>
    </xf>
    <xf numFmtId="0" fontId="5" fillId="0" borderId="0" xfId="30" applyAlignment="1">
      <alignment horizontal="center" wrapText="1"/>
    </xf>
    <xf numFmtId="0" fontId="39" fillId="0" borderId="0" xfId="35" applyFont="1" applyAlignment="1">
      <alignment horizontal="center" vertical="center"/>
    </xf>
    <xf numFmtId="0" fontId="29" fillId="20" borderId="0" xfId="32" applyFont="1" applyFill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" xfId="28"/>
    <cellStyle name="Excel_BuiltIn_Heading 1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9</xdr:row>
      <xdr:rowOff>133350</xdr:rowOff>
    </xdr:from>
    <xdr:to>
      <xdr:col>7</xdr:col>
      <xdr:colOff>790575</xdr:colOff>
      <xdr:row>10</xdr:row>
      <xdr:rowOff>19050</xdr:rowOff>
    </xdr:to>
    <xdr:cxnSp macro="">
      <xdr:nvCxnSpPr>
        <xdr:cNvPr id="4" name="Straight Arrow Connector 3"/>
        <xdr:cNvCxnSpPr/>
      </xdr:nvCxnSpPr>
      <xdr:spPr bwMode="auto">
        <a:xfrm flipV="1">
          <a:off x="7591425" y="2266950"/>
          <a:ext cx="742950" cy="1238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workbookViewId="0">
      <selection activeCell="J5" sqref="J5"/>
    </sheetView>
  </sheetViews>
  <sheetFormatPr defaultRowHeight="15" x14ac:dyDescent="0.25"/>
  <cols>
    <col min="2" max="6" width="11.28515625" customWidth="1"/>
  </cols>
  <sheetData>
    <row r="2" spans="1:6" ht="20.25" thickBot="1" x14ac:dyDescent="0.35">
      <c r="C2" s="63" t="s">
        <v>47</v>
      </c>
      <c r="D2" s="63"/>
      <c r="E2" s="63"/>
    </row>
    <row r="3" spans="1:6" ht="15.75" thickTop="1" x14ac:dyDescent="0.25"/>
    <row r="4" spans="1:6" x14ac:dyDescent="0.25">
      <c r="A4" s="52">
        <v>1</v>
      </c>
      <c r="B4" s="64" t="s">
        <v>59</v>
      </c>
      <c r="C4" s="64"/>
      <c r="D4" s="64"/>
      <c r="E4" s="64"/>
      <c r="F4" s="64"/>
    </row>
    <row r="5" spans="1:6" x14ac:dyDescent="0.25">
      <c r="A5" s="52">
        <v>2</v>
      </c>
      <c r="B5" s="64" t="s">
        <v>58</v>
      </c>
      <c r="C5" s="64"/>
      <c r="D5" s="64"/>
      <c r="E5" s="64"/>
      <c r="F5" s="64"/>
    </row>
    <row r="6" spans="1:6" x14ac:dyDescent="0.25">
      <c r="A6" s="52">
        <v>3</v>
      </c>
      <c r="B6" s="64" t="s">
        <v>60</v>
      </c>
      <c r="C6" s="64"/>
      <c r="D6" s="64"/>
      <c r="E6" s="64"/>
      <c r="F6" s="64"/>
    </row>
    <row r="7" spans="1:6" x14ac:dyDescent="0.25">
      <c r="A7" s="52">
        <v>4</v>
      </c>
      <c r="B7" s="65" t="s">
        <v>61</v>
      </c>
      <c r="C7" s="65"/>
      <c r="D7" s="65"/>
      <c r="E7" s="65"/>
      <c r="F7" s="65"/>
    </row>
    <row r="8" spans="1:6" x14ac:dyDescent="0.25">
      <c r="A8" s="52">
        <v>5</v>
      </c>
      <c r="B8" s="65" t="s">
        <v>62</v>
      </c>
      <c r="C8" s="65"/>
      <c r="D8" s="65"/>
      <c r="E8" s="65"/>
      <c r="F8" s="65"/>
    </row>
    <row r="9" spans="1:6" x14ac:dyDescent="0.25">
      <c r="A9" s="52">
        <v>6</v>
      </c>
      <c r="B9" s="65" t="s">
        <v>63</v>
      </c>
      <c r="C9" s="65"/>
      <c r="D9" s="65"/>
      <c r="E9" s="65"/>
      <c r="F9" s="65"/>
    </row>
  </sheetData>
  <mergeCells count="7">
    <mergeCell ref="B8:F8"/>
    <mergeCell ref="B9:F9"/>
    <mergeCell ref="C2:E2"/>
    <mergeCell ref="B4:F4"/>
    <mergeCell ref="B5:F5"/>
    <mergeCell ref="B6:F6"/>
    <mergeCell ref="B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5:Q12"/>
  <sheetViews>
    <sheetView zoomScaleNormal="100" workbookViewId="0">
      <selection activeCell="M11" sqref="M11"/>
    </sheetView>
  </sheetViews>
  <sheetFormatPr defaultColWidth="11.28515625" defaultRowHeight="15" x14ac:dyDescent="0.25"/>
  <cols>
    <col min="1" max="6" width="11.28515625" style="43"/>
    <col min="7" max="7" width="15.5703125" style="43" customWidth="1"/>
    <col min="8" max="10" width="11.28515625" style="43"/>
    <col min="11" max="11" width="3.85546875" style="43" customWidth="1"/>
    <col min="12" max="13" width="11.28515625" style="43"/>
    <col min="14" max="14" width="41.7109375" style="51" customWidth="1"/>
    <col min="15" max="16384" width="11.28515625" style="43"/>
  </cols>
  <sheetData>
    <row r="5" spans="2:17" ht="19.5" x14ac:dyDescent="0.3">
      <c r="B5" s="67" t="s">
        <v>0</v>
      </c>
      <c r="C5" s="67"/>
      <c r="D5" s="67"/>
      <c r="E5" s="67"/>
      <c r="G5" s="67" t="s">
        <v>1</v>
      </c>
      <c r="H5" s="67"/>
      <c r="I5" s="67"/>
      <c r="J5" s="67"/>
      <c r="L5" s="66" t="s">
        <v>41</v>
      </c>
      <c r="M5" s="66"/>
      <c r="Q5" s="43">
        <v>5</v>
      </c>
    </row>
    <row r="6" spans="2:17" ht="19.5" x14ac:dyDescent="0.3">
      <c r="B6" s="67" t="s">
        <v>2</v>
      </c>
      <c r="C6" s="67"/>
      <c r="D6" s="67"/>
      <c r="E6" s="67"/>
      <c r="G6" s="67">
        <f>4+5</f>
        <v>9</v>
      </c>
      <c r="H6" s="67"/>
      <c r="I6" s="67"/>
      <c r="J6" s="67"/>
      <c r="Q6" s="43">
        <v>7</v>
      </c>
    </row>
    <row r="7" spans="2:17" ht="19.5" x14ac:dyDescent="0.3">
      <c r="B7" s="67" t="s">
        <v>3</v>
      </c>
      <c r="C7" s="67"/>
      <c r="D7" s="67"/>
      <c r="E7" s="67"/>
      <c r="G7" s="67">
        <f>6-3</f>
        <v>3</v>
      </c>
      <c r="H7" s="67"/>
      <c r="I7" s="67"/>
      <c r="J7" s="67"/>
      <c r="L7" s="44">
        <v>1</v>
      </c>
      <c r="M7" s="44">
        <v>4</v>
      </c>
    </row>
    <row r="8" spans="2:17" ht="19.5" x14ac:dyDescent="0.3">
      <c r="B8" s="67" t="s">
        <v>4</v>
      </c>
      <c r="C8" s="67"/>
      <c r="D8" s="67"/>
      <c r="E8" s="67"/>
      <c r="G8" s="67">
        <f>8*9</f>
        <v>72</v>
      </c>
      <c r="H8" s="67"/>
      <c r="I8" s="67"/>
      <c r="J8" s="67"/>
      <c r="L8" s="44">
        <v>2</v>
      </c>
      <c r="M8" s="44">
        <v>5</v>
      </c>
    </row>
    <row r="9" spans="2:17" ht="19.5" x14ac:dyDescent="0.3">
      <c r="B9" s="67" t="s">
        <v>5</v>
      </c>
      <c r="C9" s="67"/>
      <c r="D9" s="67"/>
      <c r="E9" s="67"/>
      <c r="G9" s="68">
        <f>G8/G6</f>
        <v>8</v>
      </c>
      <c r="H9" s="68"/>
      <c r="I9" s="68"/>
      <c r="J9" s="68"/>
      <c r="L9" s="44">
        <v>3</v>
      </c>
      <c r="M9" s="44">
        <v>6</v>
      </c>
    </row>
    <row r="10" spans="2:17" ht="19.5" x14ac:dyDescent="0.3">
      <c r="B10" s="67" t="s">
        <v>6</v>
      </c>
      <c r="C10" s="67"/>
      <c r="D10" s="67"/>
      <c r="E10" s="67"/>
      <c r="G10" s="67">
        <f>5^3</f>
        <v>125</v>
      </c>
      <c r="H10" s="67"/>
      <c r="I10" s="67"/>
      <c r="J10" s="67"/>
      <c r="L10" s="44"/>
      <c r="M10" s="44"/>
    </row>
    <row r="11" spans="2:17" ht="30" x14ac:dyDescent="0.25">
      <c r="L11" s="44" t="s">
        <v>38</v>
      </c>
      <c r="M11" s="44">
        <f>L8+M8</f>
        <v>7</v>
      </c>
      <c r="N11" s="51" t="s">
        <v>39</v>
      </c>
    </row>
    <row r="12" spans="2:17" ht="66" customHeight="1" x14ac:dyDescent="0.25">
      <c r="L12" s="44"/>
      <c r="M12" s="44">
        <f>L9+M9</f>
        <v>9</v>
      </c>
      <c r="N12" s="51" t="s">
        <v>40</v>
      </c>
    </row>
  </sheetData>
  <mergeCells count="13">
    <mergeCell ref="B10:E10"/>
    <mergeCell ref="G10:J10"/>
    <mergeCell ref="B5:E5"/>
    <mergeCell ref="G5:J5"/>
    <mergeCell ref="B6:E6"/>
    <mergeCell ref="G6:J6"/>
    <mergeCell ref="B7:E7"/>
    <mergeCell ref="G7:J7"/>
    <mergeCell ref="L5:M5"/>
    <mergeCell ref="B8:E8"/>
    <mergeCell ref="G8:J8"/>
    <mergeCell ref="B9:E9"/>
    <mergeCell ref="G9:J9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"/>
  <sheetViews>
    <sheetView zoomScaleNormal="100" workbookViewId="0">
      <selection activeCell="D19" sqref="D19"/>
    </sheetView>
  </sheetViews>
  <sheetFormatPr defaultColWidth="11.28515625" defaultRowHeight="15" x14ac:dyDescent="0.25"/>
  <cols>
    <col min="1" max="1" width="13" customWidth="1"/>
    <col min="3" max="3" width="12.42578125" customWidth="1"/>
    <col min="4" max="4" width="17.28515625" customWidth="1"/>
    <col min="5" max="5" width="19.7109375" customWidth="1"/>
    <col min="6" max="6" width="24.28515625" customWidth="1"/>
    <col min="7" max="7" width="15.140625" customWidth="1"/>
    <col min="8" max="8" width="12.5703125" customWidth="1"/>
    <col min="13" max="13" width="13.85546875" customWidth="1"/>
  </cols>
  <sheetData>
    <row r="1" spans="1:14" ht="19.5" x14ac:dyDescent="0.3">
      <c r="A1" s="37" t="s">
        <v>34</v>
      </c>
      <c r="B1" s="21"/>
      <c r="C1" s="21"/>
      <c r="D1" s="21"/>
      <c r="E1" s="21"/>
      <c r="F1" s="21"/>
      <c r="G1" s="21"/>
      <c r="H1" s="1"/>
      <c r="I1" s="1"/>
      <c r="J1" s="2"/>
      <c r="K1" s="1"/>
      <c r="L1" s="1"/>
      <c r="M1" s="1"/>
      <c r="N1" s="3"/>
    </row>
    <row r="3" spans="1:14" ht="21" x14ac:dyDescent="0.35">
      <c r="B3" s="69" t="s">
        <v>7</v>
      </c>
      <c r="C3" s="69"/>
      <c r="D3" s="4"/>
      <c r="F3" s="69" t="s">
        <v>35</v>
      </c>
      <c r="G3" s="69"/>
      <c r="H3" s="27"/>
      <c r="I3" s="5"/>
      <c r="J3" s="5"/>
    </row>
    <row r="4" spans="1:14" ht="18.75" x14ac:dyDescent="0.3">
      <c r="B4" s="6"/>
      <c r="C4" s="7"/>
      <c r="D4" s="6"/>
    </row>
    <row r="5" spans="1:14" ht="18.75" x14ac:dyDescent="0.3">
      <c r="B5" s="8" t="s">
        <v>8</v>
      </c>
      <c r="C5" s="9" t="s">
        <v>9</v>
      </c>
      <c r="D5" s="10"/>
      <c r="F5" s="39" t="s">
        <v>10</v>
      </c>
      <c r="G5" s="42">
        <f>AVERAGE(C6:C105)</f>
        <v>10079</v>
      </c>
      <c r="H5" s="12"/>
      <c r="I5" s="12"/>
    </row>
    <row r="6" spans="1:14" ht="18.75" x14ac:dyDescent="0.3">
      <c r="B6" s="13">
        <v>1</v>
      </c>
      <c r="C6" s="14">
        <v>10500</v>
      </c>
      <c r="D6" s="15"/>
      <c r="F6" s="39" t="s">
        <v>11</v>
      </c>
      <c r="G6" s="42">
        <f>MEDIAN(C6,C105)</f>
        <v>10750</v>
      </c>
      <c r="I6" s="12"/>
      <c r="J6" s="11"/>
    </row>
    <row r="7" spans="1:14" ht="18.75" x14ac:dyDescent="0.3">
      <c r="B7" s="13">
        <v>2</v>
      </c>
      <c r="C7" s="14">
        <v>11000</v>
      </c>
      <c r="D7" s="15"/>
      <c r="F7" s="39" t="s">
        <v>12</v>
      </c>
      <c r="G7" s="42">
        <f>MODE(C6:C105)</f>
        <v>10000</v>
      </c>
    </row>
    <row r="8" spans="1:14" ht="18.75" x14ac:dyDescent="0.3">
      <c r="B8" s="13">
        <v>3</v>
      </c>
      <c r="C8" s="14">
        <v>9000</v>
      </c>
      <c r="D8" s="15"/>
      <c r="G8" s="11"/>
      <c r="J8" s="11"/>
    </row>
    <row r="9" spans="1:14" ht="18.75" x14ac:dyDescent="0.3">
      <c r="B9" s="13">
        <v>4</v>
      </c>
      <c r="C9" s="14">
        <v>9500</v>
      </c>
      <c r="D9" s="15"/>
    </row>
    <row r="10" spans="1:14" ht="18.75" x14ac:dyDescent="0.3">
      <c r="B10" s="13">
        <v>5</v>
      </c>
      <c r="C10" s="14">
        <v>9500</v>
      </c>
      <c r="D10" s="15"/>
      <c r="F10" s="39" t="s">
        <v>36</v>
      </c>
      <c r="G10" s="26">
        <f>_xlfn.STDEV.P(C6:C105)</f>
        <v>1024.6262733309154</v>
      </c>
      <c r="H10" s="62"/>
      <c r="I10" s="70" t="s">
        <v>57</v>
      </c>
      <c r="J10" s="70"/>
      <c r="K10" s="70"/>
      <c r="L10" s="70"/>
      <c r="M10" s="70"/>
    </row>
    <row r="11" spans="1:14" ht="18.75" x14ac:dyDescent="0.3">
      <c r="B11" s="13">
        <v>6</v>
      </c>
      <c r="C11" s="14">
        <v>10500</v>
      </c>
      <c r="D11" s="15"/>
      <c r="F11" s="39" t="s">
        <v>37</v>
      </c>
      <c r="G11" s="41">
        <f>_xlfn.VAR.P(C6:C105)</f>
        <v>1049859</v>
      </c>
      <c r="I11" s="70"/>
      <c r="J11" s="70"/>
      <c r="K11" s="70"/>
      <c r="L11" s="70"/>
      <c r="M11" s="70"/>
    </row>
    <row r="12" spans="1:14" ht="18.75" x14ac:dyDescent="0.3">
      <c r="B12" s="13">
        <v>7</v>
      </c>
      <c r="C12" s="14">
        <v>11000</v>
      </c>
      <c r="D12" s="15"/>
      <c r="G12" s="11"/>
      <c r="J12" s="11"/>
    </row>
    <row r="13" spans="1:14" ht="18.75" x14ac:dyDescent="0.3">
      <c r="B13" s="13">
        <v>8</v>
      </c>
      <c r="C13" s="14">
        <v>10500</v>
      </c>
      <c r="D13" s="15"/>
      <c r="F13" s="16"/>
      <c r="G13" s="16"/>
      <c r="J13" s="11"/>
    </row>
    <row r="14" spans="1:14" ht="18.75" x14ac:dyDescent="0.3">
      <c r="B14" s="13">
        <v>9</v>
      </c>
      <c r="C14" s="14">
        <v>10000</v>
      </c>
      <c r="D14" s="15"/>
      <c r="F14" s="17"/>
      <c r="G14" s="17"/>
      <c r="J14" s="11"/>
    </row>
    <row r="15" spans="1:14" ht="18.75" x14ac:dyDescent="0.3">
      <c r="B15" s="13">
        <v>10</v>
      </c>
      <c r="C15" s="14">
        <v>11000</v>
      </c>
      <c r="D15" s="15"/>
      <c r="F15" s="18"/>
      <c r="G15" s="18"/>
      <c r="J15" s="11"/>
    </row>
    <row r="16" spans="1:14" ht="18.75" x14ac:dyDescent="0.3">
      <c r="B16" s="13">
        <v>11</v>
      </c>
      <c r="C16" s="14">
        <v>9500</v>
      </c>
      <c r="D16" s="15"/>
      <c r="F16" s="18"/>
      <c r="G16" s="18"/>
      <c r="J16" s="11"/>
    </row>
    <row r="17" spans="2:10" ht="18.75" x14ac:dyDescent="0.3">
      <c r="B17" s="13">
        <v>12</v>
      </c>
      <c r="C17" s="14">
        <v>11000</v>
      </c>
      <c r="D17" s="15"/>
      <c r="F17" s="18"/>
      <c r="G17" s="18"/>
      <c r="J17" s="11"/>
    </row>
    <row r="18" spans="2:10" ht="18.75" x14ac:dyDescent="0.3">
      <c r="B18" s="13">
        <v>13</v>
      </c>
      <c r="C18" s="14">
        <v>9000</v>
      </c>
      <c r="D18" s="15"/>
      <c r="F18" s="18"/>
      <c r="G18" s="18"/>
      <c r="J18" s="11"/>
    </row>
    <row r="19" spans="2:10" ht="18.75" x14ac:dyDescent="0.3">
      <c r="B19" s="13">
        <v>14</v>
      </c>
      <c r="C19" s="14">
        <v>9500</v>
      </c>
      <c r="D19" s="15"/>
      <c r="F19" s="18"/>
      <c r="G19" s="18"/>
      <c r="J19" s="11"/>
    </row>
    <row r="20" spans="2:10" ht="18.75" x14ac:dyDescent="0.3">
      <c r="B20" s="13">
        <v>15</v>
      </c>
      <c r="C20" s="14">
        <v>9500</v>
      </c>
      <c r="D20" s="15"/>
      <c r="F20" s="18"/>
      <c r="G20" s="18"/>
      <c r="J20" s="11"/>
    </row>
    <row r="21" spans="2:10" ht="18.75" x14ac:dyDescent="0.3">
      <c r="B21" s="13">
        <v>16</v>
      </c>
      <c r="C21" s="14">
        <v>7500</v>
      </c>
      <c r="D21" s="15"/>
      <c r="F21" s="18"/>
      <c r="G21" s="18"/>
      <c r="J21" s="11"/>
    </row>
    <row r="22" spans="2:10" ht="18.75" x14ac:dyDescent="0.3">
      <c r="B22" s="13">
        <v>17</v>
      </c>
      <c r="C22" s="14">
        <v>9000</v>
      </c>
      <c r="D22" s="15"/>
      <c r="F22" s="18"/>
      <c r="G22" s="18"/>
      <c r="J22" s="11"/>
    </row>
    <row r="23" spans="2:10" ht="18.75" x14ac:dyDescent="0.3">
      <c r="B23" s="13">
        <v>18</v>
      </c>
      <c r="C23" s="14">
        <v>10000</v>
      </c>
      <c r="D23" s="15"/>
      <c r="F23" s="18"/>
      <c r="G23" s="18"/>
      <c r="J23" s="11"/>
    </row>
    <row r="24" spans="2:10" ht="18.75" x14ac:dyDescent="0.3">
      <c r="B24" s="13">
        <v>19</v>
      </c>
      <c r="C24" s="14">
        <v>9400</v>
      </c>
      <c r="D24" s="15"/>
      <c r="F24" s="18"/>
      <c r="G24" s="18"/>
    </row>
    <row r="25" spans="2:10" ht="18.75" x14ac:dyDescent="0.3">
      <c r="B25" s="13">
        <v>20</v>
      </c>
      <c r="C25" s="14">
        <v>11000</v>
      </c>
      <c r="D25" s="15"/>
      <c r="F25" s="19"/>
      <c r="G25" s="19"/>
    </row>
    <row r="26" spans="2:10" ht="18.75" x14ac:dyDescent="0.3">
      <c r="B26" s="20">
        <v>21</v>
      </c>
      <c r="C26" s="14">
        <v>9500</v>
      </c>
      <c r="D26" s="15"/>
      <c r="F26" s="16"/>
      <c r="G26" s="16"/>
    </row>
    <row r="27" spans="2:10" ht="18.75" x14ac:dyDescent="0.3">
      <c r="B27" s="13">
        <v>22</v>
      </c>
      <c r="C27" s="14">
        <v>10500</v>
      </c>
      <c r="D27" s="15"/>
    </row>
    <row r="28" spans="2:10" ht="18.75" x14ac:dyDescent="0.3">
      <c r="B28" s="13">
        <v>23</v>
      </c>
      <c r="C28" s="14">
        <v>9500</v>
      </c>
      <c r="D28" s="15"/>
    </row>
    <row r="29" spans="2:10" ht="18.75" x14ac:dyDescent="0.3">
      <c r="B29" s="13">
        <v>24</v>
      </c>
      <c r="C29" s="14">
        <v>9000</v>
      </c>
      <c r="D29" s="15"/>
    </row>
    <row r="30" spans="2:10" ht="18.75" x14ac:dyDescent="0.3">
      <c r="B30" s="13">
        <v>25</v>
      </c>
      <c r="C30" s="14">
        <v>11000</v>
      </c>
      <c r="D30" s="15"/>
    </row>
    <row r="31" spans="2:10" ht="18.75" x14ac:dyDescent="0.3">
      <c r="B31" s="13">
        <v>26</v>
      </c>
      <c r="C31" s="14">
        <v>10500</v>
      </c>
      <c r="D31" s="15"/>
    </row>
    <row r="32" spans="2:10" ht="18.75" x14ac:dyDescent="0.3">
      <c r="B32" s="13">
        <v>27</v>
      </c>
      <c r="C32" s="14">
        <v>9000</v>
      </c>
      <c r="D32" s="15"/>
    </row>
    <row r="33" spans="2:4" ht="18.75" x14ac:dyDescent="0.3">
      <c r="B33" s="13">
        <v>28</v>
      </c>
      <c r="C33" s="14">
        <v>10000</v>
      </c>
      <c r="D33" s="15"/>
    </row>
    <row r="34" spans="2:4" ht="18.75" x14ac:dyDescent="0.3">
      <c r="B34" s="13">
        <v>29</v>
      </c>
      <c r="C34" s="14">
        <v>10000</v>
      </c>
      <c r="D34" s="15"/>
    </row>
    <row r="35" spans="2:4" ht="18.75" x14ac:dyDescent="0.3">
      <c r="B35" s="13">
        <v>30</v>
      </c>
      <c r="C35" s="14">
        <v>9500</v>
      </c>
      <c r="D35" s="15"/>
    </row>
    <row r="36" spans="2:4" ht="18.75" x14ac:dyDescent="0.3">
      <c r="B36" s="13">
        <v>31</v>
      </c>
      <c r="C36" s="14">
        <v>9000</v>
      </c>
      <c r="D36" s="15"/>
    </row>
    <row r="37" spans="2:4" ht="18.75" x14ac:dyDescent="0.3">
      <c r="B37" s="13">
        <v>32</v>
      </c>
      <c r="C37" s="14">
        <v>10500</v>
      </c>
      <c r="D37" s="15"/>
    </row>
    <row r="38" spans="2:4" ht="18.75" x14ac:dyDescent="0.3">
      <c r="B38" s="13">
        <v>33</v>
      </c>
      <c r="C38" s="14">
        <v>11000</v>
      </c>
      <c r="D38" s="15"/>
    </row>
    <row r="39" spans="2:4" ht="18.75" x14ac:dyDescent="0.3">
      <c r="B39" s="13">
        <v>34</v>
      </c>
      <c r="C39" s="14">
        <v>9500</v>
      </c>
      <c r="D39" s="15"/>
    </row>
    <row r="40" spans="2:4" ht="18.75" x14ac:dyDescent="0.3">
      <c r="B40" s="13">
        <v>35</v>
      </c>
      <c r="C40" s="14">
        <v>11500</v>
      </c>
      <c r="D40" s="15"/>
    </row>
    <row r="41" spans="2:4" ht="18.75" x14ac:dyDescent="0.3">
      <c r="B41" s="13">
        <v>36</v>
      </c>
      <c r="C41" s="14">
        <v>10000</v>
      </c>
      <c r="D41" s="15"/>
    </row>
    <row r="42" spans="2:4" ht="18.75" x14ac:dyDescent="0.3">
      <c r="B42" s="13">
        <v>37</v>
      </c>
      <c r="C42" s="14">
        <v>11000</v>
      </c>
      <c r="D42" s="15"/>
    </row>
    <row r="43" spans="2:4" ht="18.75" x14ac:dyDescent="0.3">
      <c r="B43" s="13">
        <v>38</v>
      </c>
      <c r="C43" s="14">
        <v>9500</v>
      </c>
      <c r="D43" s="15"/>
    </row>
    <row r="44" spans="2:4" ht="18.75" x14ac:dyDescent="0.3">
      <c r="B44" s="13">
        <v>39</v>
      </c>
      <c r="C44" s="14">
        <v>10500</v>
      </c>
      <c r="D44" s="15"/>
    </row>
    <row r="45" spans="2:4" ht="18.75" x14ac:dyDescent="0.3">
      <c r="B45" s="13">
        <v>40</v>
      </c>
      <c r="C45" s="14">
        <v>8000</v>
      </c>
      <c r="D45" s="15"/>
    </row>
    <row r="46" spans="2:4" ht="18.75" x14ac:dyDescent="0.3">
      <c r="B46" s="13">
        <v>41</v>
      </c>
      <c r="C46" s="14">
        <v>12500</v>
      </c>
      <c r="D46" s="15"/>
    </row>
    <row r="47" spans="2:4" ht="18.75" x14ac:dyDescent="0.3">
      <c r="B47" s="13">
        <v>42</v>
      </c>
      <c r="C47" s="14">
        <v>10000</v>
      </c>
      <c r="D47" s="15"/>
    </row>
    <row r="48" spans="2:4" ht="18.75" x14ac:dyDescent="0.3">
      <c r="B48" s="13">
        <v>43</v>
      </c>
      <c r="C48" s="14">
        <v>10500</v>
      </c>
      <c r="D48" s="15"/>
    </row>
    <row r="49" spans="2:4" ht="18.75" x14ac:dyDescent="0.3">
      <c r="B49" s="13">
        <v>44</v>
      </c>
      <c r="C49" s="14">
        <v>11500</v>
      </c>
      <c r="D49" s="15"/>
    </row>
    <row r="50" spans="2:4" ht="18.75" x14ac:dyDescent="0.3">
      <c r="B50" s="13">
        <v>45</v>
      </c>
      <c r="C50" s="14">
        <v>11000</v>
      </c>
      <c r="D50" s="15"/>
    </row>
    <row r="51" spans="2:4" ht="18.75" x14ac:dyDescent="0.3">
      <c r="B51" s="13">
        <v>46</v>
      </c>
      <c r="C51" s="14">
        <v>9000</v>
      </c>
      <c r="D51" s="15"/>
    </row>
    <row r="52" spans="2:4" ht="18.75" x14ac:dyDescent="0.3">
      <c r="B52" s="13">
        <v>47</v>
      </c>
      <c r="C52" s="14">
        <v>9500</v>
      </c>
      <c r="D52" s="15"/>
    </row>
    <row r="53" spans="2:4" ht="18.75" x14ac:dyDescent="0.3">
      <c r="B53" s="13">
        <v>48</v>
      </c>
      <c r="C53" s="14">
        <v>9500</v>
      </c>
      <c r="D53" s="15"/>
    </row>
    <row r="54" spans="2:4" ht="18.75" x14ac:dyDescent="0.3">
      <c r="B54" s="13">
        <v>49</v>
      </c>
      <c r="C54" s="14">
        <v>10500</v>
      </c>
      <c r="D54" s="15"/>
    </row>
    <row r="55" spans="2:4" ht="18.75" x14ac:dyDescent="0.3">
      <c r="B55" s="13">
        <v>50</v>
      </c>
      <c r="C55" s="14">
        <v>10000</v>
      </c>
      <c r="D55" s="15"/>
    </row>
    <row r="56" spans="2:4" ht="18.75" x14ac:dyDescent="0.3">
      <c r="B56" s="13">
        <v>51</v>
      </c>
      <c r="C56" s="14">
        <v>10000</v>
      </c>
      <c r="D56" s="15"/>
    </row>
    <row r="57" spans="2:4" ht="18.75" x14ac:dyDescent="0.3">
      <c r="B57" s="13">
        <v>52</v>
      </c>
      <c r="C57" s="14">
        <v>12000</v>
      </c>
      <c r="D57" s="15"/>
    </row>
    <row r="58" spans="2:4" ht="18.75" x14ac:dyDescent="0.3">
      <c r="B58" s="13">
        <v>53</v>
      </c>
      <c r="C58" s="14">
        <v>12000</v>
      </c>
      <c r="D58" s="15"/>
    </row>
    <row r="59" spans="2:4" ht="18.75" x14ac:dyDescent="0.3">
      <c r="B59" s="13">
        <v>54</v>
      </c>
      <c r="C59" s="14">
        <v>12500</v>
      </c>
      <c r="D59" s="15"/>
    </row>
    <row r="60" spans="2:4" ht="18.75" x14ac:dyDescent="0.3">
      <c r="B60" s="13">
        <v>55</v>
      </c>
      <c r="C60" s="14">
        <v>11000</v>
      </c>
      <c r="D60" s="15"/>
    </row>
    <row r="61" spans="2:4" ht="18.75" x14ac:dyDescent="0.3">
      <c r="B61" s="13">
        <v>56</v>
      </c>
      <c r="C61" s="14">
        <v>9000</v>
      </c>
      <c r="D61" s="15"/>
    </row>
    <row r="62" spans="2:4" ht="18.75" x14ac:dyDescent="0.3">
      <c r="B62" s="13">
        <v>57</v>
      </c>
      <c r="C62" s="14">
        <v>8000</v>
      </c>
      <c r="D62" s="15"/>
    </row>
    <row r="63" spans="2:4" ht="18.75" x14ac:dyDescent="0.3">
      <c r="B63" s="13">
        <v>58</v>
      </c>
      <c r="C63" s="14">
        <v>9000</v>
      </c>
      <c r="D63" s="15"/>
    </row>
    <row r="64" spans="2:4" ht="18.75" x14ac:dyDescent="0.3">
      <c r="B64" s="13">
        <v>59</v>
      </c>
      <c r="C64" s="14">
        <v>10500</v>
      </c>
      <c r="D64" s="15"/>
    </row>
    <row r="65" spans="2:4" ht="18.75" x14ac:dyDescent="0.3">
      <c r="B65" s="13">
        <v>60</v>
      </c>
      <c r="C65" s="14">
        <v>10000</v>
      </c>
      <c r="D65" s="15"/>
    </row>
    <row r="66" spans="2:4" ht="18.75" x14ac:dyDescent="0.3">
      <c r="B66" s="13">
        <v>61</v>
      </c>
      <c r="C66" s="14">
        <v>10000</v>
      </c>
      <c r="D66" s="15"/>
    </row>
    <row r="67" spans="2:4" ht="18.75" x14ac:dyDescent="0.3">
      <c r="B67" s="13">
        <v>62</v>
      </c>
      <c r="C67" s="14">
        <v>10000</v>
      </c>
      <c r="D67" s="15"/>
    </row>
    <row r="68" spans="2:4" ht="18.75" x14ac:dyDescent="0.3">
      <c r="B68" s="13">
        <v>63</v>
      </c>
      <c r="C68" s="14">
        <v>11500</v>
      </c>
      <c r="D68" s="15"/>
    </row>
    <row r="69" spans="2:4" ht="18.75" x14ac:dyDescent="0.3">
      <c r="B69" s="13">
        <v>64</v>
      </c>
      <c r="C69" s="14">
        <v>11000</v>
      </c>
      <c r="D69" s="15"/>
    </row>
    <row r="70" spans="2:4" ht="18.75" x14ac:dyDescent="0.3">
      <c r="B70" s="13">
        <v>65</v>
      </c>
      <c r="C70" s="14">
        <v>10000</v>
      </c>
      <c r="D70" s="15"/>
    </row>
    <row r="71" spans="2:4" ht="18.75" x14ac:dyDescent="0.3">
      <c r="B71" s="13">
        <v>66</v>
      </c>
      <c r="C71" s="14">
        <v>10500</v>
      </c>
      <c r="D71" s="15"/>
    </row>
    <row r="72" spans="2:4" ht="18.75" x14ac:dyDescent="0.3">
      <c r="B72" s="13">
        <v>67</v>
      </c>
      <c r="C72" s="14">
        <v>12000</v>
      </c>
      <c r="D72" s="15"/>
    </row>
    <row r="73" spans="2:4" ht="18.75" x14ac:dyDescent="0.3">
      <c r="B73" s="13">
        <v>68</v>
      </c>
      <c r="C73" s="14">
        <v>10000</v>
      </c>
      <c r="D73" s="15"/>
    </row>
    <row r="74" spans="2:4" ht="18.75" x14ac:dyDescent="0.3">
      <c r="B74" s="13">
        <v>69</v>
      </c>
      <c r="C74" s="14">
        <v>7000</v>
      </c>
      <c r="D74" s="15"/>
    </row>
    <row r="75" spans="2:4" ht="18.75" x14ac:dyDescent="0.3">
      <c r="B75" s="13">
        <v>70</v>
      </c>
      <c r="C75" s="14">
        <v>11000</v>
      </c>
      <c r="D75" s="15"/>
    </row>
    <row r="76" spans="2:4" ht="18.75" x14ac:dyDescent="0.3">
      <c r="B76" s="13">
        <v>71</v>
      </c>
      <c r="C76" s="14">
        <v>7000</v>
      </c>
      <c r="D76" s="15"/>
    </row>
    <row r="77" spans="2:4" ht="18.75" x14ac:dyDescent="0.3">
      <c r="B77" s="13">
        <v>72</v>
      </c>
      <c r="C77" s="14">
        <v>10000</v>
      </c>
      <c r="D77" s="15"/>
    </row>
    <row r="78" spans="2:4" ht="18.75" x14ac:dyDescent="0.3">
      <c r="B78" s="13">
        <v>73</v>
      </c>
      <c r="C78" s="14">
        <v>10000</v>
      </c>
      <c r="D78" s="15"/>
    </row>
    <row r="79" spans="2:4" ht="18.75" x14ac:dyDescent="0.3">
      <c r="B79" s="13">
        <v>74</v>
      </c>
      <c r="C79" s="14">
        <v>9500</v>
      </c>
      <c r="D79" s="15"/>
    </row>
    <row r="80" spans="2:4" ht="18.75" x14ac:dyDescent="0.3">
      <c r="B80" s="13">
        <v>75</v>
      </c>
      <c r="C80" s="14">
        <v>9000</v>
      </c>
      <c r="D80" s="15"/>
    </row>
    <row r="81" spans="2:4" ht="18.75" x14ac:dyDescent="0.3">
      <c r="B81" s="13">
        <v>76</v>
      </c>
      <c r="C81" s="14">
        <v>10500</v>
      </c>
      <c r="D81" s="15"/>
    </row>
    <row r="82" spans="2:4" ht="18.75" x14ac:dyDescent="0.3">
      <c r="B82" s="13">
        <v>77</v>
      </c>
      <c r="C82" s="14">
        <v>11500</v>
      </c>
      <c r="D82" s="15"/>
    </row>
    <row r="83" spans="2:4" ht="18.75" x14ac:dyDescent="0.3">
      <c r="B83" s="13">
        <v>78</v>
      </c>
      <c r="C83" s="14">
        <v>10500</v>
      </c>
      <c r="D83" s="15"/>
    </row>
    <row r="84" spans="2:4" ht="18.75" x14ac:dyDescent="0.3">
      <c r="B84" s="13">
        <v>79</v>
      </c>
      <c r="C84" s="14">
        <v>10500</v>
      </c>
      <c r="D84" s="15"/>
    </row>
    <row r="85" spans="2:4" ht="18.75" x14ac:dyDescent="0.3">
      <c r="B85" s="13">
        <v>80</v>
      </c>
      <c r="C85" s="14">
        <v>10000</v>
      </c>
      <c r="D85" s="15"/>
    </row>
    <row r="86" spans="2:4" ht="18.75" x14ac:dyDescent="0.3">
      <c r="B86" s="13">
        <v>81</v>
      </c>
      <c r="C86" s="14">
        <v>11000</v>
      </c>
      <c r="D86" s="15"/>
    </row>
    <row r="87" spans="2:4" ht="18.75" x14ac:dyDescent="0.3">
      <c r="B87" s="13">
        <v>82</v>
      </c>
      <c r="C87" s="14">
        <v>10500</v>
      </c>
      <c r="D87" s="15"/>
    </row>
    <row r="88" spans="2:4" ht="18.75" x14ac:dyDescent="0.3">
      <c r="B88" s="13">
        <v>83</v>
      </c>
      <c r="C88" s="14">
        <v>8000</v>
      </c>
      <c r="D88" s="15"/>
    </row>
    <row r="89" spans="2:4" ht="18.75" x14ac:dyDescent="0.3">
      <c r="B89" s="13">
        <v>84</v>
      </c>
      <c r="C89" s="14">
        <v>10500</v>
      </c>
      <c r="D89" s="15"/>
    </row>
    <row r="90" spans="2:4" ht="18.75" x14ac:dyDescent="0.3">
      <c r="B90" s="13">
        <v>85</v>
      </c>
      <c r="C90" s="14">
        <v>10500</v>
      </c>
      <c r="D90" s="15"/>
    </row>
    <row r="91" spans="2:4" ht="18.75" x14ac:dyDescent="0.3">
      <c r="B91" s="13">
        <v>86</v>
      </c>
      <c r="C91" s="14">
        <v>10000</v>
      </c>
      <c r="D91" s="15"/>
    </row>
    <row r="92" spans="2:4" ht="18.75" x14ac:dyDescent="0.3">
      <c r="B92" s="13">
        <v>87</v>
      </c>
      <c r="C92" s="14">
        <v>10000</v>
      </c>
      <c r="D92" s="15"/>
    </row>
    <row r="93" spans="2:4" ht="18.75" x14ac:dyDescent="0.3">
      <c r="B93" s="13">
        <v>88</v>
      </c>
      <c r="C93" s="14">
        <v>10000</v>
      </c>
      <c r="D93" s="15"/>
    </row>
    <row r="94" spans="2:4" ht="18.75" x14ac:dyDescent="0.3">
      <c r="B94" s="13">
        <v>89</v>
      </c>
      <c r="C94" s="14">
        <v>10000</v>
      </c>
      <c r="D94" s="15"/>
    </row>
    <row r="95" spans="2:4" ht="18.75" x14ac:dyDescent="0.3">
      <c r="B95" s="13">
        <v>90</v>
      </c>
      <c r="C95" s="14">
        <v>10000</v>
      </c>
      <c r="D95" s="15"/>
    </row>
    <row r="96" spans="2:4" ht="18.75" x14ac:dyDescent="0.3">
      <c r="B96" s="13">
        <v>91</v>
      </c>
      <c r="C96" s="14">
        <v>10500</v>
      </c>
      <c r="D96" s="15"/>
    </row>
    <row r="97" spans="2:4" ht="18.75" x14ac:dyDescent="0.3">
      <c r="B97" s="13">
        <v>92</v>
      </c>
      <c r="C97" s="14">
        <v>9000</v>
      </c>
      <c r="D97" s="15"/>
    </row>
    <row r="98" spans="2:4" ht="18.75" x14ac:dyDescent="0.3">
      <c r="B98" s="13">
        <v>93</v>
      </c>
      <c r="C98" s="14">
        <v>10500</v>
      </c>
      <c r="D98" s="15"/>
    </row>
    <row r="99" spans="2:4" ht="18.75" x14ac:dyDescent="0.3">
      <c r="B99" s="13">
        <v>94</v>
      </c>
      <c r="C99" s="14">
        <v>10500</v>
      </c>
      <c r="D99" s="15"/>
    </row>
    <row r="100" spans="2:4" ht="18.75" x14ac:dyDescent="0.3">
      <c r="B100" s="13">
        <v>95</v>
      </c>
      <c r="C100" s="14">
        <v>9000</v>
      </c>
      <c r="D100" s="15"/>
    </row>
    <row r="101" spans="2:4" ht="18.75" x14ac:dyDescent="0.3">
      <c r="B101" s="13">
        <v>96</v>
      </c>
      <c r="C101" s="14">
        <v>10000</v>
      </c>
      <c r="D101" s="15"/>
    </row>
    <row r="102" spans="2:4" ht="18.75" x14ac:dyDescent="0.3">
      <c r="B102" s="13">
        <v>97</v>
      </c>
      <c r="C102" s="14">
        <v>9500</v>
      </c>
      <c r="D102" s="15"/>
    </row>
    <row r="103" spans="2:4" ht="18.75" x14ac:dyDescent="0.3">
      <c r="B103" s="13">
        <v>98</v>
      </c>
      <c r="C103" s="14">
        <v>11000</v>
      </c>
      <c r="D103" s="15"/>
    </row>
    <row r="104" spans="2:4" ht="18.75" x14ac:dyDescent="0.3">
      <c r="B104" s="13">
        <v>99</v>
      </c>
      <c r="C104" s="14">
        <v>10000</v>
      </c>
      <c r="D104" s="15"/>
    </row>
    <row r="105" spans="2:4" ht="18.75" x14ac:dyDescent="0.3">
      <c r="B105" s="20">
        <v>100</v>
      </c>
      <c r="C105" s="14">
        <v>11000</v>
      </c>
      <c r="D105" s="15"/>
    </row>
  </sheetData>
  <mergeCells count="3">
    <mergeCell ref="B3:C3"/>
    <mergeCell ref="F3:G3"/>
    <mergeCell ref="I10:M11"/>
  </mergeCells>
  <pageMargins left="0.7" right="0.7" top="0.75" bottom="0.75" header="0.51180555555555551" footer="0.51180555555555551"/>
  <pageSetup firstPageNumber="0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>
      <selection activeCell="G10" sqref="G10"/>
    </sheetView>
  </sheetViews>
  <sheetFormatPr defaultRowHeight="15" x14ac:dyDescent="0.25"/>
  <cols>
    <col min="1" max="1" width="15.85546875" style="43" customWidth="1"/>
    <col min="2" max="2" width="9.140625" style="43"/>
    <col min="3" max="3" width="14.85546875" style="43" customWidth="1"/>
    <col min="4" max="4" width="12.28515625" style="43" customWidth="1"/>
    <col min="5" max="5" width="14.42578125" style="43" customWidth="1"/>
    <col min="6" max="6" width="15.140625" style="43" customWidth="1"/>
    <col min="7" max="7" width="14.42578125" style="43" customWidth="1"/>
    <col min="8" max="8" width="9.140625" style="43"/>
    <col min="9" max="9" width="77.28515625" style="51" customWidth="1"/>
    <col min="10" max="16384" width="9.140625" style="43"/>
  </cols>
  <sheetData>
    <row r="2" spans="1:9" ht="20.25" x14ac:dyDescent="0.25">
      <c r="C2" s="45" t="s">
        <v>28</v>
      </c>
      <c r="D2" s="45" t="s">
        <v>29</v>
      </c>
      <c r="E2" s="45" t="s">
        <v>30</v>
      </c>
      <c r="F2" s="45" t="s">
        <v>31</v>
      </c>
      <c r="G2" s="45" t="s">
        <v>33</v>
      </c>
    </row>
    <row r="3" spans="1:9" ht="20.25" x14ac:dyDescent="0.25">
      <c r="C3" s="40">
        <v>5</v>
      </c>
      <c r="D3" s="40">
        <v>5</v>
      </c>
      <c r="E3" s="40">
        <v>5</v>
      </c>
      <c r="F3" s="40">
        <v>5</v>
      </c>
      <c r="G3" s="40" t="b">
        <v>1</v>
      </c>
    </row>
    <row r="4" spans="1:9" ht="20.25" x14ac:dyDescent="0.25">
      <c r="C4" s="40">
        <v>13</v>
      </c>
      <c r="D4" s="40"/>
      <c r="E4" s="40">
        <v>0</v>
      </c>
      <c r="F4" s="40" t="s">
        <v>32</v>
      </c>
      <c r="G4" s="40" t="b">
        <v>1</v>
      </c>
    </row>
    <row r="5" spans="1:9" ht="20.25" x14ac:dyDescent="0.25">
      <c r="C5" s="40">
        <v>15</v>
      </c>
      <c r="D5" s="40">
        <v>15</v>
      </c>
      <c r="E5" s="40">
        <v>15</v>
      </c>
      <c r="F5" s="40">
        <v>15</v>
      </c>
      <c r="G5" s="40" t="b">
        <v>0</v>
      </c>
      <c r="I5" s="61" t="s">
        <v>52</v>
      </c>
    </row>
    <row r="6" spans="1:9" x14ac:dyDescent="0.25">
      <c r="C6" s="46"/>
      <c r="D6" s="46"/>
      <c r="E6" s="46"/>
      <c r="F6" s="46"/>
      <c r="G6" s="46"/>
    </row>
    <row r="7" spans="1:9" ht="19.5" x14ac:dyDescent="0.3">
      <c r="A7" s="47" t="s">
        <v>13</v>
      </c>
      <c r="C7" s="48">
        <f>AVERAGE(C3:C5)</f>
        <v>11</v>
      </c>
      <c r="D7" s="48">
        <f>AVERAGE(D3:D5)</f>
        <v>10</v>
      </c>
      <c r="E7" s="48">
        <f>AVERAGE(E3:E5)</f>
        <v>6.666666666666667</v>
      </c>
      <c r="F7" s="48">
        <f>AVERAGE(F3:F5)</f>
        <v>10</v>
      </c>
      <c r="G7" s="48" t="e">
        <f>AVERAGE(G3:G5)</f>
        <v>#DIV/0!</v>
      </c>
      <c r="I7" s="51" t="s">
        <v>46</v>
      </c>
    </row>
    <row r="8" spans="1:9" ht="30.75" x14ac:dyDescent="0.3">
      <c r="A8" s="47"/>
      <c r="C8" s="49"/>
      <c r="D8" s="49"/>
      <c r="E8" s="49"/>
      <c r="F8" s="49"/>
      <c r="G8" s="49"/>
      <c r="I8" s="51" t="s">
        <v>45</v>
      </c>
    </row>
    <row r="9" spans="1:9" ht="19.5" x14ac:dyDescent="0.3">
      <c r="A9" s="47"/>
      <c r="C9" s="49"/>
      <c r="D9" s="49"/>
      <c r="E9" s="49"/>
      <c r="F9" s="49"/>
      <c r="G9" s="49"/>
    </row>
    <row r="10" spans="1:9" ht="19.5" x14ac:dyDescent="0.3">
      <c r="A10" s="47" t="s">
        <v>14</v>
      </c>
      <c r="C10" s="48">
        <f>AVERAGEA(C3:C5)</f>
        <v>11</v>
      </c>
      <c r="D10" s="48">
        <f>AVERAGEA(D3:D5)</f>
        <v>10</v>
      </c>
      <c r="E10" s="48">
        <f>AVERAGEA(E3:E5)</f>
        <v>6.666666666666667</v>
      </c>
      <c r="F10" s="48">
        <f>AVERAGEA(F3:F5)</f>
        <v>6.666666666666667</v>
      </c>
      <c r="G10" s="48">
        <f>AVERAGEA(G3:G5)</f>
        <v>0.66666666666666663</v>
      </c>
      <c r="H10" s="50"/>
      <c r="I10" s="51" t="s">
        <v>44</v>
      </c>
    </row>
    <row r="11" spans="1:9" ht="30" x14ac:dyDescent="0.25">
      <c r="I11" s="51" t="s">
        <v>42</v>
      </c>
    </row>
    <row r="12" spans="1:9" x14ac:dyDescent="0.25">
      <c r="I12" s="51" t="s">
        <v>43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1001"/>
  <sheetViews>
    <sheetView tabSelected="1" zoomScaleNormal="100" workbookViewId="0">
      <selection activeCell="D13" sqref="D13"/>
    </sheetView>
  </sheetViews>
  <sheetFormatPr defaultRowHeight="15" x14ac:dyDescent="0.25"/>
  <cols>
    <col min="1" max="1" width="12.7109375" style="22" customWidth="1"/>
    <col min="2" max="2" width="18" style="22" bestFit="1" customWidth="1"/>
    <col min="4" max="4" width="18.140625" style="22" bestFit="1" customWidth="1"/>
    <col min="5" max="5" width="9.85546875" style="22" bestFit="1" customWidth="1"/>
    <col min="8" max="8" width="11.7109375" customWidth="1"/>
    <col min="9" max="9" width="51.7109375" style="54" customWidth="1"/>
    <col min="10" max="11" width="9.140625" customWidth="1"/>
  </cols>
  <sheetData>
    <row r="2" spans="1:15" ht="19.5" x14ac:dyDescent="0.3">
      <c r="A2" s="28" t="s">
        <v>15</v>
      </c>
      <c r="B2" s="28" t="s">
        <v>16</v>
      </c>
      <c r="C2" s="29"/>
      <c r="D2" s="30"/>
      <c r="E2" s="30"/>
      <c r="F2" s="29"/>
      <c r="G2" s="29"/>
      <c r="H2" s="29"/>
    </row>
    <row r="3" spans="1:15" ht="19.5" x14ac:dyDescent="0.3">
      <c r="A3" s="31" t="s">
        <v>17</v>
      </c>
      <c r="B3" s="31">
        <v>1378</v>
      </c>
      <c r="C3" s="29"/>
      <c r="D3" s="74" t="s">
        <v>18</v>
      </c>
      <c r="E3" s="74"/>
      <c r="F3" s="29"/>
      <c r="G3" s="29"/>
      <c r="H3" s="29"/>
      <c r="I3" s="60" t="s">
        <v>52</v>
      </c>
      <c r="K3" s="31"/>
    </row>
    <row r="4" spans="1:15" ht="19.5" x14ac:dyDescent="0.3">
      <c r="A4" s="31" t="s">
        <v>19</v>
      </c>
      <c r="B4" s="31">
        <v>4350</v>
      </c>
      <c r="C4" s="29"/>
      <c r="D4" s="32"/>
      <c r="E4" s="30"/>
      <c r="F4" s="29"/>
      <c r="G4" s="29"/>
      <c r="H4" s="29"/>
      <c r="I4" s="55" t="s">
        <v>48</v>
      </c>
      <c r="J4" s="53"/>
      <c r="K4" s="53"/>
      <c r="L4" s="53"/>
      <c r="M4" s="53"/>
      <c r="N4" s="53"/>
      <c r="O4" s="53"/>
    </row>
    <row r="5" spans="1:15" ht="19.5" x14ac:dyDescent="0.3">
      <c r="A5" s="31" t="s">
        <v>20</v>
      </c>
      <c r="B5" s="31">
        <v>2568</v>
      </c>
      <c r="C5" s="29"/>
      <c r="D5" s="33" t="s">
        <v>21</v>
      </c>
      <c r="E5" s="34">
        <f>SUM(B3:B8)</f>
        <v>12058</v>
      </c>
      <c r="F5" s="35"/>
      <c r="G5" s="35"/>
      <c r="H5" s="35"/>
      <c r="I5" s="56" t="s">
        <v>49</v>
      </c>
      <c r="K5" s="31"/>
      <c r="M5" s="31"/>
    </row>
    <row r="6" spans="1:15" ht="19.5" x14ac:dyDescent="0.3">
      <c r="A6" s="31" t="s">
        <v>22</v>
      </c>
      <c r="B6" s="31">
        <v>1125</v>
      </c>
      <c r="C6" s="29"/>
      <c r="D6" s="23"/>
      <c r="E6" s="30"/>
      <c r="F6" s="29"/>
      <c r="G6" s="29"/>
      <c r="H6" s="29"/>
      <c r="I6" s="57" t="s">
        <v>50</v>
      </c>
      <c r="K6" s="31"/>
      <c r="M6" s="31"/>
    </row>
    <row r="7" spans="1:15" ht="19.5" x14ac:dyDescent="0.3">
      <c r="A7" s="31" t="s">
        <v>23</v>
      </c>
      <c r="B7" s="31">
        <v>987</v>
      </c>
      <c r="C7" s="29"/>
      <c r="D7" s="33" t="s">
        <v>24</v>
      </c>
      <c r="E7" s="34">
        <f>DEL+MUM+KOL+CHE+HDR+BAN</f>
        <v>12058</v>
      </c>
      <c r="F7" s="29"/>
      <c r="G7" s="29"/>
      <c r="H7" s="29"/>
      <c r="I7" s="56" t="s">
        <v>51</v>
      </c>
      <c r="K7" s="31"/>
    </row>
    <row r="8" spans="1:15" ht="19.5" x14ac:dyDescent="0.3">
      <c r="A8" s="31" t="s">
        <v>25</v>
      </c>
      <c r="B8" s="31">
        <v>1650</v>
      </c>
      <c r="C8" s="29"/>
      <c r="D8" s="30"/>
      <c r="E8" s="30"/>
      <c r="F8" s="29"/>
      <c r="G8" s="29"/>
      <c r="H8" s="29"/>
      <c r="J8" s="3"/>
      <c r="K8" s="31"/>
    </row>
    <row r="9" spans="1:15" ht="19.5" x14ac:dyDescent="0.3">
      <c r="A9" s="30"/>
      <c r="B9" s="30"/>
      <c r="C9" s="29"/>
      <c r="D9" s="74" t="s">
        <v>26</v>
      </c>
      <c r="E9" s="74"/>
      <c r="F9" s="59"/>
      <c r="G9" s="38"/>
      <c r="H9" s="38"/>
    </row>
    <row r="10" spans="1:15" x14ac:dyDescent="0.25">
      <c r="A10" s="30"/>
      <c r="B10" s="30"/>
      <c r="C10" s="29"/>
      <c r="D10" s="29"/>
      <c r="E10" s="29"/>
      <c r="F10" s="29"/>
      <c r="G10" s="29"/>
      <c r="H10" s="29"/>
    </row>
    <row r="11" spans="1:15" ht="30" customHeight="1" x14ac:dyDescent="0.3">
      <c r="A11" s="30"/>
      <c r="B11" s="30"/>
      <c r="C11" s="29"/>
      <c r="D11" s="34">
        <f>SUM(A9:A14)</f>
        <v>0</v>
      </c>
      <c r="E11" s="58"/>
      <c r="F11" s="71" t="s">
        <v>53</v>
      </c>
      <c r="G11" s="71"/>
      <c r="H11" s="71"/>
      <c r="I11" s="56"/>
    </row>
    <row r="12" spans="1:15" x14ac:dyDescent="0.25">
      <c r="A12" s="30"/>
      <c r="B12" s="30"/>
      <c r="C12" s="29"/>
      <c r="D12" s="29"/>
      <c r="E12" s="29"/>
      <c r="F12" s="29"/>
      <c r="G12" s="29"/>
      <c r="H12" s="29"/>
    </row>
    <row r="13" spans="1:15" ht="30" customHeight="1" x14ac:dyDescent="0.3">
      <c r="A13" s="30"/>
      <c r="B13" s="30"/>
      <c r="C13" s="29"/>
      <c r="D13" s="34">
        <f>DEL+MUM+KOL+CHE+HDR+BAN</f>
        <v>12058</v>
      </c>
      <c r="E13" s="36"/>
      <c r="F13" s="71" t="s">
        <v>54</v>
      </c>
      <c r="G13" s="71"/>
      <c r="H13" s="71"/>
    </row>
    <row r="16" spans="1:15" x14ac:dyDescent="0.25">
      <c r="A16" s="73" t="s">
        <v>55</v>
      </c>
      <c r="B16" s="72" t="s">
        <v>56</v>
      </c>
      <c r="C16" s="72"/>
      <c r="D16" s="72"/>
      <c r="E16" s="72"/>
      <c r="F16" s="72"/>
      <c r="G16" s="72"/>
      <c r="H16" s="72"/>
      <c r="I16" s="72"/>
    </row>
    <row r="17" spans="1:9" x14ac:dyDescent="0.25">
      <c r="A17" s="73"/>
      <c r="B17" s="72"/>
      <c r="C17" s="72"/>
      <c r="D17" s="72"/>
      <c r="E17" s="72"/>
      <c r="F17" s="72"/>
      <c r="G17" s="72"/>
      <c r="H17" s="72"/>
      <c r="I17" s="72"/>
    </row>
    <row r="20" spans="1:9" x14ac:dyDescent="0.25">
      <c r="A20" s="24"/>
    </row>
    <row r="1001" spans="1:1" x14ac:dyDescent="0.25">
      <c r="A1001" s="25" t="s">
        <v>27</v>
      </c>
    </row>
  </sheetData>
  <mergeCells count="6">
    <mergeCell ref="F11:H11"/>
    <mergeCell ref="F13:H13"/>
    <mergeCell ref="B16:I17"/>
    <mergeCell ref="A16:A17"/>
    <mergeCell ref="D3:E3"/>
    <mergeCell ref="D9:E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Intro</vt:lpstr>
      <vt:lpstr>Desk Calc</vt:lpstr>
      <vt:lpstr>Functions</vt:lpstr>
      <vt:lpstr>Average Vs Averagea</vt:lpstr>
      <vt:lpstr>Naming Cells</vt:lpstr>
      <vt:lpstr>BAN</vt:lpstr>
      <vt:lpstr>CHE</vt:lpstr>
      <vt:lpstr>DEL</vt:lpstr>
      <vt:lpstr>HDR</vt:lpstr>
      <vt:lpstr>KOL</vt:lpstr>
      <vt:lpstr>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 Lata</dc:creator>
  <cp:lastModifiedBy>Kabir Kanha</cp:lastModifiedBy>
  <dcterms:created xsi:type="dcterms:W3CDTF">2016-09-25T06:02:02Z</dcterms:created>
  <dcterms:modified xsi:type="dcterms:W3CDTF">2018-04-24T18:19:32Z</dcterms:modified>
</cp:coreProperties>
</file>