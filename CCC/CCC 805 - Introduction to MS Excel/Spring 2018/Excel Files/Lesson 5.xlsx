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Kabir\College Work\Semester 2\CCC 805\Excel Files\"/>
    </mc:Choice>
  </mc:AlternateContent>
  <bookViews>
    <workbookView xWindow="0" yWindow="0" windowWidth="7470" windowHeight="6930" tabRatio="338" firstSheet="2" activeTab="4"/>
  </bookViews>
  <sheets>
    <sheet name="NPV" sheetId="1" r:id="rId1"/>
    <sheet name="NPV, IRR" sheetId="2" r:id="rId2"/>
    <sheet name="XIRR, XNPV" sheetId="3" r:id="rId3"/>
    <sheet name="Goal Seek" sheetId="4" r:id="rId4"/>
    <sheet name="Cross over rate" sheetId="5" r:id="rId5"/>
  </sheets>
  <definedNames>
    <definedName name="solver_eng" localSheetId="3" hidden="1">1</definedName>
    <definedName name="solver_neg" localSheetId="3" hidden="1">1</definedName>
    <definedName name="solver_num" localSheetId="3" hidden="1">0</definedName>
    <definedName name="solver_opt" localSheetId="3" hidden="1">'Goal Seek'!#REF!</definedName>
    <definedName name="solver_typ" localSheetId="3" hidden="1">1</definedName>
    <definedName name="solver_val" localSheetId="3" hidden="1">0</definedName>
    <definedName name="solver_ver" localSheetId="3" hidden="1">3</definedName>
  </definedNames>
  <calcPr calcId="162913"/>
</workbook>
</file>

<file path=xl/calcChain.xml><?xml version="1.0" encoding="utf-8"?>
<calcChain xmlns="http://schemas.openxmlformats.org/spreadsheetml/2006/main">
  <c r="B17" i="5" l="1"/>
  <c r="E14" i="4"/>
  <c r="F11" i="1"/>
  <c r="F12" i="1"/>
  <c r="F16" i="1"/>
  <c r="F15" i="1"/>
  <c r="F13" i="1" l="1"/>
  <c r="E6" i="4" l="1"/>
  <c r="F14" i="1"/>
  <c r="G18" i="5" l="1"/>
  <c r="G17" i="5"/>
  <c r="G20" i="5" s="1"/>
  <c r="C17" i="5"/>
  <c r="C18" i="5"/>
  <c r="B18" i="5"/>
  <c r="E10" i="3" l="1"/>
  <c r="B22" i="3"/>
  <c r="D20" i="2" l="1"/>
  <c r="B20" i="2"/>
  <c r="D18" i="2"/>
  <c r="B18" i="2"/>
  <c r="B17" i="2"/>
  <c r="D17" i="2"/>
  <c r="D25" i="1"/>
  <c r="D26" i="1"/>
  <c r="D27" i="1"/>
  <c r="D28" i="1"/>
  <c r="D29" i="1"/>
  <c r="D30" i="1"/>
  <c r="D31" i="1"/>
  <c r="D32" i="1"/>
  <c r="D33" i="1"/>
  <c r="D34" i="1"/>
  <c r="D35" i="1"/>
  <c r="D36" i="1"/>
  <c r="D37" i="1"/>
  <c r="D38" i="1"/>
  <c r="D39" i="1"/>
  <c r="D40" i="1"/>
  <c r="D24" i="1"/>
  <c r="E20" i="1"/>
  <c r="E12" i="1"/>
  <c r="E13" i="1"/>
  <c r="E14" i="1"/>
  <c r="E15" i="1"/>
  <c r="E16" i="1"/>
  <c r="E11" i="1"/>
  <c r="E18" i="1" s="1"/>
  <c r="D17" i="1" l="1"/>
  <c r="E9" i="3" l="1"/>
  <c r="E11" i="3"/>
  <c r="E12" i="3"/>
  <c r="E13" i="3"/>
  <c r="E14" i="3"/>
  <c r="E15" i="3"/>
  <c r="E16" i="3"/>
  <c r="E17" i="3"/>
  <c r="E18" i="3"/>
  <c r="E19" i="3"/>
  <c r="F22" i="3" l="1"/>
  <c r="F21" i="3"/>
</calcChain>
</file>

<file path=xl/sharedStrings.xml><?xml version="1.0" encoding="utf-8"?>
<sst xmlns="http://schemas.openxmlformats.org/spreadsheetml/2006/main" count="71" uniqueCount="54">
  <si>
    <t>Interest Rate</t>
  </si>
  <si>
    <t>Year</t>
  </si>
  <si>
    <t>Payment at end of year</t>
  </si>
  <si>
    <t>Present Value</t>
  </si>
  <si>
    <t>Present value of all payments</t>
  </si>
  <si>
    <t>NPV</t>
  </si>
  <si>
    <t>1)</t>
  </si>
  <si>
    <t>2)</t>
  </si>
  <si>
    <t>IRR</t>
  </si>
  <si>
    <t>CHOOSING BETWEEN PROJECTS</t>
  </si>
  <si>
    <t>Interest rate</t>
  </si>
  <si>
    <t>Project A</t>
  </si>
  <si>
    <t>Project B</t>
  </si>
  <si>
    <t>versions of these functions bail you out.</t>
  </si>
  <si>
    <t>USING IRR, XIRR and XNPV Functions</t>
  </si>
  <si>
    <t>Payment</t>
  </si>
  <si>
    <t>Dates</t>
  </si>
  <si>
    <t>XIRR</t>
  </si>
  <si>
    <t>XNPV</t>
  </si>
  <si>
    <t xml:space="preserve">Consider two projects whose cashflows are given below. </t>
  </si>
  <si>
    <t>(a) Find the NPV at the market rate of 5% and IRR of the two projects?</t>
  </si>
  <si>
    <t>(b) Do the recomendations on the basis of NPV and IRR conflicts?</t>
  </si>
  <si>
    <t>(c) Compute the crossover rate, that is the rate for which NPV of project A is equal to the NPV of project B.</t>
  </si>
  <si>
    <t>(d) For what rates the NPV and IRR recommendations agree?</t>
  </si>
  <si>
    <t xml:space="preserve">There are two projects (A and B) available to you for investment. If the current market rate is 12%, which one will you prefer on the basis of   </t>
  </si>
  <si>
    <t>Root</t>
  </si>
  <si>
    <t>Give the initial value in this cell</t>
  </si>
  <si>
    <t>If you are faced with a general situation where payments occur at unequal intervals, then 'X'</t>
  </si>
  <si>
    <t>Uptil now you have seen that NPV and IRR functions work only when the cash flow occurs at regular intervals.</t>
  </si>
  <si>
    <t>Consider the cash flow given below. The interest rate is 5%. calculate the PV of each payment in the neighbouring cell and find the sum of all PVs.</t>
  </si>
  <si>
    <t>Also calculate NPV by using NPV function and verify that it matches with the sum of all PVs.</t>
  </si>
  <si>
    <t>Rate</t>
  </si>
  <si>
    <t>Find the Crossover Rate using Goal Seek</t>
  </si>
  <si>
    <t>Find the roots of  "x^5+3x^3+2" using GoalSeek tool</t>
  </si>
  <si>
    <t>x^5+3x^3+2</t>
  </si>
  <si>
    <t>NPVA</t>
  </si>
  <si>
    <t>NPVB</t>
  </si>
  <si>
    <t xml:space="preserve">Suppose you want to borrow $200,000. You want to take 170 months to pay off the loan, and you can afford payments of $2000 per month. </t>
  </si>
  <si>
    <r>
      <t>x+5%x=100       =&gt;x=</t>
    </r>
    <r>
      <rPr>
        <i/>
        <vertAlign val="superscript"/>
        <sz val="11"/>
        <color rgb="FF7F7F7F"/>
        <rFont val="Calibri"/>
        <family val="2"/>
        <scheme val="minor"/>
      </rPr>
      <t>100</t>
    </r>
    <r>
      <rPr>
        <i/>
        <sz val="11"/>
        <color rgb="FF7F7F7F"/>
        <rFont val="Calibri"/>
        <family val="2"/>
        <scheme val="minor"/>
      </rPr>
      <t>/</t>
    </r>
    <r>
      <rPr>
        <i/>
        <vertAlign val="subscript"/>
        <sz val="11"/>
        <color rgb="FF7F7F7F"/>
        <rFont val="Calibri"/>
        <family val="2"/>
        <scheme val="minor"/>
      </rPr>
      <t>(1+5%)</t>
    </r>
  </si>
  <si>
    <r>
      <t>x+5%x + (1+5%)(x+5%x)=100       =&gt;x=</t>
    </r>
    <r>
      <rPr>
        <i/>
        <vertAlign val="superscript"/>
        <sz val="11"/>
        <color rgb="FF7F7F7F"/>
        <rFont val="Calibri"/>
        <family val="2"/>
        <scheme val="minor"/>
      </rPr>
      <t>100</t>
    </r>
    <r>
      <rPr>
        <i/>
        <sz val="11"/>
        <color rgb="FF7F7F7F"/>
        <rFont val="Calibri"/>
        <family val="2"/>
        <scheme val="minor"/>
      </rPr>
      <t>/</t>
    </r>
    <r>
      <rPr>
        <i/>
        <vertAlign val="subscript"/>
        <sz val="11"/>
        <color rgb="FF7F7F7F"/>
        <rFont val="Calibri"/>
        <family val="2"/>
        <scheme val="minor"/>
      </rPr>
      <t>(1+5%)2</t>
    </r>
  </si>
  <si>
    <t>This would've had to be invested in the bank.</t>
  </si>
  <si>
    <t>Present value returned by Excel's NPV Function</t>
  </si>
  <si>
    <t>In Project B, the bigger payments come in only at the end, making us lose out on interest that could have been earned. All these factors are included, within the NPV function.</t>
  </si>
  <si>
    <t>IRR gives the equivalent rate of interest depending on the cash flow</t>
  </si>
  <si>
    <t>We use the XIRR function to calculate internal rate of return in the case that the cash flow is not periodic.</t>
  </si>
  <si>
    <t>Loan</t>
  </si>
  <si>
    <t>Monthly EMI</t>
  </si>
  <si>
    <t>Yes</t>
  </si>
  <si>
    <t>Difference</t>
  </si>
  <si>
    <t>Same with XNPV. Also, unlike NPV, here we can start from the initial payment as dates are also given.</t>
  </si>
  <si>
    <t>Not Goal Seek!</t>
  </si>
  <si>
    <t>Further a range of interest rates is given below. Calculate the NPV corresponding to each of these and plot a graph showing how NPV varies with interest rates.</t>
  </si>
  <si>
    <t>Using Function</t>
  </si>
  <si>
    <t>Annual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</si>
</sst>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8" formatCode="&quot;$&quot;#,##0.00_);[Red]\(&quot;$&quot;#,##0.00\)"/>
    <numFmt numFmtId="164" formatCode="&quot;₹&quot;\ #,##0.00;[Red]&quot;₹&quot;\ \-#,##0.00"/>
    <numFmt numFmtId="165" formatCode="d\-mmm\-yy;@"/>
    <numFmt numFmtId="166" formatCode="0.000"/>
    <numFmt numFmtId="167" formatCode="0.0000000000000%"/>
    <numFmt numFmtId="169" formatCode="0.000000000000000000%"/>
    <numFmt numFmtId="170" formatCode="0.0000000000000"/>
    <numFmt numFmtId="171" formatCode="0.0000"/>
    <numFmt numFmtId="172" formatCode="0.000%"/>
    <numFmt numFmtId="173" formatCode="0.0%"/>
  </numFmts>
  <fonts count="16" x14ac:knownFonts="1">
    <font>
      <sz val="11"/>
      <color indexed="8"/>
      <name val="Calibri"/>
      <family val="2"/>
    </font>
    <font>
      <b/>
      <sz val="11"/>
      <color indexed="8"/>
      <name val="Calibri"/>
      <family val="2"/>
    </font>
    <font>
      <sz val="11"/>
      <color indexed="9"/>
      <name val="Calibri"/>
      <family val="2"/>
    </font>
    <font>
      <b/>
      <sz val="15"/>
      <color indexed="56"/>
      <name val="Calibri"/>
      <family val="2"/>
    </font>
    <font>
      <sz val="11"/>
      <color indexed="56"/>
      <name val="Calibri"/>
      <family val="2"/>
    </font>
    <font>
      <sz val="11"/>
      <color indexed="8"/>
      <name val="Calibri"/>
      <family val="2"/>
    </font>
    <font>
      <b/>
      <sz val="14"/>
      <color indexed="56"/>
      <name val="Calibri"/>
      <family val="2"/>
    </font>
    <font>
      <sz val="14"/>
      <color indexed="8"/>
      <name val="Calibri"/>
      <family val="2"/>
    </font>
    <font>
      <b/>
      <sz val="11"/>
      <name val="Calibri"/>
      <family val="2"/>
    </font>
    <font>
      <sz val="11"/>
      <name val="Calibri"/>
      <family val="2"/>
    </font>
    <font>
      <b/>
      <sz val="11"/>
      <color theme="3"/>
      <name val="Calibri"/>
      <family val="2"/>
      <scheme val="minor"/>
    </font>
    <font>
      <sz val="11"/>
      <color rgb="FF9C0006"/>
      <name val="Calibri"/>
      <family val="2"/>
      <scheme val="minor"/>
    </font>
    <font>
      <i/>
      <sz val="11"/>
      <color rgb="FF7F7F7F"/>
      <name val="Calibri"/>
      <family val="2"/>
      <scheme val="minor"/>
    </font>
    <font>
      <i/>
      <vertAlign val="superscript"/>
      <sz val="11"/>
      <color rgb="FF7F7F7F"/>
      <name val="Calibri"/>
      <family val="2"/>
      <scheme val="minor"/>
    </font>
    <font>
      <i/>
      <vertAlign val="subscript"/>
      <sz val="11"/>
      <color rgb="FF7F7F7F"/>
      <name val="Calibri"/>
      <family val="2"/>
      <scheme val="minor"/>
    </font>
    <font>
      <b/>
      <sz val="14"/>
      <color indexed="8"/>
      <name val="Calibri"/>
      <family val="2"/>
    </font>
  </fonts>
  <fills count="20">
    <fill>
      <patternFill patternType="none"/>
    </fill>
    <fill>
      <patternFill patternType="gray125"/>
    </fill>
    <fill>
      <patternFill patternType="solid">
        <fgColor indexed="27"/>
        <bgColor indexed="41"/>
      </patternFill>
    </fill>
    <fill>
      <patternFill patternType="solid">
        <fgColor indexed="44"/>
        <bgColor indexed="31"/>
      </patternFill>
    </fill>
    <fill>
      <patternFill patternType="solid">
        <fgColor indexed="46"/>
        <bgColor indexed="24"/>
      </patternFill>
    </fill>
    <fill>
      <patternFill patternType="solid">
        <fgColor indexed="20"/>
        <bgColor indexed="36"/>
      </patternFill>
    </fill>
    <fill>
      <patternFill patternType="solid">
        <fgColor indexed="13"/>
        <bgColor indexed="34"/>
      </patternFill>
    </fill>
    <fill>
      <patternFill patternType="solid">
        <fgColor indexed="34"/>
        <bgColor indexed="13"/>
      </patternFill>
    </fill>
    <fill>
      <patternFill patternType="solid">
        <fgColor theme="9" tint="0.79998168889431442"/>
        <bgColor indexed="64"/>
      </patternFill>
    </fill>
    <fill>
      <patternFill patternType="solid">
        <fgColor rgb="FFFFFF00"/>
        <bgColor indexed="36"/>
      </patternFill>
    </fill>
    <fill>
      <patternFill patternType="solid">
        <fgColor rgb="FFFFFF00"/>
        <bgColor indexed="2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rgb="FFFFC7CE"/>
      </patternFill>
    </fill>
    <fill>
      <patternFill patternType="solid">
        <fgColor theme="2"/>
        <bgColor indexed="64"/>
      </patternFill>
    </fill>
  </fills>
  <borders count="23">
    <border>
      <left/>
      <right/>
      <top/>
      <bottom/>
      <diagonal/>
    </border>
    <border>
      <left/>
      <right/>
      <top/>
      <bottom style="thick">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2" fillId="5" borderId="0" applyNumberFormat="0" applyBorder="0" applyAlignment="0" applyProtection="0"/>
    <xf numFmtId="0" fontId="3" fillId="0" borderId="1"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18" borderId="0" applyNumberFormat="0" applyBorder="0" applyAlignment="0" applyProtection="0"/>
    <xf numFmtId="0" fontId="12" fillId="0" borderId="0" applyNumberFormat="0" applyFill="0" applyBorder="0" applyAlignment="0" applyProtection="0"/>
  </cellStyleXfs>
  <cellXfs count="134">
    <xf numFmtId="0" fontId="0" fillId="0" borderId="0" xfId="0"/>
    <xf numFmtId="0" fontId="1" fillId="0" borderId="0" xfId="0" applyFont="1" applyBorder="1" applyAlignment="1">
      <alignment horizontal="center"/>
    </xf>
    <xf numFmtId="0" fontId="1" fillId="0" borderId="0" xfId="0" applyFont="1" applyAlignment="1">
      <alignment horizontal="center"/>
    </xf>
    <xf numFmtId="0" fontId="0" fillId="0" borderId="0" xfId="0" applyAlignment="1"/>
    <xf numFmtId="0" fontId="1" fillId="0" borderId="0" xfId="0" applyFont="1"/>
    <xf numFmtId="0" fontId="0" fillId="0" borderId="0" xfId="0" applyFont="1" applyAlignment="1">
      <alignment horizontal="left"/>
    </xf>
    <xf numFmtId="0" fontId="0" fillId="0" borderId="0" xfId="0" applyAlignment="1">
      <alignment horizontal="center"/>
    </xf>
    <xf numFmtId="0" fontId="0" fillId="0" borderId="0" xfId="0" applyAlignment="1">
      <alignment horizontal="right"/>
    </xf>
    <xf numFmtId="9" fontId="0" fillId="0" borderId="0" xfId="0" applyNumberFormat="1" applyAlignment="1">
      <alignment horizontal="center"/>
    </xf>
    <xf numFmtId="0" fontId="1" fillId="0" borderId="0" xfId="0" applyFont="1" applyAlignment="1">
      <alignment horizontal="center" vertical="center"/>
    </xf>
    <xf numFmtId="0" fontId="1" fillId="0" borderId="0" xfId="0" applyFont="1" applyAlignment="1">
      <alignment horizontal="center" wrapText="1"/>
    </xf>
    <xf numFmtId="0" fontId="0" fillId="0" borderId="0" xfId="0" applyFill="1" applyAlignment="1">
      <alignment horizontal="center"/>
    </xf>
    <xf numFmtId="0" fontId="1" fillId="0" borderId="0" xfId="0" applyFont="1" applyAlignment="1">
      <alignment horizontal="left"/>
    </xf>
    <xf numFmtId="2" fontId="0" fillId="6" borderId="0" xfId="0" applyNumberFormat="1" applyFill="1"/>
    <xf numFmtId="10" fontId="0" fillId="6" borderId="0" xfId="0" applyNumberFormat="1" applyFill="1"/>
    <xf numFmtId="0" fontId="0" fillId="3" borderId="0" xfId="2" applyNumberFormat="1" applyFont="1" applyBorder="1" applyAlignment="1" applyProtection="1">
      <alignment horizontal="left"/>
    </xf>
    <xf numFmtId="0" fontId="5" fillId="3" borderId="0" xfId="2" applyNumberFormat="1" applyBorder="1" applyAlignment="1" applyProtection="1">
      <alignment horizontal="center"/>
    </xf>
    <xf numFmtId="9" fontId="5" fillId="3" borderId="0" xfId="2" applyNumberFormat="1" applyBorder="1" applyAlignment="1" applyProtection="1">
      <alignment horizontal="center"/>
    </xf>
    <xf numFmtId="0" fontId="5" fillId="3" borderId="0" xfId="2" applyNumberFormat="1" applyBorder="1" applyAlignment="1" applyProtection="1"/>
    <xf numFmtId="165" fontId="5" fillId="3" borderId="0" xfId="2" applyNumberFormat="1" applyBorder="1" applyAlignment="1" applyProtection="1"/>
    <xf numFmtId="3" fontId="5" fillId="3" borderId="0" xfId="2" applyNumberFormat="1" applyBorder="1" applyAlignment="1" applyProtection="1"/>
    <xf numFmtId="0" fontId="5" fillId="2" borderId="0" xfId="1" applyNumberFormat="1" applyBorder="1" applyAlignment="1" applyProtection="1"/>
    <xf numFmtId="0" fontId="0" fillId="0" borderId="0" xfId="0" applyFont="1"/>
    <xf numFmtId="0" fontId="0" fillId="0" borderId="0" xfId="5" applyNumberFormat="1" applyFont="1" applyFill="1" applyBorder="1" applyAlignment="1" applyProtection="1">
      <alignment horizontal="center"/>
    </xf>
    <xf numFmtId="0" fontId="4" fillId="0" borderId="0" xfId="5" applyNumberFormat="1" applyFont="1" applyFill="1" applyBorder="1" applyAlignment="1" applyProtection="1">
      <alignment horizontal="center"/>
    </xf>
    <xf numFmtId="0" fontId="0" fillId="0" borderId="0" xfId="5" applyNumberFormat="1" applyFont="1" applyFill="1" applyBorder="1" applyAlignment="1" applyProtection="1">
      <alignment horizontal="left"/>
    </xf>
    <xf numFmtId="9" fontId="0" fillId="0" borderId="0" xfId="5" applyNumberFormat="1" applyFont="1" applyFill="1" applyBorder="1" applyAlignment="1" applyProtection="1">
      <alignment horizontal="center"/>
    </xf>
    <xf numFmtId="0" fontId="4" fillId="0" borderId="0" xfId="5" applyNumberFormat="1" applyFont="1" applyFill="1" applyBorder="1" applyAlignment="1" applyProtection="1">
      <alignment horizontal="center" vertical="center" wrapText="1"/>
    </xf>
    <xf numFmtId="0" fontId="0" fillId="0" borderId="0" xfId="5" applyNumberFormat="1" applyFont="1" applyFill="1" applyBorder="1" applyAlignment="1" applyProtection="1"/>
    <xf numFmtId="0" fontId="0" fillId="0" borderId="0" xfId="0" applyFont="1" applyFill="1" applyBorder="1"/>
    <xf numFmtId="0" fontId="0" fillId="0" borderId="0" xfId="5" applyNumberFormat="1" applyFont="1" applyFill="1" applyBorder="1" applyAlignment="1" applyProtection="1">
      <alignment horizontal="center" vertical="center"/>
    </xf>
    <xf numFmtId="2" fontId="0" fillId="0" borderId="0" xfId="0" applyNumberFormat="1" applyFont="1" applyFill="1" applyBorder="1" applyAlignment="1">
      <alignment horizontal="center"/>
    </xf>
    <xf numFmtId="0" fontId="4" fillId="0" borderId="0" xfId="5" applyNumberFormat="1" applyFont="1" applyFill="1" applyBorder="1" applyAlignment="1" applyProtection="1">
      <alignment horizontal="center" vertical="center"/>
    </xf>
    <xf numFmtId="0" fontId="0" fillId="0" borderId="0" xfId="5" applyNumberFormat="1" applyFont="1" applyFill="1" applyBorder="1" applyAlignment="1" applyProtection="1">
      <alignment horizontal="center" vertical="center" wrapText="1"/>
    </xf>
    <xf numFmtId="0" fontId="0" fillId="8" borderId="0" xfId="0" applyFill="1"/>
    <xf numFmtId="0" fontId="1" fillId="8" borderId="0" xfId="0" applyFont="1" applyFill="1" applyAlignment="1">
      <alignment horizontal="center"/>
    </xf>
    <xf numFmtId="0" fontId="1" fillId="8" borderId="0" xfId="0" applyFont="1" applyFill="1"/>
    <xf numFmtId="10" fontId="5" fillId="10" borderId="0" xfId="3" applyNumberFormat="1" applyFill="1" applyBorder="1" applyAlignment="1" applyProtection="1"/>
    <xf numFmtId="0" fontId="6" fillId="12" borderId="0" xfId="5" applyNumberFormat="1" applyFont="1" applyFill="1" applyBorder="1" applyAlignment="1" applyProtection="1">
      <alignment horizontal="center"/>
    </xf>
    <xf numFmtId="2" fontId="0" fillId="6" borderId="0" xfId="0" applyNumberFormat="1" applyFill="1" applyAlignment="1">
      <alignment horizontal="center"/>
    </xf>
    <xf numFmtId="9" fontId="8" fillId="9" borderId="0" xfId="4" applyNumberFormat="1" applyFont="1" applyFill="1" applyBorder="1" applyAlignment="1" applyProtection="1"/>
    <xf numFmtId="166" fontId="4" fillId="11" borderId="2" xfId="5" applyNumberFormat="1" applyFont="1" applyFill="1" applyBorder="1" applyAlignment="1" applyProtection="1">
      <alignment horizontal="center"/>
    </xf>
    <xf numFmtId="166" fontId="0" fillId="11" borderId="2" xfId="0" applyNumberFormat="1" applyFont="1" applyFill="1" applyBorder="1" applyAlignment="1">
      <alignment horizontal="center"/>
    </xf>
    <xf numFmtId="10" fontId="0" fillId="0" borderId="0" xfId="0" applyNumberFormat="1"/>
    <xf numFmtId="2" fontId="0" fillId="0" borderId="0" xfId="0" applyNumberFormat="1"/>
    <xf numFmtId="9" fontId="0" fillId="0" borderId="0" xfId="0" applyNumberFormat="1"/>
    <xf numFmtId="2" fontId="0" fillId="0" borderId="0" xfId="0" applyNumberFormat="1" applyAlignment="1">
      <alignment horizontal="center"/>
    </xf>
    <xf numFmtId="0" fontId="1" fillId="13" borderId="0" xfId="0" applyFont="1" applyFill="1" applyAlignment="1">
      <alignment horizontal="center"/>
    </xf>
    <xf numFmtId="9" fontId="1" fillId="13" borderId="0" xfId="0" applyNumberFormat="1" applyFont="1" applyFill="1" applyAlignment="1">
      <alignment horizontal="center"/>
    </xf>
    <xf numFmtId="164" fontId="0" fillId="0" borderId="0" xfId="0" applyNumberFormat="1" applyAlignment="1">
      <alignment horizontal="center"/>
    </xf>
    <xf numFmtId="14" fontId="5" fillId="3" borderId="0" xfId="2" applyNumberFormat="1" applyBorder="1" applyAlignment="1" applyProtection="1"/>
    <xf numFmtId="164" fontId="0" fillId="0" borderId="0" xfId="0" applyNumberFormat="1"/>
    <xf numFmtId="9" fontId="0" fillId="0" borderId="0" xfId="0" applyNumberFormat="1" applyFont="1"/>
    <xf numFmtId="164" fontId="0" fillId="0" borderId="0" xfId="0" applyNumberFormat="1" applyFont="1"/>
    <xf numFmtId="167" fontId="0" fillId="0" borderId="0" xfId="0" applyNumberFormat="1"/>
    <xf numFmtId="2" fontId="0" fillId="0" borderId="0" xfId="0" applyNumberFormat="1" applyFont="1" applyFill="1" applyBorder="1"/>
    <xf numFmtId="2" fontId="9" fillId="6" borderId="0" xfId="0" applyNumberFormat="1" applyFont="1" applyFill="1"/>
    <xf numFmtId="2" fontId="0" fillId="0" borderId="0" xfId="0" applyNumberFormat="1" applyFill="1"/>
    <xf numFmtId="169" fontId="0" fillId="0" borderId="0" xfId="0" applyNumberFormat="1"/>
    <xf numFmtId="166" fontId="0" fillId="0" borderId="0" xfId="0" applyNumberFormat="1"/>
    <xf numFmtId="0" fontId="0" fillId="0" borderId="0" xfId="0" applyFill="1" applyBorder="1" applyAlignment="1"/>
    <xf numFmtId="0" fontId="1" fillId="7" borderId="3" xfId="0" applyFont="1" applyFill="1" applyBorder="1" applyAlignment="1">
      <alignment horizontal="center"/>
    </xf>
    <xf numFmtId="0" fontId="1" fillId="15" borderId="3" xfId="0" applyFont="1" applyFill="1" applyBorder="1"/>
    <xf numFmtId="2" fontId="0" fillId="15" borderId="3" xfId="0" applyNumberFormat="1" applyFill="1" applyBorder="1"/>
    <xf numFmtId="0" fontId="1" fillId="16" borderId="3" xfId="0" applyFont="1" applyFill="1" applyBorder="1"/>
    <xf numFmtId="0" fontId="0" fillId="0" borderId="0" xfId="0" applyNumberFormat="1" applyFont="1"/>
    <xf numFmtId="170" fontId="0" fillId="0" borderId="0" xfId="0" applyNumberFormat="1"/>
    <xf numFmtId="171" fontId="0" fillId="0" borderId="0" xfId="0" applyNumberFormat="1"/>
    <xf numFmtId="10" fontId="0" fillId="0" borderId="0" xfId="0" applyNumberFormat="1" applyFont="1"/>
    <xf numFmtId="8" fontId="0" fillId="0" borderId="0" xfId="0" applyNumberFormat="1"/>
    <xf numFmtId="0" fontId="1" fillId="0" borderId="0" xfId="0" applyFont="1" applyBorder="1" applyAlignment="1"/>
    <xf numFmtId="0" fontId="11" fillId="18" borderId="0" xfId="8" applyAlignment="1">
      <alignment horizontal="center"/>
    </xf>
    <xf numFmtId="9" fontId="10" fillId="0" borderId="6" xfId="6" applyNumberFormat="1" applyAlignment="1">
      <alignment horizontal="center"/>
    </xf>
    <xf numFmtId="0" fontId="10" fillId="0" borderId="0" xfId="7" applyAlignment="1">
      <alignment horizontal="center"/>
    </xf>
    <xf numFmtId="8" fontId="0" fillId="0" borderId="0" xfId="0" applyNumberFormat="1" applyFont="1" applyFill="1" applyBorder="1"/>
    <xf numFmtId="172" fontId="0" fillId="11" borderId="2" xfId="0" applyNumberFormat="1" applyFont="1" applyFill="1" applyBorder="1" applyAlignment="1">
      <alignment horizontal="center"/>
    </xf>
    <xf numFmtId="10" fontId="0" fillId="16" borderId="3" xfId="0" applyNumberFormat="1" applyFill="1" applyBorder="1"/>
    <xf numFmtId="0" fontId="1" fillId="11" borderId="0" xfId="0" applyFont="1" applyFill="1" applyAlignment="1">
      <alignment horizontal="center"/>
    </xf>
    <xf numFmtId="2" fontId="1" fillId="11" borderId="0" xfId="0" applyNumberFormat="1" applyFont="1" applyFill="1" applyAlignment="1">
      <alignment horizontal="center"/>
    </xf>
    <xf numFmtId="8" fontId="0" fillId="0" borderId="0" xfId="0" applyNumberFormat="1" applyAlignment="1">
      <alignment horizontal="center"/>
    </xf>
    <xf numFmtId="4" fontId="5" fillId="10" borderId="0" xfId="3" applyNumberFormat="1" applyFill="1" applyBorder="1" applyAlignment="1" applyProtection="1"/>
    <xf numFmtId="0" fontId="1" fillId="0" borderId="0" xfId="0" applyFont="1" applyBorder="1" applyAlignment="1">
      <alignment horizontal="center"/>
    </xf>
    <xf numFmtId="0" fontId="5" fillId="2" borderId="0" xfId="1" applyNumberFormat="1" applyBorder="1" applyAlignment="1" applyProtection="1">
      <alignment horizontal="center"/>
    </xf>
    <xf numFmtId="0" fontId="0" fillId="19" borderId="3" xfId="0" applyFont="1" applyFill="1" applyBorder="1" applyAlignment="1">
      <alignment horizontal="center"/>
    </xf>
    <xf numFmtId="9" fontId="0" fillId="19" borderId="3" xfId="0" applyNumberFormat="1" applyFill="1" applyBorder="1" applyAlignment="1">
      <alignment horizontal="center"/>
    </xf>
    <xf numFmtId="0" fontId="1" fillId="8" borderId="0" xfId="0" applyFont="1" applyFill="1" applyBorder="1" applyAlignment="1">
      <alignment horizontal="left"/>
    </xf>
    <xf numFmtId="0" fontId="0" fillId="0" borderId="0" xfId="0" applyFont="1" applyBorder="1" applyAlignment="1">
      <alignment horizontal="center"/>
    </xf>
    <xf numFmtId="0" fontId="12" fillId="0" borderId="0" xfId="9" applyAlignment="1">
      <alignment horizontal="center"/>
    </xf>
    <xf numFmtId="0" fontId="0" fillId="0" borderId="0" xfId="0" applyFont="1" applyBorder="1" applyAlignment="1">
      <alignment horizontal="center" wrapText="1"/>
    </xf>
    <xf numFmtId="170" fontId="0" fillId="6" borderId="0" xfId="0" applyNumberFormat="1" applyFill="1" applyAlignment="1">
      <alignment horizontal="center" vertical="center"/>
    </xf>
    <xf numFmtId="0" fontId="12" fillId="0" borderId="0" xfId="9" applyAlignment="1">
      <alignment horizontal="center" wrapText="1"/>
    </xf>
    <xf numFmtId="0" fontId="1" fillId="0" borderId="0" xfId="0" applyFont="1" applyBorder="1" applyAlignment="1">
      <alignment horizontal="center"/>
    </xf>
    <xf numFmtId="0" fontId="5" fillId="2" borderId="0" xfId="1" applyNumberFormat="1" applyBorder="1" applyAlignment="1" applyProtection="1">
      <alignment horizontal="center"/>
    </xf>
    <xf numFmtId="0" fontId="0" fillId="14" borderId="0" xfId="0" applyFont="1" applyFill="1" applyBorder="1" applyAlignment="1">
      <alignment horizontal="center" wrapText="1"/>
    </xf>
    <xf numFmtId="0" fontId="7" fillId="8" borderId="0" xfId="5" applyNumberFormat="1" applyFont="1" applyFill="1" applyBorder="1" applyAlignment="1" applyProtection="1">
      <alignment horizontal="center"/>
    </xf>
    <xf numFmtId="0" fontId="12" fillId="0" borderId="7" xfId="9" applyFill="1" applyBorder="1" applyAlignment="1">
      <alignment horizontal="center"/>
    </xf>
    <xf numFmtId="0" fontId="12" fillId="0" borderId="0" xfId="9" applyFill="1" applyBorder="1" applyAlignment="1">
      <alignment horizontal="center"/>
    </xf>
    <xf numFmtId="164" fontId="1" fillId="17" borderId="4" xfId="0" applyNumberFormat="1" applyFont="1" applyFill="1" applyBorder="1" applyAlignment="1">
      <alignment horizontal="center"/>
    </xf>
    <xf numFmtId="164" fontId="1" fillId="17" borderId="5" xfId="0" applyNumberFormat="1" applyFont="1" applyFill="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9" fontId="0" fillId="0" borderId="10" xfId="0" applyNumberFormat="1" applyBorder="1" applyAlignment="1">
      <alignment horizontal="center"/>
    </xf>
    <xf numFmtId="2" fontId="0" fillId="6" borderId="11" xfId="0" applyNumberFormat="1" applyFill="1" applyBorder="1" applyAlignment="1">
      <alignment horizontal="center"/>
    </xf>
    <xf numFmtId="9" fontId="0" fillId="0" borderId="12" xfId="0" applyNumberFormat="1" applyBorder="1" applyAlignment="1">
      <alignment horizontal="center"/>
    </xf>
    <xf numFmtId="2" fontId="0" fillId="6" borderId="13" xfId="0" applyNumberFormat="1" applyFill="1" applyBorder="1" applyAlignment="1">
      <alignment horizontal="center"/>
    </xf>
    <xf numFmtId="173" fontId="0" fillId="0" borderId="0" xfId="0" applyNumberFormat="1"/>
    <xf numFmtId="0" fontId="0" fillId="0" borderId="0" xfId="0" applyFill="1" applyBorder="1"/>
    <xf numFmtId="0" fontId="0" fillId="0" borderId="0" xfId="0" applyBorder="1"/>
    <xf numFmtId="9" fontId="1" fillId="0" borderId="0" xfId="0" applyNumberFormat="1" applyFont="1" applyBorder="1" applyAlignment="1">
      <alignment horizontal="center"/>
    </xf>
    <xf numFmtId="14" fontId="0" fillId="0" borderId="0" xfId="0" applyNumberFormat="1" applyBorder="1"/>
    <xf numFmtId="10" fontId="0" fillId="0" borderId="0" xfId="0" applyNumberFormat="1" applyBorder="1"/>
    <xf numFmtId="1" fontId="0" fillId="0" borderId="0" xfId="0" applyNumberFormat="1" applyBorder="1"/>
    <xf numFmtId="0" fontId="12" fillId="0" borderId="0" xfId="9" applyBorder="1" applyAlignment="1">
      <alignment horizontal="left"/>
    </xf>
    <xf numFmtId="0" fontId="1" fillId="8" borderId="14" xfId="0" applyFont="1" applyFill="1" applyBorder="1"/>
    <xf numFmtId="0" fontId="15" fillId="0" borderId="0" xfId="0" applyFont="1" applyBorder="1" applyAlignment="1">
      <alignment horizontal="center"/>
    </xf>
    <xf numFmtId="0" fontId="1" fillId="8" borderId="15" xfId="0" applyFont="1" applyFill="1" applyBorder="1"/>
    <xf numFmtId="0" fontId="1" fillId="8" borderId="16" xfId="0" applyFont="1" applyFill="1" applyBorder="1"/>
    <xf numFmtId="0" fontId="0" fillId="0" borderId="16" xfId="0" applyFill="1" applyBorder="1"/>
    <xf numFmtId="0" fontId="0" fillId="0" borderId="16" xfId="0" applyBorder="1"/>
    <xf numFmtId="0" fontId="0" fillId="0" borderId="17" xfId="0" applyBorder="1"/>
    <xf numFmtId="0" fontId="1" fillId="8" borderId="18" xfId="0" applyFont="1" applyFill="1" applyBorder="1"/>
    <xf numFmtId="0" fontId="0" fillId="0" borderId="19" xfId="0" applyBorder="1"/>
    <xf numFmtId="0" fontId="0" fillId="0" borderId="7" xfId="0" applyBorder="1"/>
    <xf numFmtId="0" fontId="15" fillId="0" borderId="7" xfId="0" applyFont="1" applyBorder="1" applyAlignment="1">
      <alignment horizontal="center"/>
    </xf>
    <xf numFmtId="0" fontId="1" fillId="0" borderId="7" xfId="0" applyFont="1" applyBorder="1" applyAlignment="1">
      <alignment horizontal="center"/>
    </xf>
    <xf numFmtId="0" fontId="5" fillId="2" borderId="7" xfId="1" applyNumberFormat="1" applyBorder="1" applyAlignment="1" applyProtection="1">
      <alignment horizontal="center"/>
    </xf>
    <xf numFmtId="0" fontId="5" fillId="2" borderId="7" xfId="1" applyNumberFormat="1" applyBorder="1" applyAlignment="1" applyProtection="1"/>
    <xf numFmtId="0" fontId="5" fillId="2" borderId="7" xfId="1" applyNumberFormat="1" applyBorder="1" applyAlignment="1" applyProtection="1">
      <alignment horizontal="center"/>
    </xf>
    <xf numFmtId="0" fontId="12" fillId="0" borderId="19" xfId="9" applyBorder="1" applyAlignment="1">
      <alignment horizontal="left"/>
    </xf>
    <xf numFmtId="0" fontId="5" fillId="2" borderId="20" xfId="1" applyNumberFormat="1" applyBorder="1" applyAlignment="1" applyProtection="1"/>
    <xf numFmtId="0" fontId="5" fillId="2" borderId="21" xfId="1" applyNumberFormat="1" applyBorder="1" applyAlignment="1" applyProtection="1"/>
    <xf numFmtId="0" fontId="0" fillId="0" borderId="21" xfId="0" applyBorder="1"/>
    <xf numFmtId="0" fontId="5" fillId="3" borderId="21" xfId="2" applyNumberFormat="1" applyBorder="1" applyAlignment="1" applyProtection="1"/>
    <xf numFmtId="0" fontId="0" fillId="0" borderId="22" xfId="0" applyBorder="1"/>
  </cellXfs>
  <cellStyles count="10">
    <cellStyle name="Bad" xfId="8" builtinId="27"/>
    <cellStyle name="Excel_BuiltIn_20% - Accent5" xfId="1"/>
    <cellStyle name="Excel_BuiltIn_40% - Accent4" xfId="3"/>
    <cellStyle name="Excel_BuiltIn_40% - Accent5" xfId="2"/>
    <cellStyle name="Excel_BuiltIn_Accent4" xfId="4"/>
    <cellStyle name="Excel_BuiltIn_Heading 1" xfId="5"/>
    <cellStyle name="Explanatory Text" xfId="9" builtinId="53"/>
    <cellStyle name="Heading 3" xfId="6" builtinId="18"/>
    <cellStyle name="Heading 4" xfId="7" builtinId="19"/>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E6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NPV!$D$23</c:f>
              <c:strCache>
                <c:ptCount val="1"/>
                <c:pt idx="0">
                  <c:v>NPV</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numRef>
              <c:f>NPV!$C$24:$C$40</c:f>
              <c:numCache>
                <c:formatCode>0%</c:formatCode>
                <c:ptCount val="17"/>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numCache>
            </c:numRef>
          </c:cat>
          <c:val>
            <c:numRef>
              <c:f>NPV!$D$24:$D$40</c:f>
              <c:numCache>
                <c:formatCode>0.00</c:formatCode>
                <c:ptCount val="17"/>
                <c:pt idx="0">
                  <c:v>200</c:v>
                </c:pt>
                <c:pt idx="1">
                  <c:v>165.85713038939468</c:v>
                </c:pt>
                <c:pt idx="2">
                  <c:v>133.35959923698465</c:v>
                </c:pt>
                <c:pt idx="3">
                  <c:v>102.40949417564309</c:v>
                </c:pt>
                <c:pt idx="4">
                  <c:v>72.915729625928861</c:v>
                </c:pt>
                <c:pt idx="5">
                  <c:v>44.793505351606086</c:v>
                </c:pt>
                <c:pt idx="6">
                  <c:v>17.963812919427937</c:v>
                </c:pt>
                <c:pt idx="7">
                  <c:v>-7.6470145986324951</c:v>
                </c:pt>
                <c:pt idx="8">
                  <c:v>-32.107713848866752</c:v>
                </c:pt>
                <c:pt idx="9">
                  <c:v>-55.482467075945578</c:v>
                </c:pt>
                <c:pt idx="10">
                  <c:v>-77.831246002819171</c:v>
                </c:pt>
                <c:pt idx="11">
                  <c:v>-99.210126709294059</c:v>
                </c:pt>
                <c:pt idx="12">
                  <c:v>-119.671578202163</c:v>
                </c:pt>
                <c:pt idx="13">
                  <c:v>-139.26472709747384</c:v>
                </c:pt>
                <c:pt idx="14">
                  <c:v>-158.03560059294614</c:v>
                </c:pt>
                <c:pt idx="15">
                  <c:v>-176.02734969220865</c:v>
                </c:pt>
                <c:pt idx="16">
                  <c:v>-193.28045444943132</c:v>
                </c:pt>
              </c:numCache>
            </c:numRef>
          </c:val>
          <c:extLst>
            <c:ext xmlns:c16="http://schemas.microsoft.com/office/drawing/2014/chart" uri="{C3380CC4-5D6E-409C-BE32-E72D297353CC}">
              <c16:uniqueId val="{00000000-EADA-4DEB-9174-2DA4444D32CE}"/>
            </c:ext>
          </c:extLst>
        </c:ser>
        <c:dLbls>
          <c:showLegendKey val="0"/>
          <c:showVal val="0"/>
          <c:showCatName val="0"/>
          <c:showSerName val="0"/>
          <c:showPercent val="0"/>
          <c:showBubbleSize val="0"/>
        </c:dLbls>
        <c:gapWidth val="100"/>
        <c:overlap val="-24"/>
        <c:axId val="709988784"/>
        <c:axId val="710003760"/>
      </c:barChart>
      <c:catAx>
        <c:axId val="7099887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0003760"/>
        <c:crosses val="autoZero"/>
        <c:auto val="1"/>
        <c:lblAlgn val="ctr"/>
        <c:lblOffset val="100"/>
        <c:noMultiLvlLbl val="0"/>
      </c:catAx>
      <c:valAx>
        <c:axId val="710003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9988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695325</xdr:colOff>
      <xdr:row>16</xdr:row>
      <xdr:rowOff>95250</xdr:rowOff>
    </xdr:from>
    <xdr:to>
      <xdr:col>6</xdr:col>
      <xdr:colOff>200025</xdr:colOff>
      <xdr:row>16</xdr:row>
      <xdr:rowOff>95250</xdr:rowOff>
    </xdr:to>
    <xdr:cxnSp macro="">
      <xdr:nvCxnSpPr>
        <xdr:cNvPr id="3" name="Straight Arrow Connector 2"/>
        <xdr:cNvCxnSpPr/>
      </xdr:nvCxnSpPr>
      <xdr:spPr bwMode="auto">
        <a:xfrm>
          <a:off x="2762250" y="3429000"/>
          <a:ext cx="24098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419099</xdr:colOff>
      <xdr:row>22</xdr:row>
      <xdr:rowOff>0</xdr:rowOff>
    </xdr:from>
    <xdr:to>
      <xdr:col>11</xdr:col>
      <xdr:colOff>180975</xdr:colOff>
      <xdr:row>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0"/>
  <sheetViews>
    <sheetView zoomScaleNormal="100" workbookViewId="0">
      <selection activeCell="L31" sqref="L31"/>
    </sheetView>
  </sheetViews>
  <sheetFormatPr defaultColWidth="11.5703125" defaultRowHeight="15" x14ac:dyDescent="0.25"/>
  <cols>
    <col min="3" max="3" width="19.42578125" customWidth="1"/>
    <col min="4" max="4" width="12.85546875" customWidth="1"/>
    <col min="5" max="5" width="21.85546875" customWidth="1"/>
  </cols>
  <sheetData>
    <row r="1" spans="2:13" x14ac:dyDescent="0.25">
      <c r="C1" s="1"/>
      <c r="D1" s="2"/>
      <c r="E1" s="2"/>
      <c r="F1" s="2"/>
      <c r="G1" s="3"/>
    </row>
    <row r="2" spans="2:13" x14ac:dyDescent="0.25">
      <c r="B2" s="85" t="s">
        <v>29</v>
      </c>
      <c r="C2" s="85"/>
      <c r="D2" s="85"/>
      <c r="E2" s="85"/>
      <c r="F2" s="85"/>
      <c r="G2" s="85"/>
      <c r="H2" s="85"/>
      <c r="I2" s="85"/>
      <c r="J2" s="85"/>
      <c r="K2" s="85"/>
      <c r="L2" s="85"/>
      <c r="M2" s="85"/>
    </row>
    <row r="3" spans="2:13" x14ac:dyDescent="0.25">
      <c r="B3" s="85" t="s">
        <v>30</v>
      </c>
      <c r="C3" s="85"/>
      <c r="D3" s="85"/>
      <c r="E3" s="85"/>
      <c r="F3" s="85"/>
      <c r="G3" s="85"/>
      <c r="H3" s="85"/>
      <c r="I3" s="85"/>
      <c r="J3" s="85"/>
      <c r="K3" s="85"/>
      <c r="L3" s="85"/>
      <c r="M3" s="85"/>
    </row>
    <row r="4" spans="2:13" x14ac:dyDescent="0.25">
      <c r="B4" s="85"/>
      <c r="C4" s="85"/>
      <c r="D4" s="85"/>
      <c r="E4" s="85"/>
      <c r="F4" s="85"/>
      <c r="G4" s="85"/>
      <c r="H4" s="85"/>
      <c r="I4" s="85"/>
      <c r="J4" s="85"/>
      <c r="K4" s="85"/>
      <c r="L4" s="85"/>
      <c r="M4" s="85"/>
    </row>
    <row r="5" spans="2:13" x14ac:dyDescent="0.25">
      <c r="B5" s="85" t="s">
        <v>51</v>
      </c>
      <c r="C5" s="85"/>
      <c r="D5" s="85"/>
      <c r="E5" s="85"/>
      <c r="F5" s="85"/>
      <c r="G5" s="85"/>
      <c r="H5" s="85"/>
      <c r="I5" s="85"/>
      <c r="J5" s="85"/>
      <c r="K5" s="85"/>
      <c r="L5" s="85"/>
      <c r="M5" s="85"/>
    </row>
    <row r="6" spans="2:13" x14ac:dyDescent="0.25">
      <c r="C6" s="1"/>
      <c r="D6" s="2"/>
      <c r="E6" s="2"/>
      <c r="F6" s="2"/>
      <c r="G6" s="3"/>
    </row>
    <row r="7" spans="2:13" x14ac:dyDescent="0.25">
      <c r="C7" s="1"/>
      <c r="D7" s="2"/>
      <c r="E7" s="2"/>
      <c r="F7" s="2"/>
      <c r="G7" s="3"/>
    </row>
    <row r="8" spans="2:13" x14ac:dyDescent="0.25">
      <c r="C8" s="83" t="s">
        <v>0</v>
      </c>
      <c r="D8" s="84">
        <v>0.05</v>
      </c>
      <c r="E8" s="6"/>
      <c r="F8" s="6"/>
      <c r="G8" s="6"/>
    </row>
    <row r="9" spans="2:13" x14ac:dyDescent="0.25">
      <c r="C9" s="5"/>
      <c r="D9" s="7"/>
      <c r="E9" s="8"/>
      <c r="F9" s="6"/>
      <c r="G9" s="6"/>
      <c r="H9" s="69"/>
    </row>
    <row r="10" spans="2:13" ht="30" x14ac:dyDescent="0.25">
      <c r="C10" s="9" t="s">
        <v>1</v>
      </c>
      <c r="D10" s="10" t="s">
        <v>2</v>
      </c>
      <c r="E10" s="10" t="s">
        <v>3</v>
      </c>
      <c r="F10" s="10" t="s">
        <v>52</v>
      </c>
      <c r="G10" s="2"/>
    </row>
    <row r="11" spans="2:13" x14ac:dyDescent="0.25">
      <c r="C11" s="6">
        <v>0</v>
      </c>
      <c r="D11" s="6">
        <v>-800</v>
      </c>
      <c r="E11" s="56">
        <f>D11/(1+$D$8)^C11</f>
        <v>-800</v>
      </c>
      <c r="F11" s="46">
        <f>PV(D8,0,0,800)</f>
        <v>-800</v>
      </c>
      <c r="G11" s="6"/>
    </row>
    <row r="12" spans="2:13" ht="18.75" x14ac:dyDescent="0.35">
      <c r="C12" s="6">
        <v>1</v>
      </c>
      <c r="D12" s="6">
        <v>100</v>
      </c>
      <c r="E12" s="56">
        <f t="shared" ref="E12:E16" si="0">D12/(1+$D$8)^C12</f>
        <v>95.238095238095241</v>
      </c>
      <c r="F12" s="46">
        <f>PV(D8,1,0,-100)</f>
        <v>95.238095238095241</v>
      </c>
      <c r="G12" s="87" t="s">
        <v>38</v>
      </c>
      <c r="H12" s="87"/>
      <c r="I12" s="87"/>
      <c r="J12" s="87"/>
    </row>
    <row r="13" spans="2:13" ht="18.75" x14ac:dyDescent="0.35">
      <c r="C13" s="6">
        <v>2</v>
      </c>
      <c r="D13" s="11">
        <v>150</v>
      </c>
      <c r="E13" s="56">
        <f t="shared" si="0"/>
        <v>136.05442176870747</v>
      </c>
      <c r="F13" s="46">
        <f>PV(D8,2,0,-150)</f>
        <v>136.05442176870747</v>
      </c>
      <c r="G13" s="87" t="s">
        <v>39</v>
      </c>
      <c r="H13" s="87"/>
      <c r="I13" s="87"/>
      <c r="J13" s="87"/>
    </row>
    <row r="14" spans="2:13" x14ac:dyDescent="0.25">
      <c r="C14" s="6">
        <v>3</v>
      </c>
      <c r="D14" s="6">
        <v>200</v>
      </c>
      <c r="E14" s="56">
        <f t="shared" si="0"/>
        <v>172.76751970629519</v>
      </c>
      <c r="F14" s="79">
        <f>PV(5%,3,0,-200)</f>
        <v>172.76751970629519</v>
      </c>
      <c r="G14" s="6"/>
    </row>
    <row r="15" spans="2:13" x14ac:dyDescent="0.25">
      <c r="C15" s="6">
        <v>4</v>
      </c>
      <c r="D15" s="6">
        <v>250</v>
      </c>
      <c r="E15" s="56">
        <f t="shared" si="0"/>
        <v>205.67561869797049</v>
      </c>
      <c r="F15" s="79">
        <f>PV(5%,4,0,-250)</f>
        <v>205.67561869797049</v>
      </c>
      <c r="G15" s="6"/>
      <c r="M15" s="44"/>
    </row>
    <row r="16" spans="2:13" x14ac:dyDescent="0.25">
      <c r="C16" s="6">
        <v>5</v>
      </c>
      <c r="D16" s="6">
        <v>300</v>
      </c>
      <c r="E16" s="56">
        <f t="shared" si="0"/>
        <v>235.05784994053769</v>
      </c>
      <c r="F16" s="79">
        <f>PV(5%,5,0,-300)</f>
        <v>235.05784994053769</v>
      </c>
      <c r="G16" s="49"/>
      <c r="H16" s="69"/>
    </row>
    <row r="17" spans="2:11" x14ac:dyDescent="0.25">
      <c r="B17" s="51"/>
      <c r="C17" s="6"/>
      <c r="D17" s="49">
        <f>NPV(5%,D12:D16)</f>
        <v>844.79350535160609</v>
      </c>
      <c r="E17" s="46"/>
      <c r="F17" s="6"/>
      <c r="G17" s="87" t="s">
        <v>40</v>
      </c>
      <c r="H17" s="87"/>
      <c r="I17" s="87"/>
      <c r="J17" s="87"/>
    </row>
    <row r="18" spans="2:11" x14ac:dyDescent="0.25">
      <c r="C18" s="86" t="s">
        <v>4</v>
      </c>
      <c r="D18" s="86"/>
      <c r="E18" s="39">
        <f>SUM(E11:E16)</f>
        <v>44.793505351606001</v>
      </c>
      <c r="F18" s="46"/>
      <c r="G18" s="6"/>
    </row>
    <row r="19" spans="2:11" x14ac:dyDescent="0.25">
      <c r="C19" s="5"/>
      <c r="D19" s="5"/>
      <c r="E19" s="6"/>
      <c r="F19" s="6"/>
      <c r="G19" s="6"/>
    </row>
    <row r="20" spans="2:11" ht="14.85" customHeight="1" x14ac:dyDescent="0.25">
      <c r="C20" s="88" t="s">
        <v>41</v>
      </c>
      <c r="D20" s="88"/>
      <c r="E20" s="89">
        <f>NPV(D8,D12:D16)+D11</f>
        <v>44.793505351606086</v>
      </c>
      <c r="F20" s="6"/>
      <c r="G20" s="6"/>
    </row>
    <row r="21" spans="2:11" x14ac:dyDescent="0.25">
      <c r="C21" s="88"/>
      <c r="D21" s="88"/>
      <c r="E21" s="89"/>
      <c r="F21" s="6"/>
      <c r="G21" s="6"/>
    </row>
    <row r="22" spans="2:11" x14ac:dyDescent="0.25">
      <c r="C22" s="6"/>
      <c r="D22" s="6"/>
      <c r="E22" s="6"/>
      <c r="F22" s="6"/>
      <c r="G22" s="6"/>
    </row>
    <row r="23" spans="2:11" x14ac:dyDescent="0.25">
      <c r="C23" s="99" t="s">
        <v>0</v>
      </c>
      <c r="D23" s="100" t="s">
        <v>5</v>
      </c>
      <c r="E23" s="2"/>
      <c r="F23" s="2"/>
      <c r="G23" s="2"/>
    </row>
    <row r="24" spans="2:11" x14ac:dyDescent="0.25">
      <c r="C24" s="101">
        <v>0</v>
      </c>
      <c r="D24" s="102">
        <f>NPV(C24,$D$12:$D$16)+$D$11</f>
        <v>200</v>
      </c>
      <c r="E24" s="6"/>
      <c r="F24" s="60"/>
      <c r="G24" s="60"/>
      <c r="H24" s="60"/>
      <c r="I24" s="60"/>
      <c r="J24" s="60"/>
      <c r="K24" s="60"/>
    </row>
    <row r="25" spans="2:11" x14ac:dyDescent="0.25">
      <c r="C25" s="101">
        <v>0.01</v>
      </c>
      <c r="D25" s="102">
        <f t="shared" ref="D25:D40" si="1">NPV(C25,$D$12:$D$16)+$D$11</f>
        <v>165.85713038939468</v>
      </c>
      <c r="E25" s="6"/>
      <c r="F25" s="60"/>
      <c r="G25" s="60"/>
      <c r="H25" s="60"/>
      <c r="I25" s="60"/>
      <c r="J25" s="60"/>
      <c r="K25" s="60"/>
    </row>
    <row r="26" spans="2:11" x14ac:dyDescent="0.25">
      <c r="C26" s="101">
        <v>0.02</v>
      </c>
      <c r="D26" s="102">
        <f t="shared" si="1"/>
        <v>133.35959923698465</v>
      </c>
      <c r="E26" s="6"/>
      <c r="F26" s="60"/>
      <c r="G26" s="60"/>
      <c r="H26" s="60"/>
      <c r="I26" s="60"/>
      <c r="J26" s="60"/>
      <c r="K26" s="60"/>
    </row>
    <row r="27" spans="2:11" x14ac:dyDescent="0.25">
      <c r="C27" s="101">
        <v>0.03</v>
      </c>
      <c r="D27" s="102">
        <f t="shared" si="1"/>
        <v>102.40949417564309</v>
      </c>
      <c r="E27" s="6"/>
      <c r="F27" s="60"/>
      <c r="G27" s="60"/>
      <c r="H27" s="60"/>
      <c r="I27" s="60"/>
      <c r="J27" s="60"/>
      <c r="K27" s="60"/>
    </row>
    <row r="28" spans="2:11" x14ac:dyDescent="0.25">
      <c r="C28" s="101">
        <v>0.04</v>
      </c>
      <c r="D28" s="102">
        <f t="shared" si="1"/>
        <v>72.915729625928861</v>
      </c>
      <c r="E28" s="6"/>
      <c r="F28" s="60"/>
      <c r="G28" s="60"/>
      <c r="H28" s="60"/>
      <c r="I28" s="60"/>
      <c r="J28" s="60"/>
      <c r="K28" s="60"/>
    </row>
    <row r="29" spans="2:11" x14ac:dyDescent="0.25">
      <c r="C29" s="101">
        <v>0.05</v>
      </c>
      <c r="D29" s="102">
        <f t="shared" si="1"/>
        <v>44.793505351606086</v>
      </c>
      <c r="E29" s="6"/>
      <c r="F29" s="60"/>
      <c r="G29" s="60"/>
      <c r="H29" s="60"/>
      <c r="I29" s="60"/>
      <c r="J29" s="60"/>
      <c r="K29" s="60"/>
    </row>
    <row r="30" spans="2:11" x14ac:dyDescent="0.25">
      <c r="C30" s="101">
        <v>0.06</v>
      </c>
      <c r="D30" s="102">
        <f t="shared" si="1"/>
        <v>17.963812919427937</v>
      </c>
      <c r="E30" s="6"/>
      <c r="F30" s="60"/>
      <c r="G30" s="60"/>
      <c r="H30" s="60"/>
      <c r="I30" s="60"/>
      <c r="J30" s="60"/>
      <c r="K30" s="60"/>
    </row>
    <row r="31" spans="2:11" x14ac:dyDescent="0.25">
      <c r="C31" s="101">
        <v>7.0000000000000007E-2</v>
      </c>
      <c r="D31" s="102">
        <f t="shared" si="1"/>
        <v>-7.6470145986324951</v>
      </c>
      <c r="E31" s="6"/>
      <c r="F31" s="60"/>
      <c r="G31" s="60"/>
      <c r="H31" s="60"/>
      <c r="I31" s="60"/>
      <c r="J31" s="60"/>
      <c r="K31" s="60"/>
    </row>
    <row r="32" spans="2:11" x14ac:dyDescent="0.25">
      <c r="C32" s="101">
        <v>0.08</v>
      </c>
      <c r="D32" s="102">
        <f t="shared" si="1"/>
        <v>-32.107713848866752</v>
      </c>
      <c r="E32" s="6"/>
      <c r="F32" s="60"/>
      <c r="G32" s="60"/>
      <c r="H32" s="60"/>
      <c r="I32" s="60"/>
      <c r="J32" s="60"/>
      <c r="K32" s="60"/>
    </row>
    <row r="33" spans="3:11" x14ac:dyDescent="0.25">
      <c r="C33" s="101">
        <v>0.09</v>
      </c>
      <c r="D33" s="102">
        <f t="shared" si="1"/>
        <v>-55.482467075945578</v>
      </c>
      <c r="E33" s="6"/>
      <c r="F33" s="60"/>
      <c r="G33" s="60"/>
      <c r="H33" s="60"/>
      <c r="I33" s="60"/>
      <c r="J33" s="60"/>
      <c r="K33" s="60"/>
    </row>
    <row r="34" spans="3:11" x14ac:dyDescent="0.25">
      <c r="C34" s="101">
        <v>0.1</v>
      </c>
      <c r="D34" s="102">
        <f t="shared" si="1"/>
        <v>-77.831246002819171</v>
      </c>
      <c r="F34" s="60"/>
      <c r="G34" s="60"/>
      <c r="H34" s="60"/>
      <c r="I34" s="60"/>
      <c r="J34" s="60"/>
      <c r="K34" s="60"/>
    </row>
    <row r="35" spans="3:11" x14ac:dyDescent="0.25">
      <c r="C35" s="101">
        <v>0.11</v>
      </c>
      <c r="D35" s="102">
        <f t="shared" si="1"/>
        <v>-99.210126709294059</v>
      </c>
      <c r="F35" s="60"/>
      <c r="G35" s="60"/>
      <c r="H35" s="60"/>
      <c r="I35" s="60"/>
      <c r="J35" s="60"/>
      <c r="K35" s="60"/>
    </row>
    <row r="36" spans="3:11" x14ac:dyDescent="0.25">
      <c r="C36" s="101">
        <v>0.12</v>
      </c>
      <c r="D36" s="102">
        <f t="shared" si="1"/>
        <v>-119.671578202163</v>
      </c>
      <c r="F36" s="60"/>
      <c r="G36" s="60"/>
      <c r="H36" s="60"/>
      <c r="I36" s="60"/>
      <c r="J36" s="60"/>
      <c r="K36" s="60"/>
    </row>
    <row r="37" spans="3:11" x14ac:dyDescent="0.25">
      <c r="C37" s="101">
        <v>0.13</v>
      </c>
      <c r="D37" s="102">
        <f t="shared" si="1"/>
        <v>-139.26472709747384</v>
      </c>
      <c r="F37" s="60"/>
      <c r="G37" s="60"/>
      <c r="H37" s="60"/>
      <c r="I37" s="60"/>
      <c r="J37" s="60"/>
      <c r="K37" s="60"/>
    </row>
    <row r="38" spans="3:11" x14ac:dyDescent="0.25">
      <c r="C38" s="101">
        <v>0.14000000000000001</v>
      </c>
      <c r="D38" s="102">
        <f t="shared" si="1"/>
        <v>-158.03560059294614</v>
      </c>
      <c r="F38" s="60"/>
      <c r="G38" s="60"/>
      <c r="H38" s="60"/>
      <c r="I38" s="60"/>
      <c r="J38" s="60"/>
      <c r="K38" s="60"/>
    </row>
    <row r="39" spans="3:11" x14ac:dyDescent="0.25">
      <c r="C39" s="101">
        <v>0.15</v>
      </c>
      <c r="D39" s="102">
        <f t="shared" si="1"/>
        <v>-176.02734969220865</v>
      </c>
      <c r="F39" s="60"/>
      <c r="G39" s="60"/>
      <c r="H39" s="60"/>
      <c r="I39" s="60"/>
      <c r="J39" s="60"/>
      <c r="K39" s="60"/>
    </row>
    <row r="40" spans="3:11" x14ac:dyDescent="0.25">
      <c r="C40" s="103">
        <v>0.16</v>
      </c>
      <c r="D40" s="104">
        <f t="shared" si="1"/>
        <v>-193.28045444943132</v>
      </c>
      <c r="F40" s="60"/>
      <c r="G40" s="60"/>
      <c r="H40" s="60"/>
      <c r="I40" s="60"/>
      <c r="J40" s="60"/>
      <c r="K40" s="60"/>
    </row>
  </sheetData>
  <mergeCells count="10">
    <mergeCell ref="C20:D21"/>
    <mergeCell ref="E20:E21"/>
    <mergeCell ref="B2:M2"/>
    <mergeCell ref="B3:M3"/>
    <mergeCell ref="B4:M4"/>
    <mergeCell ref="B5:M5"/>
    <mergeCell ref="C18:D18"/>
    <mergeCell ref="G12:J12"/>
    <mergeCell ref="G13:J13"/>
    <mergeCell ref="G17:J17"/>
  </mergeCells>
  <pageMargins left="0.78749999999999998" right="0.78749999999999998" top="1.0249999999999999" bottom="1.0249999999999999" header="0.78749999999999998" footer="0.78749999999999998"/>
  <pageSetup firstPageNumber="0" orientation="portrait" horizontalDpi="300" verticalDpi="300" r:id="rId1"/>
  <headerFooter alignWithMargins="0">
    <oddHeader>&amp;C&amp;"Arial,Regular"&amp;10&amp;A</oddHeader>
    <oddFooter>&amp;C&amp;"Arial,Regular"&amp;10Page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zoomScaleNormal="100" workbookViewId="0">
      <selection activeCell="D22" sqref="D22"/>
    </sheetView>
  </sheetViews>
  <sheetFormatPr defaultColWidth="11.5703125" defaultRowHeight="15" x14ac:dyDescent="0.25"/>
  <cols>
    <col min="1" max="1" width="13.5703125" customWidth="1"/>
    <col min="2" max="2" width="25.7109375" customWidth="1"/>
    <col min="4" max="4" width="25.7109375" customWidth="1"/>
  </cols>
  <sheetData>
    <row r="1" spans="1:11" x14ac:dyDescent="0.25">
      <c r="A1" s="1"/>
      <c r="B1" s="2"/>
      <c r="C1" s="2"/>
      <c r="D1" s="2"/>
      <c r="E1" s="2"/>
      <c r="F1" s="2"/>
      <c r="G1" s="2"/>
      <c r="H1" s="2"/>
    </row>
    <row r="2" spans="1:11" x14ac:dyDescent="0.25">
      <c r="A2" s="36" t="s">
        <v>24</v>
      </c>
      <c r="B2" s="34"/>
      <c r="C2" s="35"/>
      <c r="D2" s="35"/>
      <c r="E2" s="35"/>
      <c r="F2" s="35"/>
      <c r="G2" s="35"/>
      <c r="H2" s="35"/>
      <c r="I2" s="34"/>
      <c r="J2" s="34"/>
      <c r="K2" s="34"/>
    </row>
    <row r="3" spans="1:11" x14ac:dyDescent="0.25">
      <c r="A3" s="1"/>
      <c r="B3" s="2"/>
      <c r="C3" s="2"/>
      <c r="D3" s="2"/>
      <c r="E3" s="2"/>
      <c r="F3" s="2"/>
      <c r="G3" s="2"/>
      <c r="H3" s="2"/>
    </row>
    <row r="4" spans="1:11" x14ac:dyDescent="0.25">
      <c r="A4" s="1" t="s">
        <v>6</v>
      </c>
      <c r="B4" s="2" t="s">
        <v>5</v>
      </c>
      <c r="C4" s="2"/>
      <c r="D4" s="12"/>
      <c r="E4" s="2"/>
      <c r="F4" s="2"/>
      <c r="G4" s="2"/>
      <c r="H4" s="2"/>
    </row>
    <row r="5" spans="1:11" x14ac:dyDescent="0.25">
      <c r="A5" s="1" t="s">
        <v>7</v>
      </c>
      <c r="B5" s="2" t="s">
        <v>8</v>
      </c>
      <c r="C5" s="2"/>
      <c r="D5" s="2"/>
      <c r="E5" s="2"/>
      <c r="F5" s="2"/>
      <c r="G5" s="2"/>
      <c r="H5" s="2"/>
    </row>
    <row r="6" spans="1:11" x14ac:dyDescent="0.25">
      <c r="A6" s="1"/>
      <c r="B6" s="2"/>
      <c r="C6" s="2"/>
      <c r="D6" s="2"/>
      <c r="E6" s="2"/>
      <c r="F6" s="2"/>
      <c r="G6" s="2"/>
      <c r="H6" s="2"/>
    </row>
    <row r="7" spans="1:11" x14ac:dyDescent="0.25">
      <c r="A7" s="91" t="s">
        <v>9</v>
      </c>
      <c r="B7" s="91"/>
      <c r="C7" s="91"/>
      <c r="D7" s="91"/>
      <c r="E7" s="91"/>
      <c r="F7" s="70"/>
      <c r="G7" s="70"/>
      <c r="H7" s="70"/>
    </row>
    <row r="8" spans="1:11" ht="15.75" thickBot="1" x14ac:dyDescent="0.3">
      <c r="A8" s="71" t="s">
        <v>10</v>
      </c>
      <c r="B8" s="72">
        <v>0.12</v>
      </c>
      <c r="C8" s="8"/>
      <c r="D8" s="6"/>
      <c r="E8" s="6"/>
      <c r="F8" s="6"/>
      <c r="G8" s="6"/>
      <c r="H8" s="6"/>
    </row>
    <row r="10" spans="1:11" x14ac:dyDescent="0.25">
      <c r="A10" s="73" t="s">
        <v>1</v>
      </c>
      <c r="B10" s="73" t="s">
        <v>11</v>
      </c>
      <c r="C10" s="73"/>
      <c r="D10" s="73" t="s">
        <v>12</v>
      </c>
      <c r="E10" s="6"/>
      <c r="F10" s="6"/>
      <c r="G10" s="6"/>
      <c r="H10" s="6"/>
    </row>
    <row r="11" spans="1:11" x14ac:dyDescent="0.25">
      <c r="A11" s="6">
        <v>0</v>
      </c>
      <c r="B11" s="6">
        <v>-500</v>
      </c>
      <c r="C11" s="6"/>
      <c r="D11" s="6">
        <v>-500</v>
      </c>
      <c r="E11" s="11"/>
      <c r="F11" s="6"/>
      <c r="G11" s="6"/>
      <c r="H11" s="6"/>
    </row>
    <row r="12" spans="1:11" x14ac:dyDescent="0.25">
      <c r="A12" s="6">
        <v>1</v>
      </c>
      <c r="B12" s="6">
        <v>100</v>
      </c>
      <c r="C12" s="6"/>
      <c r="D12" s="6">
        <v>250</v>
      </c>
      <c r="E12" s="11"/>
      <c r="F12" s="6"/>
      <c r="G12" s="6"/>
      <c r="H12" s="6"/>
    </row>
    <row r="13" spans="1:11" ht="15" customHeight="1" x14ac:dyDescent="0.25">
      <c r="A13" s="6">
        <v>2</v>
      </c>
      <c r="B13" s="6">
        <v>100</v>
      </c>
      <c r="C13" s="6"/>
      <c r="D13" s="6">
        <v>250</v>
      </c>
      <c r="E13" s="11"/>
      <c r="F13" s="90" t="s">
        <v>42</v>
      </c>
      <c r="G13" s="90"/>
      <c r="H13" s="90"/>
      <c r="I13" s="90"/>
    </row>
    <row r="14" spans="1:11" x14ac:dyDescent="0.25">
      <c r="A14" s="6">
        <v>3</v>
      </c>
      <c r="B14" s="6">
        <v>150</v>
      </c>
      <c r="C14" s="6"/>
      <c r="D14" s="6">
        <v>200</v>
      </c>
      <c r="E14" s="11"/>
      <c r="F14" s="90"/>
      <c r="G14" s="90"/>
      <c r="H14" s="90"/>
      <c r="I14" s="90"/>
    </row>
    <row r="15" spans="1:11" x14ac:dyDescent="0.25">
      <c r="A15" s="6">
        <v>4</v>
      </c>
      <c r="B15" s="6">
        <v>200</v>
      </c>
      <c r="C15" s="6"/>
      <c r="D15" s="6">
        <v>100</v>
      </c>
      <c r="E15" s="11"/>
      <c r="F15" s="90"/>
      <c r="G15" s="90"/>
      <c r="H15" s="90"/>
      <c r="I15" s="90"/>
    </row>
    <row r="16" spans="1:11" x14ac:dyDescent="0.25">
      <c r="A16" s="6">
        <v>5</v>
      </c>
      <c r="B16" s="6">
        <v>400</v>
      </c>
      <c r="C16" s="6"/>
      <c r="D16" s="6">
        <v>150</v>
      </c>
      <c r="E16" s="11"/>
      <c r="F16" s="90"/>
      <c r="G16" s="90"/>
      <c r="H16" s="90"/>
      <c r="I16" s="90"/>
    </row>
    <row r="17" spans="1:9" x14ac:dyDescent="0.25">
      <c r="B17">
        <f>SUM(B12:B16)</f>
        <v>950</v>
      </c>
      <c r="D17">
        <f>SUM(D12:D16)</f>
        <v>950</v>
      </c>
    </row>
    <row r="18" spans="1:9" x14ac:dyDescent="0.25">
      <c r="A18" s="4" t="s">
        <v>5</v>
      </c>
      <c r="B18" s="13">
        <f>NPV($B$8,B12:B16)+B11</f>
        <v>129.84649718123376</v>
      </c>
      <c r="C18" s="57"/>
      <c r="D18" s="13">
        <f>NPV($B$8,D12:D16)+D11</f>
        <v>213.53464086299596</v>
      </c>
    </row>
    <row r="19" spans="1:9" x14ac:dyDescent="0.25">
      <c r="A19" s="4"/>
    </row>
    <row r="20" spans="1:9" x14ac:dyDescent="0.25">
      <c r="A20" s="4" t="s">
        <v>8</v>
      </c>
      <c r="B20" s="14">
        <f>IRR(B11:B16)</f>
        <v>0.19770388847350806</v>
      </c>
      <c r="D20" s="14">
        <f>IRR(D11:D16)</f>
        <v>0.30796686500528736</v>
      </c>
      <c r="F20" s="90" t="s">
        <v>43</v>
      </c>
      <c r="G20" s="90"/>
      <c r="H20" s="90"/>
      <c r="I20" s="90"/>
    </row>
    <row r="21" spans="1:9" x14ac:dyDescent="0.25">
      <c r="B21" s="58"/>
      <c r="F21" s="90"/>
      <c r="G21" s="90"/>
      <c r="H21" s="90"/>
      <c r="I21" s="90"/>
    </row>
    <row r="22" spans="1:9" x14ac:dyDescent="0.25">
      <c r="C22" s="105"/>
    </row>
  </sheetData>
  <mergeCells count="3">
    <mergeCell ref="F20:I21"/>
    <mergeCell ref="A7:E7"/>
    <mergeCell ref="F13:I16"/>
  </mergeCells>
  <pageMargins left="0.78749999999999998" right="0.78749999999999998" top="1.0249999999999999" bottom="1.0249999999999999" header="0.78749999999999998" footer="0.78749999999999998"/>
  <pageSetup firstPageNumber="0" orientation="portrait" horizontalDpi="300" verticalDpi="300"/>
  <headerFooter alignWithMargins="0">
    <oddHeader>&amp;C&amp;"Arial,Regular"&amp;10&amp;A</oddHeader>
    <oddFooter>&amp;C&amp;"Arial,Regular"&amp;10Page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Normal="100" workbookViewId="0">
      <selection activeCell="H15" sqref="H15"/>
    </sheetView>
  </sheetViews>
  <sheetFormatPr defaultColWidth="11.5703125" defaultRowHeight="15" x14ac:dyDescent="0.25"/>
  <cols>
    <col min="5" max="5" width="15.28515625" bestFit="1" customWidth="1"/>
  </cols>
  <sheetData>
    <row r="1" spans="1:15" x14ac:dyDescent="0.25">
      <c r="A1" s="115" t="s">
        <v>28</v>
      </c>
      <c r="B1" s="116"/>
      <c r="C1" s="116"/>
      <c r="D1" s="116"/>
      <c r="E1" s="116"/>
      <c r="F1" s="116"/>
      <c r="G1" s="116"/>
      <c r="H1" s="116"/>
      <c r="I1" s="116"/>
      <c r="J1" s="117"/>
      <c r="K1" s="117"/>
      <c r="L1" s="117"/>
      <c r="M1" s="118"/>
      <c r="N1" s="118"/>
      <c r="O1" s="119"/>
    </row>
    <row r="2" spans="1:15" x14ac:dyDescent="0.25">
      <c r="A2" s="120" t="s">
        <v>27</v>
      </c>
      <c r="B2" s="113"/>
      <c r="C2" s="113"/>
      <c r="D2" s="113"/>
      <c r="E2" s="113"/>
      <c r="F2" s="113"/>
      <c r="G2" s="113"/>
      <c r="H2" s="113"/>
      <c r="I2" s="113"/>
      <c r="J2" s="106"/>
      <c r="K2" s="106"/>
      <c r="L2" s="106"/>
      <c r="M2" s="107"/>
      <c r="N2" s="107"/>
      <c r="O2" s="121"/>
    </row>
    <row r="3" spans="1:15" x14ac:dyDescent="0.25">
      <c r="A3" s="120" t="s">
        <v>13</v>
      </c>
      <c r="B3" s="113"/>
      <c r="C3" s="113"/>
      <c r="D3" s="113"/>
      <c r="E3" s="113"/>
      <c r="F3" s="113"/>
      <c r="G3" s="113"/>
      <c r="H3" s="113"/>
      <c r="I3" s="113"/>
      <c r="J3" s="106"/>
      <c r="K3" s="106"/>
      <c r="L3" s="106"/>
      <c r="M3" s="107"/>
      <c r="N3" s="107"/>
      <c r="O3" s="121"/>
    </row>
    <row r="4" spans="1:15" ht="9.75" customHeight="1" x14ac:dyDescent="0.25">
      <c r="A4" s="122"/>
      <c r="B4" s="107"/>
      <c r="C4" s="107"/>
      <c r="D4" s="107"/>
      <c r="E4" s="107"/>
      <c r="F4" s="107"/>
      <c r="G4" s="107"/>
      <c r="H4" s="107"/>
      <c r="I4" s="107"/>
      <c r="J4" s="107"/>
      <c r="K4" s="107"/>
      <c r="L4" s="107"/>
      <c r="M4" s="107"/>
      <c r="N4" s="107"/>
      <c r="O4" s="121"/>
    </row>
    <row r="5" spans="1:15" ht="18.75" x14ac:dyDescent="0.3">
      <c r="A5" s="123" t="s">
        <v>14</v>
      </c>
      <c r="B5" s="114"/>
      <c r="C5" s="114"/>
      <c r="D5" s="114"/>
      <c r="E5" s="114"/>
      <c r="F5" s="114"/>
      <c r="G5" s="114"/>
      <c r="H5" s="114"/>
      <c r="I5" s="114"/>
      <c r="J5" s="107"/>
      <c r="K5" s="107"/>
      <c r="L5" s="107"/>
      <c r="M5" s="107"/>
      <c r="N5" s="107"/>
      <c r="O5" s="121"/>
    </row>
    <row r="6" spans="1:15" ht="9" customHeight="1" x14ac:dyDescent="0.25">
      <c r="A6" s="124"/>
      <c r="B6" s="81"/>
      <c r="C6" s="81"/>
      <c r="D6" s="81"/>
      <c r="E6" s="81"/>
      <c r="F6" s="108"/>
      <c r="G6" s="81"/>
      <c r="H6" s="81"/>
      <c r="I6" s="81"/>
      <c r="J6" s="107"/>
      <c r="K6" s="107"/>
      <c r="L6" s="107"/>
      <c r="M6" s="107"/>
      <c r="N6" s="107"/>
      <c r="O6" s="121"/>
    </row>
    <row r="7" spans="1:15" x14ac:dyDescent="0.25">
      <c r="A7" s="125"/>
      <c r="B7" s="82"/>
      <c r="C7" s="81"/>
      <c r="D7" s="15" t="s">
        <v>0</v>
      </c>
      <c r="E7" s="16"/>
      <c r="F7" s="17">
        <v>0.15</v>
      </c>
      <c r="G7" s="81"/>
      <c r="H7" s="81"/>
      <c r="I7" s="81"/>
      <c r="J7" s="107"/>
      <c r="K7" s="107"/>
      <c r="L7" s="107"/>
      <c r="M7" s="107"/>
      <c r="N7" s="107"/>
      <c r="O7" s="121"/>
    </row>
    <row r="8" spans="1:15" x14ac:dyDescent="0.25">
      <c r="A8" s="125" t="s">
        <v>1</v>
      </c>
      <c r="B8" s="82" t="s">
        <v>15</v>
      </c>
      <c r="C8" s="81"/>
      <c r="D8" s="16"/>
      <c r="E8" s="16" t="s">
        <v>16</v>
      </c>
      <c r="F8" s="16" t="s">
        <v>15</v>
      </c>
      <c r="G8" s="81"/>
      <c r="H8" s="81"/>
      <c r="I8" s="81"/>
      <c r="J8" s="107"/>
      <c r="K8" s="107"/>
      <c r="L8" s="107"/>
      <c r="M8" s="107"/>
      <c r="N8" s="107"/>
      <c r="O8" s="121"/>
    </row>
    <row r="9" spans="1:15" x14ac:dyDescent="0.25">
      <c r="A9" s="125">
        <v>0</v>
      </c>
      <c r="B9" s="82">
        <v>-10000</v>
      </c>
      <c r="C9" s="107"/>
      <c r="D9" s="18"/>
      <c r="E9" s="50">
        <f>DATE(1998,1,1)</f>
        <v>35796</v>
      </c>
      <c r="F9" s="20">
        <v>-10000</v>
      </c>
      <c r="G9" s="107"/>
      <c r="H9" s="107"/>
      <c r="I9" s="107"/>
      <c r="J9" s="107"/>
      <c r="K9" s="107"/>
      <c r="L9" s="107"/>
      <c r="M9" s="107"/>
      <c r="N9" s="107"/>
      <c r="O9" s="121"/>
    </row>
    <row r="10" spans="1:15" x14ac:dyDescent="0.25">
      <c r="A10" s="125">
        <v>1</v>
      </c>
      <c r="B10" s="82">
        <v>1500</v>
      </c>
      <c r="C10" s="107"/>
      <c r="D10" s="18"/>
      <c r="E10" s="19">
        <f>DATE(1999,7,1)</f>
        <v>36342</v>
      </c>
      <c r="F10" s="20">
        <v>3000</v>
      </c>
      <c r="G10" s="107"/>
      <c r="H10" s="109"/>
      <c r="I10" s="107"/>
      <c r="J10" s="107"/>
      <c r="K10" s="107"/>
      <c r="L10" s="107"/>
      <c r="M10" s="107"/>
      <c r="N10" s="107"/>
      <c r="O10" s="121"/>
    </row>
    <row r="11" spans="1:15" x14ac:dyDescent="0.25">
      <c r="A11" s="125">
        <v>2</v>
      </c>
      <c r="B11" s="82">
        <v>1500</v>
      </c>
      <c r="C11" s="107"/>
      <c r="D11" s="18"/>
      <c r="E11" s="19">
        <f>DATE(2000,2,1)</f>
        <v>36557</v>
      </c>
      <c r="F11" s="20">
        <v>3000</v>
      </c>
      <c r="G11" s="107"/>
      <c r="H11" s="107"/>
      <c r="I11" s="107"/>
      <c r="J11" s="107"/>
      <c r="K11" s="107"/>
      <c r="L11" s="107"/>
      <c r="M11" s="107"/>
      <c r="N11" s="107"/>
      <c r="O11" s="121"/>
    </row>
    <row r="12" spans="1:15" x14ac:dyDescent="0.25">
      <c r="A12" s="125">
        <v>3</v>
      </c>
      <c r="B12" s="82">
        <v>1500</v>
      </c>
      <c r="C12" s="107"/>
      <c r="D12" s="18"/>
      <c r="E12" s="19">
        <f>DATE(2001,6,1)</f>
        <v>37043</v>
      </c>
      <c r="F12" s="20">
        <v>3000</v>
      </c>
      <c r="G12" s="107"/>
      <c r="H12" s="107"/>
      <c r="I12" s="107"/>
      <c r="J12" s="107"/>
      <c r="K12" s="107"/>
      <c r="L12" s="107"/>
      <c r="M12" s="107"/>
      <c r="N12" s="107"/>
      <c r="O12" s="121"/>
    </row>
    <row r="13" spans="1:15" x14ac:dyDescent="0.25">
      <c r="A13" s="125">
        <v>4</v>
      </c>
      <c r="B13" s="82">
        <v>1500</v>
      </c>
      <c r="C13" s="107"/>
      <c r="D13" s="18"/>
      <c r="E13" s="19">
        <f>DATE(2002,3,1)</f>
        <v>37316</v>
      </c>
      <c r="F13" s="20">
        <v>3000</v>
      </c>
      <c r="G13" s="107"/>
      <c r="H13" s="107"/>
      <c r="I13" s="107"/>
      <c r="J13" s="107"/>
      <c r="K13" s="107"/>
      <c r="L13" s="107"/>
      <c r="M13" s="107"/>
      <c r="N13" s="107"/>
      <c r="O13" s="121"/>
    </row>
    <row r="14" spans="1:15" x14ac:dyDescent="0.25">
      <c r="A14" s="125">
        <v>5</v>
      </c>
      <c r="B14" s="82">
        <v>1500</v>
      </c>
      <c r="C14" s="107"/>
      <c r="D14" s="18"/>
      <c r="E14" s="19">
        <f>DATE(2003,8,1)</f>
        <v>37834</v>
      </c>
      <c r="F14" s="20">
        <v>3000</v>
      </c>
      <c r="G14" s="107"/>
      <c r="H14" s="107"/>
      <c r="I14" s="107"/>
      <c r="J14" s="107"/>
      <c r="K14" s="107"/>
      <c r="L14" s="107"/>
      <c r="M14" s="107"/>
      <c r="N14" s="107"/>
      <c r="O14" s="121"/>
    </row>
    <row r="15" spans="1:15" x14ac:dyDescent="0.25">
      <c r="A15" s="125">
        <v>6</v>
      </c>
      <c r="B15" s="82">
        <v>1500</v>
      </c>
      <c r="C15" s="107"/>
      <c r="D15" s="18"/>
      <c r="E15" s="19">
        <f>DATE(2004,10,1)</f>
        <v>38261</v>
      </c>
      <c r="F15" s="20">
        <v>3000</v>
      </c>
      <c r="G15" s="107"/>
      <c r="H15" s="107"/>
      <c r="I15" s="107"/>
      <c r="J15" s="107"/>
      <c r="K15" s="107"/>
      <c r="L15" s="107"/>
      <c r="M15" s="107"/>
      <c r="N15" s="107"/>
      <c r="O15" s="121"/>
    </row>
    <row r="16" spans="1:15" x14ac:dyDescent="0.25">
      <c r="A16" s="125">
        <v>7</v>
      </c>
      <c r="B16" s="82">
        <v>1500</v>
      </c>
      <c r="C16" s="107"/>
      <c r="D16" s="18"/>
      <c r="E16" s="19">
        <f>DATE(2005,9,1)</f>
        <v>38596</v>
      </c>
      <c r="F16" s="20">
        <v>3000</v>
      </c>
      <c r="G16" s="107"/>
      <c r="H16" s="107"/>
      <c r="I16" s="107"/>
      <c r="J16" s="107"/>
      <c r="K16" s="107"/>
      <c r="L16" s="107"/>
      <c r="M16" s="107"/>
      <c r="N16" s="107"/>
      <c r="O16" s="121"/>
    </row>
    <row r="17" spans="1:15" x14ac:dyDescent="0.25">
      <c r="A17" s="125">
        <v>8</v>
      </c>
      <c r="B17" s="82">
        <v>1500</v>
      </c>
      <c r="C17" s="107"/>
      <c r="D17" s="18"/>
      <c r="E17" s="19">
        <f>DATE(2006,5,1)</f>
        <v>38838</v>
      </c>
      <c r="F17" s="20">
        <v>3000</v>
      </c>
      <c r="G17" s="110"/>
      <c r="H17" s="107"/>
      <c r="I17" s="107"/>
      <c r="J17" s="107"/>
      <c r="K17" s="107"/>
      <c r="L17" s="107"/>
      <c r="M17" s="107"/>
      <c r="N17" s="107"/>
      <c r="O17" s="121"/>
    </row>
    <row r="18" spans="1:15" x14ac:dyDescent="0.25">
      <c r="A18" s="125">
        <v>9</v>
      </c>
      <c r="B18" s="82">
        <v>1500</v>
      </c>
      <c r="C18" s="107"/>
      <c r="D18" s="18"/>
      <c r="E18" s="19">
        <f>DATE(2007,12,1)</f>
        <v>39417</v>
      </c>
      <c r="F18" s="20">
        <v>1000</v>
      </c>
      <c r="G18" s="111"/>
      <c r="H18" s="107"/>
      <c r="I18" s="107"/>
      <c r="J18" s="107"/>
      <c r="K18" s="107"/>
      <c r="L18" s="107"/>
      <c r="M18" s="107"/>
      <c r="N18" s="107"/>
      <c r="O18" s="121"/>
    </row>
    <row r="19" spans="1:15" x14ac:dyDescent="0.25">
      <c r="A19" s="125">
        <v>10</v>
      </c>
      <c r="B19" s="82">
        <v>1500</v>
      </c>
      <c r="C19" s="107"/>
      <c r="D19" s="18"/>
      <c r="E19" s="19">
        <f>DATE(2008,1,1)</f>
        <v>39448</v>
      </c>
      <c r="F19" s="20">
        <v>3000</v>
      </c>
      <c r="G19" s="107"/>
      <c r="H19" s="107"/>
      <c r="I19" s="107"/>
      <c r="J19" s="107"/>
      <c r="K19" s="107"/>
      <c r="L19" s="107"/>
      <c r="M19" s="107"/>
      <c r="N19" s="107"/>
      <c r="O19" s="121"/>
    </row>
    <row r="20" spans="1:15" x14ac:dyDescent="0.25">
      <c r="A20" s="126"/>
      <c r="B20" s="21"/>
      <c r="C20" s="107"/>
      <c r="D20" s="18"/>
      <c r="E20" s="18"/>
      <c r="F20" s="18"/>
      <c r="G20" s="107"/>
      <c r="H20" s="107"/>
      <c r="I20" s="107"/>
      <c r="J20" s="107"/>
      <c r="K20" s="107"/>
      <c r="L20" s="107"/>
      <c r="M20" s="107"/>
      <c r="N20" s="107"/>
      <c r="O20" s="121"/>
    </row>
    <row r="21" spans="1:15" x14ac:dyDescent="0.25">
      <c r="A21" s="127"/>
      <c r="B21" s="92"/>
      <c r="C21" s="107"/>
      <c r="D21" s="18"/>
      <c r="E21" s="18" t="s">
        <v>17</v>
      </c>
      <c r="F21" s="37">
        <f>XIRR(F9:F19,E9:E19)</f>
        <v>0.23696971535682679</v>
      </c>
      <c r="G21" s="107"/>
      <c r="H21" s="112" t="s">
        <v>44</v>
      </c>
      <c r="I21" s="112"/>
      <c r="J21" s="112"/>
      <c r="K21" s="112"/>
      <c r="L21" s="112"/>
      <c r="M21" s="112"/>
      <c r="N21" s="112"/>
      <c r="O21" s="128"/>
    </row>
    <row r="22" spans="1:15" x14ac:dyDescent="0.25">
      <c r="A22" s="125" t="s">
        <v>8</v>
      </c>
      <c r="B22" s="40">
        <f>IRR(B9:B19)</f>
        <v>8.1441656464365852E-2</v>
      </c>
      <c r="C22" s="107"/>
      <c r="D22" s="18"/>
      <c r="E22" s="18" t="s">
        <v>18</v>
      </c>
      <c r="F22" s="80">
        <f>XNPV(F7,F9:F19,E9:E19)</f>
        <v>3708.7639854497293</v>
      </c>
      <c r="G22" s="107"/>
      <c r="H22" s="112" t="s">
        <v>49</v>
      </c>
      <c r="I22" s="112"/>
      <c r="J22" s="112"/>
      <c r="K22" s="112"/>
      <c r="L22" s="112"/>
      <c r="M22" s="112"/>
      <c r="N22" s="112"/>
      <c r="O22" s="128"/>
    </row>
    <row r="23" spans="1:15" ht="15.75" thickBot="1" x14ac:dyDescent="0.3">
      <c r="A23" s="129"/>
      <c r="B23" s="130"/>
      <c r="C23" s="131"/>
      <c r="D23" s="132"/>
      <c r="E23" s="132"/>
      <c r="F23" s="132"/>
      <c r="G23" s="131"/>
      <c r="H23" s="131"/>
      <c r="I23" s="131"/>
      <c r="J23" s="131"/>
      <c r="K23" s="131"/>
      <c r="L23" s="131"/>
      <c r="M23" s="131"/>
      <c r="N23" s="131"/>
      <c r="O23" s="133"/>
    </row>
  </sheetData>
  <mergeCells count="7">
    <mergeCell ref="A5:I5"/>
    <mergeCell ref="A21:B21"/>
    <mergeCell ref="H21:O21"/>
    <mergeCell ref="H22:O22"/>
    <mergeCell ref="A1:I1"/>
    <mergeCell ref="A2:I2"/>
    <mergeCell ref="A3:I3"/>
  </mergeCells>
  <pageMargins left="0.78749999999999998" right="0.78749999999999998" top="1.0249999999999999" bottom="1.0249999999999999" header="0.78749999999999998" footer="0.78749999999999998"/>
  <pageSetup firstPageNumber="0" orientation="portrait" horizontalDpi="300" verticalDpi="300" r:id="rId1"/>
  <headerFooter alignWithMargins="0">
    <oddHeader>&amp;C&amp;"Arial,Regular"&amp;10&amp;A</oddHeader>
    <oddFooter>&amp;C&amp;"Arial,Regular"&amp;10Page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7"/>
  <sheetViews>
    <sheetView zoomScale="130" zoomScaleNormal="130" workbookViewId="0"/>
  </sheetViews>
  <sheetFormatPr defaultColWidth="11.5703125" defaultRowHeight="15" x14ac:dyDescent="0.25"/>
  <cols>
    <col min="1" max="1" width="18.85546875" style="22" customWidth="1"/>
    <col min="2" max="2" width="11.5703125" style="22" customWidth="1"/>
    <col min="3" max="3" width="11.5703125" style="22"/>
    <col min="4" max="4" width="17.42578125" style="22" customWidth="1"/>
    <col min="5" max="5" width="15" style="22" customWidth="1"/>
    <col min="6" max="6" width="11.5703125" style="22"/>
    <col min="7" max="7" width="11.5703125" style="22" customWidth="1"/>
    <col min="8" max="16384" width="11.5703125" style="22"/>
  </cols>
  <sheetData>
    <row r="2" spans="1:9" ht="18.75" x14ac:dyDescent="0.3">
      <c r="A2" s="28"/>
      <c r="B2" s="94" t="s">
        <v>33</v>
      </c>
      <c r="C2" s="94"/>
      <c r="D2" s="94"/>
      <c r="E2" s="94"/>
      <c r="F2" s="94"/>
      <c r="G2" s="94"/>
      <c r="H2" s="94"/>
      <c r="I2" s="94"/>
    </row>
    <row r="3" spans="1:9" x14ac:dyDescent="0.25">
      <c r="A3" s="24"/>
      <c r="B3" s="24"/>
      <c r="C3" s="24"/>
      <c r="D3" s="24"/>
      <c r="E3" s="24"/>
      <c r="F3" s="29"/>
    </row>
    <row r="4" spans="1:9" ht="15.75" thickBot="1" x14ac:dyDescent="0.3">
      <c r="A4" s="25"/>
      <c r="B4" s="23"/>
      <c r="C4" s="26"/>
      <c r="D4" s="24"/>
      <c r="E4" s="24"/>
      <c r="F4" s="29"/>
    </row>
    <row r="5" spans="1:9" ht="19.5" thickBot="1" x14ac:dyDescent="0.35">
      <c r="A5" s="25"/>
      <c r="B5" s="23"/>
      <c r="C5" s="26"/>
      <c r="D5" s="38" t="s">
        <v>25</v>
      </c>
      <c r="E5" s="41">
        <v>-0.81699573188186936</v>
      </c>
      <c r="F5" s="95" t="s">
        <v>26</v>
      </c>
      <c r="G5" s="96"/>
      <c r="H5" s="96"/>
    </row>
    <row r="6" spans="1:9" ht="19.5" thickBot="1" x14ac:dyDescent="0.35">
      <c r="A6" s="29"/>
      <c r="B6" s="29"/>
      <c r="C6" s="29"/>
      <c r="D6" s="38" t="s">
        <v>34</v>
      </c>
      <c r="E6" s="42">
        <f>E5^5+3*E5^3+2</f>
        <v>1.2150480138028996E-5</v>
      </c>
      <c r="F6" s="29"/>
    </row>
    <row r="7" spans="1:9" x14ac:dyDescent="0.25">
      <c r="A7" s="33"/>
      <c r="B7" s="29"/>
      <c r="C7" s="33"/>
      <c r="D7" s="55"/>
      <c r="E7" s="27"/>
      <c r="F7" s="27"/>
    </row>
    <row r="8" spans="1:9" x14ac:dyDescent="0.25">
      <c r="A8" s="30"/>
      <c r="B8" s="93" t="s">
        <v>37</v>
      </c>
      <c r="C8" s="93"/>
      <c r="D8" s="93"/>
      <c r="E8" s="93"/>
      <c r="F8" s="93"/>
      <c r="G8" s="93"/>
      <c r="H8" s="93"/>
      <c r="I8" s="93"/>
    </row>
    <row r="9" spans="1:9" x14ac:dyDescent="0.25">
      <c r="A9" s="30"/>
      <c r="B9" s="93"/>
      <c r="C9" s="93"/>
      <c r="D9" s="93"/>
      <c r="E9" s="93"/>
      <c r="F9" s="93"/>
      <c r="G9" s="93"/>
      <c r="H9" s="93"/>
      <c r="I9" s="93"/>
    </row>
    <row r="10" spans="1:9" x14ac:dyDescent="0.25">
      <c r="A10" s="32"/>
    </row>
    <row r="11" spans="1:9" x14ac:dyDescent="0.25">
      <c r="A11" s="30"/>
    </row>
    <row r="12" spans="1:9" ht="18.75" x14ac:dyDescent="0.3">
      <c r="A12" s="29"/>
      <c r="B12" s="29"/>
      <c r="C12" s="29"/>
      <c r="D12" s="38" t="s">
        <v>45</v>
      </c>
      <c r="E12" s="74">
        <v>200000</v>
      </c>
      <c r="F12" s="31"/>
    </row>
    <row r="13" spans="1:9" ht="19.5" thickBot="1" x14ac:dyDescent="0.35">
      <c r="A13" s="29"/>
      <c r="B13" s="29"/>
      <c r="C13" s="29"/>
      <c r="D13" s="38" t="s">
        <v>46</v>
      </c>
      <c r="E13" s="74">
        <v>2000</v>
      </c>
      <c r="F13" s="87" t="s">
        <v>50</v>
      </c>
      <c r="G13" s="87"/>
      <c r="H13" s="87"/>
    </row>
    <row r="14" spans="1:9" ht="19.5" thickBot="1" x14ac:dyDescent="0.35">
      <c r="D14" s="38" t="s">
        <v>53</v>
      </c>
      <c r="E14" s="75">
        <f>RATE(170,-E13,E12,0,0)*12</f>
        <v>8.2626557795468708E-2</v>
      </c>
    </row>
    <row r="15" spans="1:9" x14ac:dyDescent="0.25">
      <c r="D15" s="65"/>
      <c r="E15" s="52"/>
    </row>
    <row r="16" spans="1:9" x14ac:dyDescent="0.25">
      <c r="D16" s="68"/>
      <c r="E16" s="53"/>
    </row>
    <row r="17" spans="4:4" x14ac:dyDescent="0.25">
      <c r="D17" s="52"/>
    </row>
  </sheetData>
  <mergeCells count="4">
    <mergeCell ref="B8:I9"/>
    <mergeCell ref="B2:I2"/>
    <mergeCell ref="F5:H5"/>
    <mergeCell ref="F13:H13"/>
  </mergeCells>
  <pageMargins left="0.78749999999999998" right="0.78749999999999998" top="1.0249999999999999" bottom="1.0249999999999999" header="0.78749999999999998" footer="0.78749999999999998"/>
  <pageSetup firstPageNumber="0" orientation="portrait" horizontalDpi="300" verticalDpi="300"/>
  <headerFooter alignWithMargins="0">
    <oddHeader>&amp;C&amp;"Arial,Regular"&amp;10&amp;A</oddHeader>
    <oddFooter>&amp;C&amp;"Arial,Regular"&amp;10Page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4"/>
  <sheetViews>
    <sheetView tabSelected="1" zoomScaleNormal="100" workbookViewId="0">
      <selection activeCell="D22" sqref="D22"/>
    </sheetView>
  </sheetViews>
  <sheetFormatPr defaultColWidth="11.5703125" defaultRowHeight="15" x14ac:dyDescent="0.25"/>
  <cols>
    <col min="2" max="2" width="22.28515625" bestFit="1" customWidth="1"/>
    <col min="3" max="4" width="20.42578125" bestFit="1" customWidth="1"/>
    <col min="6" max="6" width="26.7109375" customWidth="1"/>
    <col min="7" max="8" width="19.42578125" bestFit="1" customWidth="1"/>
  </cols>
  <sheetData>
    <row r="2" spans="1:9" x14ac:dyDescent="0.25">
      <c r="A2" t="s">
        <v>19</v>
      </c>
    </row>
    <row r="4" spans="1:9" x14ac:dyDescent="0.25">
      <c r="A4" t="s">
        <v>20</v>
      </c>
    </row>
    <row r="5" spans="1:9" x14ac:dyDescent="0.25">
      <c r="A5" t="s">
        <v>21</v>
      </c>
      <c r="E5" s="77" t="s">
        <v>47</v>
      </c>
    </row>
    <row r="6" spans="1:9" x14ac:dyDescent="0.25">
      <c r="A6" t="s">
        <v>22</v>
      </c>
    </row>
    <row r="7" spans="1:9" x14ac:dyDescent="0.25">
      <c r="A7" t="s">
        <v>23</v>
      </c>
    </row>
    <row r="8" spans="1:9" x14ac:dyDescent="0.25">
      <c r="F8" s="45"/>
      <c r="G8" s="44"/>
      <c r="H8" s="44"/>
    </row>
    <row r="9" spans="1:9" x14ac:dyDescent="0.25">
      <c r="F9" s="45"/>
      <c r="G9" s="44"/>
      <c r="H9" s="44"/>
      <c r="I9" s="45"/>
    </row>
    <row r="10" spans="1:9" x14ac:dyDescent="0.25">
      <c r="A10" s="61" t="s">
        <v>1</v>
      </c>
      <c r="B10" s="61" t="s">
        <v>11</v>
      </c>
      <c r="C10" s="61" t="s">
        <v>12</v>
      </c>
      <c r="F10" s="45"/>
      <c r="G10" s="44"/>
      <c r="H10" s="44"/>
      <c r="I10" s="45"/>
    </row>
    <row r="11" spans="1:9" x14ac:dyDescent="0.25">
      <c r="A11" s="61">
        <v>0</v>
      </c>
      <c r="B11" s="61">
        <v>-100</v>
      </c>
      <c r="C11" s="61">
        <v>-150</v>
      </c>
      <c r="E11" s="51"/>
      <c r="F11" s="51"/>
      <c r="G11" s="44"/>
      <c r="H11" s="44"/>
      <c r="I11" s="45"/>
    </row>
    <row r="12" spans="1:9" x14ac:dyDescent="0.25">
      <c r="A12" s="61">
        <v>1</v>
      </c>
      <c r="B12" s="61">
        <v>30</v>
      </c>
      <c r="C12" s="61">
        <v>42</v>
      </c>
      <c r="E12" s="51"/>
      <c r="F12" s="51"/>
      <c r="G12" s="44"/>
      <c r="H12" s="44"/>
      <c r="I12" s="45"/>
    </row>
    <row r="13" spans="1:9" x14ac:dyDescent="0.25">
      <c r="A13" s="61">
        <v>2</v>
      </c>
      <c r="B13" s="61">
        <v>30</v>
      </c>
      <c r="C13" s="61">
        <v>42</v>
      </c>
      <c r="D13" s="54"/>
      <c r="E13" s="51"/>
      <c r="F13" s="45"/>
      <c r="G13" s="44"/>
      <c r="H13" s="44"/>
      <c r="I13" s="45"/>
    </row>
    <row r="14" spans="1:9" x14ac:dyDescent="0.25">
      <c r="A14" s="61">
        <v>3</v>
      </c>
      <c r="B14" s="61">
        <v>30</v>
      </c>
      <c r="C14" s="61">
        <v>42</v>
      </c>
      <c r="F14" s="45"/>
      <c r="G14" s="44"/>
      <c r="H14" s="67"/>
      <c r="I14" s="45"/>
    </row>
    <row r="15" spans="1:9" x14ac:dyDescent="0.25">
      <c r="A15" s="61">
        <v>4</v>
      </c>
      <c r="B15" s="61">
        <v>30</v>
      </c>
      <c r="C15" s="61">
        <v>42</v>
      </c>
      <c r="F15" s="97" t="s">
        <v>32</v>
      </c>
      <c r="G15" s="98"/>
      <c r="H15" s="66"/>
    </row>
    <row r="16" spans="1:9" x14ac:dyDescent="0.25">
      <c r="A16" s="61">
        <v>5</v>
      </c>
      <c r="B16" s="61">
        <v>30</v>
      </c>
      <c r="C16" s="61">
        <v>42</v>
      </c>
      <c r="D16" s="45"/>
      <c r="F16" s="51" t="s">
        <v>31</v>
      </c>
      <c r="G16" s="43">
        <v>6.4017922753410575E-2</v>
      </c>
      <c r="H16" s="59"/>
    </row>
    <row r="17" spans="1:8" x14ac:dyDescent="0.25">
      <c r="A17" s="62" t="s">
        <v>5</v>
      </c>
      <c r="B17" s="63">
        <f>NPV(5%,B12:B16)+B11</f>
        <v>29.884300118924557</v>
      </c>
      <c r="C17" s="63">
        <f>NPV(5%,C12:C16)+C11</f>
        <v>31.838020166494402</v>
      </c>
      <c r="D17" s="43"/>
      <c r="F17" s="51" t="s">
        <v>35</v>
      </c>
      <c r="G17" s="44">
        <f>NPV(G16,B12:B16)+B11</f>
        <v>25.001515368385725</v>
      </c>
      <c r="H17" s="44"/>
    </row>
    <row r="18" spans="1:8" x14ac:dyDescent="0.25">
      <c r="A18" s="64" t="s">
        <v>8</v>
      </c>
      <c r="B18" s="76">
        <f>IRR(B11:B16)</f>
        <v>0.15238237116630637</v>
      </c>
      <c r="C18" s="76">
        <f>IRR(C11:C16)</f>
        <v>0.12376241456839532</v>
      </c>
      <c r="D18" s="43"/>
      <c r="F18" s="51" t="s">
        <v>36</v>
      </c>
      <c r="G18" s="44">
        <f>NPV(G16,C12:C16)+C11</f>
        <v>25.002121515740015</v>
      </c>
      <c r="H18" s="44"/>
    </row>
    <row r="19" spans="1:8" x14ac:dyDescent="0.25">
      <c r="B19" s="43"/>
      <c r="C19" s="43"/>
      <c r="F19" s="44"/>
      <c r="G19" s="44"/>
      <c r="H19" s="44"/>
    </row>
    <row r="20" spans="1:8" x14ac:dyDescent="0.25">
      <c r="A20" s="47" t="s">
        <v>31</v>
      </c>
      <c r="B20" s="47" t="s">
        <v>11</v>
      </c>
      <c r="C20" s="47" t="s">
        <v>12</v>
      </c>
      <c r="F20" s="47" t="s">
        <v>48</v>
      </c>
      <c r="G20" s="78">
        <f>G17-G18</f>
        <v>-6.0614735428998756E-4</v>
      </c>
      <c r="H20" s="44"/>
    </row>
    <row r="21" spans="1:8" x14ac:dyDescent="0.25">
      <c r="A21" s="48">
        <v>0.01</v>
      </c>
      <c r="B21" s="46"/>
      <c r="C21" s="46"/>
      <c r="F21" s="45"/>
      <c r="G21" s="44"/>
      <c r="H21" s="44"/>
    </row>
    <row r="22" spans="1:8" x14ac:dyDescent="0.25">
      <c r="A22" s="48">
        <v>0.02</v>
      </c>
      <c r="B22" s="46"/>
      <c r="C22" s="46"/>
    </row>
    <row r="23" spans="1:8" x14ac:dyDescent="0.25">
      <c r="A23" s="48">
        <v>0.03</v>
      </c>
      <c r="B23" s="46"/>
      <c r="C23" s="46"/>
    </row>
    <row r="24" spans="1:8" x14ac:dyDescent="0.25">
      <c r="A24" s="48">
        <v>0.04</v>
      </c>
      <c r="B24" s="46"/>
      <c r="C24" s="46"/>
    </row>
    <row r="25" spans="1:8" x14ac:dyDescent="0.25">
      <c r="A25" s="48">
        <v>0.05</v>
      </c>
      <c r="B25" s="46"/>
      <c r="C25" s="46"/>
    </row>
    <row r="26" spans="1:8" x14ac:dyDescent="0.25">
      <c r="A26" s="48">
        <v>0.06</v>
      </c>
      <c r="B26" s="46"/>
      <c r="C26" s="46"/>
    </row>
    <row r="27" spans="1:8" x14ac:dyDescent="0.25">
      <c r="A27" s="48">
        <v>7.0000000000000007E-2</v>
      </c>
      <c r="B27" s="46"/>
      <c r="C27" s="46"/>
    </row>
    <row r="28" spans="1:8" x14ac:dyDescent="0.25">
      <c r="A28" s="48">
        <v>0.08</v>
      </c>
      <c r="B28" s="46"/>
      <c r="C28" s="46"/>
    </row>
    <row r="29" spans="1:8" x14ac:dyDescent="0.25">
      <c r="A29" s="48">
        <v>0.09</v>
      </c>
      <c r="B29" s="46"/>
      <c r="C29" s="46"/>
    </row>
    <row r="30" spans="1:8" x14ac:dyDescent="0.25">
      <c r="A30" s="48">
        <v>0.1</v>
      </c>
      <c r="B30" s="46"/>
      <c r="C30" s="46"/>
    </row>
    <row r="31" spans="1:8" x14ac:dyDescent="0.25">
      <c r="A31" s="48">
        <v>0.11</v>
      </c>
      <c r="B31" s="46"/>
      <c r="C31" s="46"/>
    </row>
    <row r="32" spans="1:8" x14ac:dyDescent="0.25">
      <c r="A32" s="48">
        <v>0.12</v>
      </c>
      <c r="B32" s="46"/>
      <c r="C32" s="46"/>
    </row>
    <row r="33" spans="1:3" x14ac:dyDescent="0.25">
      <c r="A33" s="48">
        <v>0.13</v>
      </c>
      <c r="B33" s="46"/>
      <c r="C33" s="46"/>
    </row>
    <row r="34" spans="1:3" x14ac:dyDescent="0.25">
      <c r="A34" s="48">
        <v>0.14000000000000001</v>
      </c>
      <c r="B34" s="46"/>
      <c r="C34" s="46"/>
    </row>
  </sheetData>
  <mergeCells count="1">
    <mergeCell ref="F15:G15"/>
  </mergeCells>
  <pageMargins left="0.78749999999999998" right="0.78749999999999998" top="1.0249999999999999" bottom="1.0249999999999999" header="0.78749999999999998" footer="0.78749999999999998"/>
  <pageSetup firstPageNumber="0" orientation="portrait" horizontalDpi="300" verticalDpi="300" r:id="rId1"/>
  <headerFooter alignWithMargins="0">
    <oddHeader>&amp;C&amp;"Arial,Regular"&amp;10&amp;A</oddHeader>
    <oddFooter>&amp;C&amp;"Arial,Regular"&amp;10Page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NPV</vt:lpstr>
      <vt:lpstr>NPV, IRR</vt:lpstr>
      <vt:lpstr>XIRR, XNPV</vt:lpstr>
      <vt:lpstr>Goal Seek</vt:lpstr>
      <vt:lpstr>Cross over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 Lata</dc:creator>
  <cp:lastModifiedBy>Kabir Kanha</cp:lastModifiedBy>
  <dcterms:created xsi:type="dcterms:W3CDTF">2011-05-06T10:38:49Z</dcterms:created>
  <dcterms:modified xsi:type="dcterms:W3CDTF">2018-04-25T06:29:04Z</dcterms:modified>
</cp:coreProperties>
</file>