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neh.lata\Dropbox\Excel-Mon2017\"/>
    </mc:Choice>
  </mc:AlternateContent>
  <bookViews>
    <workbookView xWindow="0" yWindow="0" windowWidth="7470" windowHeight="6930" tabRatio="338" firstSheet="4" activeTab="4"/>
  </bookViews>
  <sheets>
    <sheet name="NPV" sheetId="1" r:id="rId1"/>
    <sheet name="NPV, IRR" sheetId="2" r:id="rId2"/>
    <sheet name="XIRR, XNPV" sheetId="3" r:id="rId3"/>
    <sheet name="Goal Seek" sheetId="4" r:id="rId4"/>
    <sheet name="Cross over rate" sheetId="5" r:id="rId5"/>
  </sheets>
  <definedNames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'Goal Seek'!$A$8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52511" iterate="1" iterateCount="1" iterateDelta="1E-4"/>
</workbook>
</file>

<file path=xl/calcChain.xml><?xml version="1.0" encoding="utf-8"?>
<calcChain xmlns="http://schemas.openxmlformats.org/spreadsheetml/2006/main">
  <c r="G18" i="5" l="1"/>
  <c r="G17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21" i="5"/>
  <c r="C18" i="5"/>
  <c r="B18" i="5"/>
  <c r="C17" i="5"/>
  <c r="B17" i="5"/>
  <c r="E19" i="4"/>
  <c r="D19" i="4"/>
  <c r="G19" i="5" l="1"/>
  <c r="E6" i="4"/>
  <c r="F23" i="3"/>
  <c r="F22" i="3"/>
  <c r="D20" i="2"/>
  <c r="B20" i="2"/>
  <c r="D19" i="2"/>
  <c r="B19" i="2"/>
  <c r="D18" i="2"/>
  <c r="B18" i="2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24" i="1"/>
  <c r="F12" i="1"/>
  <c r="E12" i="1"/>
  <c r="D21" i="1"/>
  <c r="D18" i="1"/>
  <c r="D14" i="1"/>
  <c r="D15" i="1"/>
  <c r="D16" i="1"/>
  <c r="D13" i="1"/>
  <c r="D12" i="1"/>
  <c r="E10" i="3" l="1"/>
  <c r="E11" i="3"/>
  <c r="E12" i="3"/>
  <c r="E13" i="3"/>
  <c r="E14" i="3"/>
  <c r="E15" i="3"/>
  <c r="E16" i="3"/>
  <c r="E17" i="3"/>
  <c r="E18" i="3"/>
  <c r="E19" i="3"/>
  <c r="E20" i="3"/>
</calcChain>
</file>

<file path=xl/sharedStrings.xml><?xml version="1.0" encoding="utf-8"?>
<sst xmlns="http://schemas.openxmlformats.org/spreadsheetml/2006/main" count="62" uniqueCount="45">
  <si>
    <t>Further a range of interest rates is given below. Calculate the NPV correspondig to each of these and plot a graph showing how NPV varies with interest rates</t>
  </si>
  <si>
    <t>Interest Rate</t>
  </si>
  <si>
    <t>Year</t>
  </si>
  <si>
    <t>Payment at end of year</t>
  </si>
  <si>
    <t>Present Value</t>
  </si>
  <si>
    <t>Present value of all payments</t>
  </si>
  <si>
    <t xml:space="preserve">Present value returned by </t>
  </si>
  <si>
    <t>Excel's NPV function</t>
  </si>
  <si>
    <t>NPV</t>
  </si>
  <si>
    <t>1)</t>
  </si>
  <si>
    <t>2)</t>
  </si>
  <si>
    <t>IRR</t>
  </si>
  <si>
    <t>CHOOSING BETWEEN PROJECTS</t>
  </si>
  <si>
    <t>Interest rate</t>
  </si>
  <si>
    <t>Project A</t>
  </si>
  <si>
    <t>Project B</t>
  </si>
  <si>
    <t>versions of these functions bail you out.</t>
  </si>
  <si>
    <t>USING IRR, XIRR and XNPV Functions</t>
  </si>
  <si>
    <t>Payment</t>
  </si>
  <si>
    <t>Dates</t>
  </si>
  <si>
    <t>XIRR</t>
  </si>
  <si>
    <t>XNPV</t>
  </si>
  <si>
    <t xml:space="preserve">Consider two projects whose cashflows are given below. </t>
  </si>
  <si>
    <t>(a) Find the NPV at the market rate of 5% and IRR of the two projects?</t>
  </si>
  <si>
    <t>(b) Do the recomendations on the basis of NPV and IRR conflicts?</t>
  </si>
  <si>
    <t>(c) Compute the crossover rate, that is the rate for which NPV of project A is equal to the NPV of project B.</t>
  </si>
  <si>
    <t>(d) For what rates the NPV and IRR recommendations agree?</t>
  </si>
  <si>
    <t xml:space="preserve">There are two projects (A and B) available to you for investment. If the current market rate is 12%, which one will you prefer on the basis of   </t>
  </si>
  <si>
    <t>Root</t>
  </si>
  <si>
    <t>Give the initial value in this cell</t>
  </si>
  <si>
    <t>If you are faced with a general situation where payments occur at unequal intervals, then 'X'</t>
  </si>
  <si>
    <t>Uptil now you have seen that NPV and IRR functions work only when the cash flow occurs at regular intervals.</t>
  </si>
  <si>
    <t>Consider the cash flow given below. The interest rate is 5%. calculate the PV of each payment in the neighbouring cell and find the sum of all PVs.</t>
  </si>
  <si>
    <t>Also calculate NPV by using NPV function and verify that it matches with the sum of all PVs.</t>
  </si>
  <si>
    <t>Rate</t>
  </si>
  <si>
    <t>Find the Crossover Rate using Goal Seek</t>
  </si>
  <si>
    <t>Find the roots of  "x^5+3x^3+2" using GoalSeek tool</t>
  </si>
  <si>
    <t>x^5+3x^3+2</t>
  </si>
  <si>
    <t>NPVA</t>
  </si>
  <si>
    <t>NPVB</t>
  </si>
  <si>
    <t xml:space="preserve">Suppose you want to borrow $200,000. You want to take 170 months to pay off the loan, and you can afford payments of $2000 per month. </t>
  </si>
  <si>
    <t>loan amt</t>
  </si>
  <si>
    <t>time</t>
  </si>
  <si>
    <t>rate</t>
  </si>
  <si>
    <t>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</si>
</sst>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8" formatCode="&quot;₹&quot;\ #,##0.00;[Red]&quot;₹&quot;\ \-#,##0.00"/>
    <numFmt numFmtId="164" formatCode="d\-mmm\-yy;@"/>
    <numFmt numFmtId="165" formatCode="0.000"/>
    <numFmt numFmtId="166" formatCode="0.0000000000000%"/>
    <numFmt numFmtId="167" formatCode="0.0E+00"/>
    <numFmt numFmtId="168" formatCode="0.000000000000000000%"/>
    <numFmt numFmtId="169" formatCode="0.0000000000000"/>
    <numFmt numFmtId="170" formatCode="0.0000"/>
  </numFmts>
  <fonts count="10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sz val="11"/>
      <color indexed="56"/>
      <name val="Calibri"/>
      <family val="2"/>
    </font>
    <font>
      <sz val="11"/>
      <color indexed="8"/>
      <name val="Calibri"/>
      <family val="2"/>
    </font>
    <font>
      <b/>
      <sz val="14"/>
      <color indexed="56"/>
      <name val="Calibri"/>
      <family val="2"/>
    </font>
    <font>
      <sz val="14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46"/>
        <bgColor indexed="24"/>
      </patternFill>
    </fill>
    <fill>
      <patternFill patternType="solid">
        <fgColor indexed="20"/>
        <bgColor indexed="36"/>
      </patternFill>
    </fill>
    <fill>
      <patternFill patternType="solid">
        <fgColor indexed="13"/>
        <bgColor indexed="34"/>
      </patternFill>
    </fill>
    <fill>
      <patternFill patternType="solid">
        <fgColor indexed="34"/>
        <bgColor indexed="1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36"/>
      </patternFill>
    </fill>
    <fill>
      <patternFill patternType="solid">
        <fgColor rgb="FFFFFF00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0" borderId="1" applyNumberFormat="0" applyFill="0" applyAlignment="0" applyProtection="0"/>
  </cellStyleXfs>
  <cellXfs count="95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/>
    <xf numFmtId="0" fontId="0" fillId="0" borderId="0" xfId="0" applyFont="1" applyAlignment="1">
      <alignment horizontal="left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left"/>
    </xf>
    <xf numFmtId="2" fontId="0" fillId="6" borderId="0" xfId="0" applyNumberFormat="1" applyFill="1"/>
    <xf numFmtId="0" fontId="0" fillId="0" borderId="0" xfId="0" applyFill="1"/>
    <xf numFmtId="10" fontId="0" fillId="6" borderId="0" xfId="0" applyNumberFormat="1" applyFill="1"/>
    <xf numFmtId="9" fontId="1" fillId="0" borderId="0" xfId="0" applyNumberFormat="1" applyFont="1" applyAlignment="1">
      <alignment horizontal="center"/>
    </xf>
    <xf numFmtId="0" fontId="5" fillId="2" borderId="0" xfId="1" applyNumberFormat="1" applyBorder="1" applyAlignment="1" applyProtection="1">
      <alignment horizontal="center"/>
    </xf>
    <xf numFmtId="0" fontId="0" fillId="3" borderId="0" xfId="2" applyNumberFormat="1" applyFont="1" applyBorder="1" applyAlignment="1" applyProtection="1">
      <alignment horizontal="left"/>
    </xf>
    <xf numFmtId="0" fontId="5" fillId="3" borderId="0" xfId="2" applyNumberFormat="1" applyBorder="1" applyAlignment="1" applyProtection="1">
      <alignment horizontal="center"/>
    </xf>
    <xf numFmtId="9" fontId="5" fillId="3" borderId="0" xfId="2" applyNumberFormat="1" applyBorder="1" applyAlignment="1" applyProtection="1">
      <alignment horizontal="center"/>
    </xf>
    <xf numFmtId="0" fontId="5" fillId="3" borderId="0" xfId="2" applyNumberFormat="1" applyBorder="1" applyAlignment="1" applyProtection="1"/>
    <xf numFmtId="164" fontId="5" fillId="3" borderId="0" xfId="2" applyNumberFormat="1" applyBorder="1" applyAlignment="1" applyProtection="1"/>
    <xf numFmtId="3" fontId="5" fillId="3" borderId="0" xfId="2" applyNumberFormat="1" applyBorder="1" applyAlignment="1" applyProtection="1"/>
    <xf numFmtId="0" fontId="5" fillId="2" borderId="0" xfId="1" applyNumberFormat="1" applyBorder="1" applyAlignment="1" applyProtection="1"/>
    <xf numFmtId="0" fontId="0" fillId="0" borderId="0" xfId="0" applyFont="1"/>
    <xf numFmtId="0" fontId="0" fillId="0" borderId="0" xfId="5" applyNumberFormat="1" applyFont="1" applyFill="1" applyBorder="1" applyAlignment="1" applyProtection="1">
      <alignment horizontal="center"/>
    </xf>
    <xf numFmtId="0" fontId="4" fillId="0" borderId="0" xfId="5" applyNumberFormat="1" applyFont="1" applyFill="1" applyBorder="1" applyAlignment="1" applyProtection="1">
      <alignment horizontal="center"/>
    </xf>
    <xf numFmtId="0" fontId="0" fillId="0" borderId="0" xfId="5" applyNumberFormat="1" applyFont="1" applyFill="1" applyBorder="1" applyAlignment="1" applyProtection="1">
      <alignment horizontal="left"/>
    </xf>
    <xf numFmtId="9" fontId="0" fillId="0" borderId="0" xfId="5" applyNumberFormat="1" applyFont="1" applyFill="1" applyBorder="1" applyAlignment="1" applyProtection="1">
      <alignment horizontal="center"/>
    </xf>
    <xf numFmtId="0" fontId="4" fillId="0" borderId="0" xfId="5" applyNumberFormat="1" applyFont="1" applyFill="1" applyBorder="1" applyAlignment="1" applyProtection="1">
      <alignment horizontal="center" vertical="center" wrapText="1"/>
    </xf>
    <xf numFmtId="0" fontId="0" fillId="0" borderId="0" xfId="5" applyNumberFormat="1" applyFont="1" applyFill="1" applyBorder="1" applyAlignment="1" applyProtection="1"/>
    <xf numFmtId="0" fontId="0" fillId="0" borderId="0" xfId="0" applyFont="1" applyFill="1" applyBorder="1"/>
    <xf numFmtId="0" fontId="0" fillId="0" borderId="0" xfId="5" applyNumberFormat="1" applyFont="1" applyFill="1" applyBorder="1" applyAlignment="1" applyProtection="1">
      <alignment horizontal="center" vertical="center"/>
    </xf>
    <xf numFmtId="9" fontId="4" fillId="0" borderId="0" xfId="5" applyNumberFormat="1" applyFont="1" applyFill="1" applyBorder="1" applyAlignment="1" applyProtection="1">
      <alignment horizontal="center"/>
    </xf>
    <xf numFmtId="2" fontId="0" fillId="0" borderId="0" xfId="0" applyNumberFormat="1" applyFont="1" applyFill="1" applyBorder="1" applyAlignment="1">
      <alignment horizontal="center"/>
    </xf>
    <xf numFmtId="10" fontId="0" fillId="0" borderId="0" xfId="5" applyNumberFormat="1" applyFont="1" applyFill="1" applyBorder="1" applyAlignment="1" applyProtection="1">
      <alignment horizontal="center"/>
    </xf>
    <xf numFmtId="0" fontId="4" fillId="0" borderId="0" xfId="5" applyNumberFormat="1" applyFont="1" applyFill="1" applyBorder="1" applyAlignment="1" applyProtection="1">
      <alignment horizontal="center" vertical="center"/>
    </xf>
    <xf numFmtId="0" fontId="0" fillId="0" borderId="0" xfId="5" applyNumberFormat="1" applyFont="1" applyFill="1" applyBorder="1" applyAlignment="1" applyProtection="1">
      <alignment horizontal="center" vertical="center" wrapText="1"/>
    </xf>
    <xf numFmtId="0" fontId="1" fillId="8" borderId="0" xfId="0" applyFont="1" applyFill="1" applyBorder="1" applyAlignment="1">
      <alignment horizontal="left"/>
    </xf>
    <xf numFmtId="0" fontId="0" fillId="8" borderId="0" xfId="0" applyFill="1"/>
    <xf numFmtId="0" fontId="1" fillId="8" borderId="0" xfId="0" applyFont="1" applyFill="1" applyAlignment="1">
      <alignment horizontal="center"/>
    </xf>
    <xf numFmtId="0" fontId="0" fillId="8" borderId="0" xfId="0" applyFill="1" applyAlignment="1"/>
    <xf numFmtId="0" fontId="1" fillId="8" borderId="0" xfId="0" applyFont="1" applyFill="1"/>
    <xf numFmtId="0" fontId="1" fillId="8" borderId="0" xfId="0" applyFont="1" applyFill="1" applyBorder="1" applyAlignment="1">
      <alignment horizontal="center"/>
    </xf>
    <xf numFmtId="0" fontId="0" fillId="8" borderId="0" xfId="5" applyNumberFormat="1" applyFont="1" applyFill="1" applyBorder="1" applyAlignment="1" applyProtection="1"/>
    <xf numFmtId="10" fontId="5" fillId="10" borderId="0" xfId="3" applyNumberFormat="1" applyFill="1" applyBorder="1" applyAlignment="1" applyProtection="1"/>
    <xf numFmtId="0" fontId="0" fillId="0" borderId="0" xfId="0" applyFill="1" applyBorder="1"/>
    <xf numFmtId="0" fontId="6" fillId="12" borderId="0" xfId="5" applyNumberFormat="1" applyFont="1" applyFill="1" applyBorder="1" applyAlignment="1" applyProtection="1">
      <alignment horizontal="center"/>
    </xf>
    <xf numFmtId="0" fontId="7" fillId="8" borderId="0" xfId="5" applyNumberFormat="1" applyFont="1" applyFill="1" applyBorder="1" applyAlignment="1" applyProtection="1"/>
    <xf numFmtId="2" fontId="0" fillId="6" borderId="0" xfId="0" applyNumberFormat="1" applyFill="1" applyAlignment="1">
      <alignment horizontal="center"/>
    </xf>
    <xf numFmtId="9" fontId="8" fillId="9" borderId="0" xfId="4" applyNumberFormat="1" applyFont="1" applyFill="1" applyBorder="1" applyAlignment="1" applyProtection="1"/>
    <xf numFmtId="165" fontId="0" fillId="11" borderId="2" xfId="0" applyNumberFormat="1" applyFont="1" applyFill="1" applyBorder="1" applyAlignment="1">
      <alignment horizontal="center"/>
    </xf>
    <xf numFmtId="10" fontId="0" fillId="0" borderId="0" xfId="0" applyNumberFormat="1"/>
    <xf numFmtId="2" fontId="0" fillId="0" borderId="0" xfId="0" applyNumberFormat="1"/>
    <xf numFmtId="9" fontId="0" fillId="0" borderId="0" xfId="0" applyNumberFormat="1"/>
    <xf numFmtId="2" fontId="0" fillId="0" borderId="0" xfId="0" applyNumberFormat="1" applyAlignment="1">
      <alignment horizontal="center"/>
    </xf>
    <xf numFmtId="0" fontId="1" fillId="13" borderId="0" xfId="0" applyFont="1" applyFill="1" applyAlignment="1">
      <alignment horizontal="center"/>
    </xf>
    <xf numFmtId="9" fontId="1" fillId="13" borderId="0" xfId="0" applyNumberFormat="1" applyFont="1" applyFill="1" applyAlignment="1">
      <alignment horizontal="center"/>
    </xf>
    <xf numFmtId="8" fontId="0" fillId="0" borderId="0" xfId="0" applyNumberFormat="1" applyAlignment="1">
      <alignment horizontal="center"/>
    </xf>
    <xf numFmtId="14" fontId="5" fillId="3" borderId="0" xfId="2" applyNumberFormat="1" applyBorder="1" applyAlignment="1" applyProtection="1"/>
    <xf numFmtId="8" fontId="0" fillId="0" borderId="0" xfId="5" applyNumberFormat="1" applyFont="1" applyFill="1" applyBorder="1" applyAlignment="1" applyProtection="1"/>
    <xf numFmtId="8" fontId="0" fillId="0" borderId="0" xfId="5" applyNumberFormat="1" applyFont="1" applyFill="1" applyBorder="1" applyAlignment="1" applyProtection="1">
      <alignment horizontal="center" vertical="center"/>
    </xf>
    <xf numFmtId="8" fontId="0" fillId="0" borderId="0" xfId="5" applyNumberFormat="1" applyFont="1" applyFill="1" applyBorder="1" applyAlignment="1" applyProtection="1">
      <alignment horizontal="center"/>
    </xf>
    <xf numFmtId="8" fontId="0" fillId="0" borderId="0" xfId="0" applyNumberFormat="1"/>
    <xf numFmtId="14" fontId="0" fillId="0" borderId="0" xfId="0" applyNumberFormat="1"/>
    <xf numFmtId="3" fontId="5" fillId="10" borderId="0" xfId="3" applyNumberFormat="1" applyFill="1" applyBorder="1" applyAlignment="1" applyProtection="1"/>
    <xf numFmtId="9" fontId="0" fillId="0" borderId="0" xfId="0" applyNumberFormat="1" applyFont="1"/>
    <xf numFmtId="8" fontId="0" fillId="0" borderId="0" xfId="0" applyNumberFormat="1" applyFont="1"/>
    <xf numFmtId="166" fontId="0" fillId="0" borderId="0" xfId="0" applyNumberFormat="1"/>
    <xf numFmtId="2" fontId="0" fillId="0" borderId="0" xfId="0" applyNumberFormat="1" applyFont="1" applyFill="1" applyBorder="1"/>
    <xf numFmtId="167" fontId="4" fillId="0" borderId="0" xfId="5" applyNumberFormat="1" applyFont="1" applyFill="1" applyBorder="1" applyAlignment="1" applyProtection="1">
      <alignment horizontal="center"/>
    </xf>
    <xf numFmtId="2" fontId="9" fillId="6" borderId="0" xfId="0" applyNumberFormat="1" applyFont="1" applyFill="1"/>
    <xf numFmtId="168" fontId="0" fillId="0" borderId="0" xfId="0" applyNumberFormat="1"/>
    <xf numFmtId="165" fontId="0" fillId="0" borderId="0" xfId="0" applyNumberFormat="1"/>
    <xf numFmtId="0" fontId="0" fillId="0" borderId="0" xfId="0" applyFill="1" applyBorder="1" applyAlignment="1"/>
    <xf numFmtId="0" fontId="1" fillId="7" borderId="3" xfId="0" applyFont="1" applyFill="1" applyBorder="1" applyAlignment="1">
      <alignment horizontal="center"/>
    </xf>
    <xf numFmtId="0" fontId="1" fillId="15" borderId="3" xfId="0" applyFont="1" applyFill="1" applyBorder="1"/>
    <xf numFmtId="2" fontId="0" fillId="15" borderId="3" xfId="0" applyNumberFormat="1" applyFill="1" applyBorder="1"/>
    <xf numFmtId="0" fontId="1" fillId="16" borderId="3" xfId="0" applyFont="1" applyFill="1" applyBorder="1"/>
    <xf numFmtId="2" fontId="0" fillId="16" borderId="3" xfId="0" applyNumberFormat="1" applyFill="1" applyBorder="1"/>
    <xf numFmtId="169" fontId="0" fillId="6" borderId="0" xfId="0" applyNumberFormat="1" applyFill="1" applyAlignment="1">
      <alignment horizontal="center"/>
    </xf>
    <xf numFmtId="169" fontId="0" fillId="0" borderId="0" xfId="0" applyNumberFormat="1"/>
    <xf numFmtId="170" fontId="0" fillId="0" borderId="0" xfId="0" applyNumberFormat="1"/>
    <xf numFmtId="2" fontId="0" fillId="0" borderId="0" xfId="0" applyNumberFormat="1" applyFont="1"/>
    <xf numFmtId="10" fontId="0" fillId="0" borderId="0" xfId="0" applyNumberFormat="1" applyFont="1"/>
    <xf numFmtId="0" fontId="4" fillId="11" borderId="2" xfId="5" applyNumberFormat="1" applyFont="1" applyFill="1" applyBorder="1" applyAlignment="1" applyProtection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/>
    </xf>
    <xf numFmtId="0" fontId="5" fillId="2" borderId="0" xfId="1" applyNumberFormat="1" applyBorder="1" applyAlignment="1" applyProtection="1">
      <alignment horizontal="center"/>
    </xf>
    <xf numFmtId="0" fontId="0" fillId="14" borderId="0" xfId="0" applyFont="1" applyFill="1" applyBorder="1" applyAlignment="1">
      <alignment horizontal="center" wrapText="1"/>
    </xf>
    <xf numFmtId="8" fontId="1" fillId="17" borderId="4" xfId="0" applyNumberFormat="1" applyFont="1" applyFill="1" applyBorder="1" applyAlignment="1">
      <alignment horizontal="center"/>
    </xf>
    <xf numFmtId="8" fontId="1" fillId="17" borderId="5" xfId="0" applyNumberFormat="1" applyFont="1" applyFill="1" applyBorder="1" applyAlignment="1">
      <alignment horizontal="center"/>
    </xf>
  </cellXfs>
  <cellStyles count="6">
    <cellStyle name="Excel_BuiltIn_20% - Accent5" xfId="1"/>
    <cellStyle name="Excel_BuiltIn_40% - Accent4" xfId="3"/>
    <cellStyle name="Excel_BuiltIn_40% - Accent5" xfId="2"/>
    <cellStyle name="Excel_BuiltIn_Accent4" xfId="4"/>
    <cellStyle name="Excel_BuiltIn_Heading 1" xfId="5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E6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NPV!$B$24:$B$40</c:f>
              <c:numCache>
                <c:formatCode>0%</c:formatCode>
                <c:ptCount val="1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</c:numCache>
            </c:numRef>
          </c:xVal>
          <c:yVal>
            <c:numRef>
              <c:f>NPV!$C$24:$C$40</c:f>
              <c:numCache>
                <c:formatCode>0.00</c:formatCode>
                <c:ptCount val="17"/>
                <c:pt idx="0">
                  <c:v>200</c:v>
                </c:pt>
                <c:pt idx="1">
                  <c:v>165.85713038939468</c:v>
                </c:pt>
                <c:pt idx="2">
                  <c:v>133.35959923698465</c:v>
                </c:pt>
                <c:pt idx="3">
                  <c:v>102.40949417564309</c:v>
                </c:pt>
                <c:pt idx="4">
                  <c:v>72.915729625928861</c:v>
                </c:pt>
                <c:pt idx="5">
                  <c:v>44.793505351606086</c:v>
                </c:pt>
                <c:pt idx="6">
                  <c:v>17.963812919427937</c:v>
                </c:pt>
                <c:pt idx="7">
                  <c:v>-7.6470145986324951</c:v>
                </c:pt>
                <c:pt idx="8">
                  <c:v>-32.107713848866752</c:v>
                </c:pt>
                <c:pt idx="9">
                  <c:v>-55.482467075945578</c:v>
                </c:pt>
                <c:pt idx="10">
                  <c:v>-77.831246002819171</c:v>
                </c:pt>
                <c:pt idx="11">
                  <c:v>-99.210126709294059</c:v>
                </c:pt>
                <c:pt idx="12">
                  <c:v>-119.671578202163</c:v>
                </c:pt>
                <c:pt idx="13">
                  <c:v>-139.26472709747384</c:v>
                </c:pt>
                <c:pt idx="14">
                  <c:v>-158.03560059294614</c:v>
                </c:pt>
                <c:pt idx="15">
                  <c:v>-176.02734969220865</c:v>
                </c:pt>
                <c:pt idx="16">
                  <c:v>-193.28045444943132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565824"/>
        <c:axId val="443566944"/>
      </c:scatterChart>
      <c:valAx>
        <c:axId val="44356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66944"/>
        <c:crosses val="autoZero"/>
        <c:crossBetween val="midCat"/>
      </c:valAx>
      <c:valAx>
        <c:axId val="44356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6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'Cross over rate'!$B$20</c:f>
              <c:strCache>
                <c:ptCount val="1"/>
                <c:pt idx="0">
                  <c:v>Project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over rate'!$A$21:$A$34</c:f>
              <c:numCache>
                <c:formatCode>0%</c:formatCode>
                <c:ptCount val="1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</c:numCache>
            </c:numRef>
          </c:xVal>
          <c:yVal>
            <c:numRef>
              <c:f>'Cross over rate'!$B$21:$B$34</c:f>
              <c:numCache>
                <c:formatCode>0.00</c:formatCode>
                <c:ptCount val="14"/>
                <c:pt idx="0">
                  <c:v>45.60293717975361</c:v>
                </c:pt>
                <c:pt idx="1">
                  <c:v>41.403785255126166</c:v>
                </c:pt>
                <c:pt idx="2">
                  <c:v>37.391215615835989</c:v>
                </c:pt>
                <c:pt idx="3">
                  <c:v>33.554669930486142</c:v>
                </c:pt>
                <c:pt idx="4">
                  <c:v>29.884300118924557</c:v>
                </c:pt>
                <c:pt idx="5">
                  <c:v>26.37091356697141</c:v>
                </c:pt>
                <c:pt idx="6">
                  <c:v>23.005923078427799</c:v>
                </c:pt>
                <c:pt idx="7">
                  <c:v>19.781301112342561</c:v>
                </c:pt>
                <c:pt idx="8">
                  <c:v>16.689537900551471</c:v>
                </c:pt>
                <c:pt idx="9">
                  <c:v>13.723603082253405</c:v>
                </c:pt>
                <c:pt idx="10">
                  <c:v>10.876910529483936</c:v>
                </c:pt>
                <c:pt idx="11">
                  <c:v>8.1432860703501291</c:v>
                </c:pt>
                <c:pt idx="12">
                  <c:v>5.5169378462811949</c:v>
                </c:pt>
                <c:pt idx="13">
                  <c:v>2.9924290657537824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'Cross over rate'!$C$20</c:f>
              <c:strCache>
                <c:ptCount val="1"/>
                <c:pt idx="0">
                  <c:v>Project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'Cross over rate'!$A$21:$A$34</c:f>
              <c:numCache>
                <c:formatCode>0%</c:formatCode>
                <c:ptCount val="1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</c:numCache>
            </c:numRef>
          </c:xVal>
          <c:yVal>
            <c:numRef>
              <c:f>'Cross over rate'!$C$21:$C$34</c:f>
              <c:numCache>
                <c:formatCode>0.00</c:formatCode>
                <c:ptCount val="14"/>
                <c:pt idx="0">
                  <c:v>53.84411205165506</c:v>
                </c:pt>
                <c:pt idx="1">
                  <c:v>47.965299357176605</c:v>
                </c:pt>
                <c:pt idx="2">
                  <c:v>42.347701862170396</c:v>
                </c:pt>
                <c:pt idx="3">
                  <c:v>36.976537902680604</c:v>
                </c:pt>
                <c:pt idx="4">
                  <c:v>31.838020166494402</c:v>
                </c:pt>
                <c:pt idx="5">
                  <c:v>26.919278993759974</c:v>
                </c:pt>
                <c:pt idx="6">
                  <c:v>22.208292309798935</c:v>
                </c:pt>
                <c:pt idx="7">
                  <c:v>17.693821557279563</c:v>
                </c:pt>
                <c:pt idx="8">
                  <c:v>13.365353060772065</c:v>
                </c:pt>
                <c:pt idx="9">
                  <c:v>9.2130443151547752</c:v>
                </c:pt>
                <c:pt idx="10">
                  <c:v>5.2276747412774967</c:v>
                </c:pt>
                <c:pt idx="11">
                  <c:v>1.4006004984902063</c:v>
                </c:pt>
                <c:pt idx="12">
                  <c:v>-2.2762870152063215</c:v>
                </c:pt>
                <c:pt idx="13">
                  <c:v>-5.8105993079447273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723840"/>
        <c:axId val="453724400"/>
      </c:scatterChart>
      <c:valAx>
        <c:axId val="45372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24400"/>
        <c:crosses val="autoZero"/>
        <c:crossBetween val="midCat"/>
      </c:valAx>
      <c:valAx>
        <c:axId val="45372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72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</xdr:colOff>
      <xdr:row>26</xdr:row>
      <xdr:rowOff>9525</xdr:rowOff>
    </xdr:from>
    <xdr:to>
      <xdr:col>8</xdr:col>
      <xdr:colOff>152400</xdr:colOff>
      <xdr:row>40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1021772</xdr:colOff>
      <xdr:row>19</xdr:row>
      <xdr:rowOff>26841</xdr:rowOff>
    </xdr:from>
    <xdr:to>
      <xdr:col>7</xdr:col>
      <xdr:colOff>380999</xdr:colOff>
      <xdr:row>33</xdr:row>
      <xdr:rowOff>103041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B30" zoomScale="150" zoomScaleNormal="150" workbookViewId="0">
      <selection activeCell="F43" sqref="F43"/>
    </sheetView>
  </sheetViews>
  <sheetFormatPr defaultColWidth="11.5703125" defaultRowHeight="15" x14ac:dyDescent="0.25"/>
  <cols>
    <col min="2" max="2" width="19.42578125" customWidth="1"/>
    <col min="3" max="3" width="11.5703125" customWidth="1"/>
    <col min="4" max="4" width="20.42578125" bestFit="1" customWidth="1"/>
  </cols>
  <sheetData>
    <row r="1" spans="1:12" x14ac:dyDescent="0.25">
      <c r="B1" s="1"/>
      <c r="C1" s="2"/>
      <c r="D1" s="2"/>
      <c r="E1" s="2"/>
      <c r="F1" s="3"/>
    </row>
    <row r="2" spans="1:12" x14ac:dyDescent="0.25">
      <c r="A2" s="40" t="s">
        <v>32</v>
      </c>
      <c r="B2" s="41"/>
      <c r="C2" s="42"/>
      <c r="D2" s="42"/>
      <c r="E2" s="42"/>
      <c r="F2" s="43"/>
      <c r="G2" s="41"/>
      <c r="H2" s="41"/>
      <c r="I2" s="41"/>
      <c r="J2" s="41"/>
      <c r="K2" s="41"/>
      <c r="L2" s="41"/>
    </row>
    <row r="3" spans="1:12" x14ac:dyDescent="0.25">
      <c r="A3" s="44" t="s">
        <v>33</v>
      </c>
      <c r="B3" s="45"/>
      <c r="C3" s="42"/>
      <c r="D3" s="42"/>
      <c r="E3" s="42"/>
      <c r="F3" s="43"/>
      <c r="G3" s="41"/>
      <c r="H3" s="41"/>
      <c r="I3" s="41"/>
      <c r="J3" s="41"/>
      <c r="K3" s="41"/>
      <c r="L3" s="41"/>
    </row>
    <row r="4" spans="1:12" x14ac:dyDescent="0.25">
      <c r="A4" s="41"/>
      <c r="B4" s="45"/>
      <c r="C4" s="42"/>
      <c r="D4" s="42"/>
      <c r="E4" s="42"/>
      <c r="F4" s="43"/>
      <c r="G4" s="41"/>
      <c r="H4" s="41"/>
      <c r="I4" s="41"/>
      <c r="J4" s="41"/>
      <c r="K4" s="41"/>
      <c r="L4" s="41"/>
    </row>
    <row r="5" spans="1:12" x14ac:dyDescent="0.25">
      <c r="A5" s="44" t="s">
        <v>0</v>
      </c>
      <c r="B5" s="45"/>
      <c r="C5" s="42"/>
      <c r="D5" s="42"/>
      <c r="E5" s="42"/>
      <c r="F5" s="43"/>
      <c r="G5" s="41"/>
      <c r="H5" s="41"/>
      <c r="I5" s="41"/>
      <c r="J5" s="41"/>
      <c r="K5" s="41"/>
      <c r="L5" s="41"/>
    </row>
    <row r="6" spans="1:12" x14ac:dyDescent="0.25">
      <c r="B6" s="1"/>
      <c r="C6" s="2"/>
      <c r="D6" s="2"/>
      <c r="E6" s="2"/>
      <c r="F6" s="3"/>
    </row>
    <row r="7" spans="1:12" x14ac:dyDescent="0.25">
      <c r="B7" s="1"/>
      <c r="C7" s="2"/>
      <c r="D7" s="2"/>
      <c r="E7" s="2"/>
      <c r="F7" s="3"/>
    </row>
    <row r="8" spans="1:12" x14ac:dyDescent="0.25">
      <c r="B8" s="5" t="s">
        <v>1</v>
      </c>
      <c r="C8" s="6">
        <v>0.05</v>
      </c>
      <c r="D8" s="7"/>
      <c r="E8" s="7"/>
      <c r="F8" s="7"/>
    </row>
    <row r="9" spans="1:12" x14ac:dyDescent="0.25">
      <c r="B9" s="5"/>
      <c r="C9" s="8"/>
      <c r="D9" s="9"/>
      <c r="E9" s="7"/>
      <c r="F9" s="7"/>
    </row>
    <row r="10" spans="1:12" ht="30" x14ac:dyDescent="0.25">
      <c r="B10" s="10" t="s">
        <v>2</v>
      </c>
      <c r="C10" s="11" t="s">
        <v>3</v>
      </c>
      <c r="D10" s="11" t="s">
        <v>4</v>
      </c>
      <c r="E10" s="2"/>
      <c r="F10" s="2"/>
    </row>
    <row r="11" spans="1:12" x14ac:dyDescent="0.25">
      <c r="B11" s="7">
        <v>0</v>
      </c>
      <c r="C11" s="7">
        <v>-800</v>
      </c>
      <c r="D11" s="73">
        <v>-800</v>
      </c>
      <c r="E11" s="7"/>
      <c r="F11" s="7"/>
    </row>
    <row r="12" spans="1:12" x14ac:dyDescent="0.25">
      <c r="B12" s="7">
        <v>1</v>
      </c>
      <c r="C12" s="7">
        <v>100</v>
      </c>
      <c r="D12" s="73">
        <f>C12/(1+5%)</f>
        <v>95.238095238095241</v>
      </c>
      <c r="E12" s="57">
        <f>SUM(D12:D16)</f>
        <v>844.79350535160609</v>
      </c>
      <c r="F12" s="57">
        <f>E12-800</f>
        <v>44.793505351606086</v>
      </c>
    </row>
    <row r="13" spans="1:12" x14ac:dyDescent="0.25">
      <c r="B13" s="7">
        <v>2</v>
      </c>
      <c r="C13" s="12">
        <v>150</v>
      </c>
      <c r="D13" s="73">
        <f>C13/(1+5%)^B13</f>
        <v>136.05442176870747</v>
      </c>
      <c r="E13" s="7"/>
      <c r="F13" s="7"/>
    </row>
    <row r="14" spans="1:12" x14ac:dyDescent="0.25">
      <c r="B14" s="7">
        <v>3</v>
      </c>
      <c r="C14" s="7">
        <v>200</v>
      </c>
      <c r="D14" s="73">
        <f t="shared" ref="D14:D16" si="0">C14/(1+5%)^B14</f>
        <v>172.76751970629519</v>
      </c>
      <c r="E14" s="7"/>
      <c r="F14" s="7"/>
    </row>
    <row r="15" spans="1:12" x14ac:dyDescent="0.25">
      <c r="B15" s="7">
        <v>4</v>
      </c>
      <c r="C15" s="7">
        <v>250</v>
      </c>
      <c r="D15" s="73">
        <f t="shared" si="0"/>
        <v>205.67561869797049</v>
      </c>
      <c r="E15" s="60"/>
      <c r="F15" s="7"/>
    </row>
    <row r="16" spans="1:12" x14ac:dyDescent="0.25">
      <c r="B16" s="7">
        <v>5</v>
      </c>
      <c r="C16" s="7">
        <v>300</v>
      </c>
      <c r="D16" s="73">
        <f t="shared" si="0"/>
        <v>235.05784994053769</v>
      </c>
      <c r="E16" s="57"/>
      <c r="F16" s="60"/>
    </row>
    <row r="17" spans="1:10" x14ac:dyDescent="0.25">
      <c r="A17" s="65"/>
      <c r="B17" s="7"/>
      <c r="C17" s="60"/>
      <c r="D17" s="57"/>
      <c r="E17" s="7"/>
      <c r="F17" s="7"/>
    </row>
    <row r="18" spans="1:10" x14ac:dyDescent="0.25">
      <c r="B18" s="88" t="s">
        <v>5</v>
      </c>
      <c r="C18" s="88"/>
      <c r="D18" s="51">
        <f>SUM(D11:D16)</f>
        <v>44.793505351606001</v>
      </c>
      <c r="E18" s="57"/>
      <c r="F18" s="7"/>
    </row>
    <row r="19" spans="1:10" x14ac:dyDescent="0.25">
      <c r="B19" s="5"/>
      <c r="C19" s="5"/>
      <c r="D19" s="7"/>
      <c r="E19" s="7"/>
      <c r="F19" s="7"/>
    </row>
    <row r="20" spans="1:10" ht="14.85" customHeight="1" x14ac:dyDescent="0.25">
      <c r="B20" s="89" t="s">
        <v>6</v>
      </c>
      <c r="C20" s="89"/>
      <c r="D20" s="7"/>
      <c r="E20" s="7"/>
      <c r="F20" s="7"/>
    </row>
    <row r="21" spans="1:10" x14ac:dyDescent="0.25">
      <c r="B21" s="7" t="s">
        <v>7</v>
      </c>
      <c r="C21" s="7"/>
      <c r="D21" s="82">
        <f>NPV(5%,C12:C16)+C11</f>
        <v>44.793505351606086</v>
      </c>
      <c r="E21" s="7"/>
      <c r="F21" s="7"/>
    </row>
    <row r="22" spans="1:10" x14ac:dyDescent="0.25">
      <c r="B22" s="7"/>
      <c r="C22" s="7"/>
      <c r="D22" s="7"/>
      <c r="E22" s="7"/>
      <c r="F22" s="7"/>
    </row>
    <row r="23" spans="1:10" x14ac:dyDescent="0.25">
      <c r="B23" s="2" t="s">
        <v>1</v>
      </c>
      <c r="C23" s="2" t="s">
        <v>8</v>
      </c>
      <c r="D23" s="2"/>
      <c r="E23" s="2"/>
      <c r="F23" s="2"/>
    </row>
    <row r="24" spans="1:10" x14ac:dyDescent="0.25">
      <c r="B24" s="9">
        <v>0</v>
      </c>
      <c r="C24" s="51">
        <f>NPV(B24,$C$12:$C$16)+$C$11</f>
        <v>200</v>
      </c>
      <c r="D24" s="7"/>
      <c r="E24" s="76"/>
      <c r="F24" s="76"/>
      <c r="G24" s="76"/>
      <c r="H24" s="76"/>
      <c r="I24" s="76"/>
      <c r="J24" s="76"/>
    </row>
    <row r="25" spans="1:10" x14ac:dyDescent="0.25">
      <c r="B25" s="9">
        <v>0.01</v>
      </c>
      <c r="C25" s="51">
        <f t="shared" ref="C25:C40" si="1">NPV(B25,$C$12:$C$16)+$C$11</f>
        <v>165.85713038939468</v>
      </c>
      <c r="D25" s="7"/>
      <c r="E25" s="76"/>
      <c r="F25" s="76"/>
      <c r="G25" s="76"/>
      <c r="H25" s="76"/>
      <c r="I25" s="76"/>
      <c r="J25" s="76"/>
    </row>
    <row r="26" spans="1:10" x14ac:dyDescent="0.25">
      <c r="B26" s="9">
        <v>0.02</v>
      </c>
      <c r="C26" s="51">
        <f t="shared" si="1"/>
        <v>133.35959923698465</v>
      </c>
      <c r="D26" s="7"/>
      <c r="E26" s="76"/>
      <c r="F26" s="76"/>
      <c r="G26" s="76"/>
      <c r="H26" s="76"/>
      <c r="I26" s="76"/>
      <c r="J26" s="76"/>
    </row>
    <row r="27" spans="1:10" x14ac:dyDescent="0.25">
      <c r="B27" s="9">
        <v>0.03</v>
      </c>
      <c r="C27" s="51">
        <f t="shared" si="1"/>
        <v>102.40949417564309</v>
      </c>
      <c r="D27" s="7"/>
      <c r="E27" s="76"/>
      <c r="F27" s="76"/>
      <c r="G27" s="76"/>
      <c r="H27" s="76"/>
      <c r="I27" s="76"/>
      <c r="J27" s="76"/>
    </row>
    <row r="28" spans="1:10" x14ac:dyDescent="0.25">
      <c r="B28" s="9">
        <v>0.04</v>
      </c>
      <c r="C28" s="51">
        <f t="shared" si="1"/>
        <v>72.915729625928861</v>
      </c>
      <c r="D28" s="7"/>
      <c r="E28" s="76"/>
      <c r="F28" s="76"/>
      <c r="G28" s="76"/>
      <c r="H28" s="76"/>
      <c r="I28" s="76"/>
      <c r="J28" s="76"/>
    </row>
    <row r="29" spans="1:10" x14ac:dyDescent="0.25">
      <c r="B29" s="9">
        <v>0.05</v>
      </c>
      <c r="C29" s="51">
        <f t="shared" si="1"/>
        <v>44.793505351606086</v>
      </c>
      <c r="D29" s="7"/>
      <c r="E29" s="76"/>
      <c r="F29" s="76"/>
      <c r="G29" s="76"/>
      <c r="H29" s="76"/>
      <c r="I29" s="76"/>
      <c r="J29" s="76"/>
    </row>
    <row r="30" spans="1:10" x14ac:dyDescent="0.25">
      <c r="B30" s="9">
        <v>0.06</v>
      </c>
      <c r="C30" s="51">
        <f t="shared" si="1"/>
        <v>17.963812919427937</v>
      </c>
      <c r="D30" s="7"/>
      <c r="E30" s="76"/>
      <c r="F30" s="76"/>
      <c r="G30" s="76"/>
      <c r="H30" s="76"/>
      <c r="I30" s="76"/>
      <c r="J30" s="76"/>
    </row>
    <row r="31" spans="1:10" x14ac:dyDescent="0.25">
      <c r="B31" s="9">
        <v>7.0000000000000007E-2</v>
      </c>
      <c r="C31" s="51">
        <f t="shared" si="1"/>
        <v>-7.6470145986324951</v>
      </c>
      <c r="D31" s="7"/>
      <c r="E31" s="76"/>
      <c r="F31" s="76"/>
      <c r="G31" s="76"/>
      <c r="H31" s="76"/>
      <c r="I31" s="76"/>
      <c r="J31" s="76"/>
    </row>
    <row r="32" spans="1:10" x14ac:dyDescent="0.25">
      <c r="B32" s="9">
        <v>0.08</v>
      </c>
      <c r="C32" s="51">
        <f t="shared" si="1"/>
        <v>-32.107713848866752</v>
      </c>
      <c r="D32" s="7"/>
      <c r="E32" s="76"/>
      <c r="F32" s="76"/>
      <c r="G32" s="76"/>
      <c r="H32" s="76"/>
      <c r="I32" s="76"/>
      <c r="J32" s="76"/>
    </row>
    <row r="33" spans="2:10" x14ac:dyDescent="0.25">
      <c r="B33" s="9">
        <v>0.09</v>
      </c>
      <c r="C33" s="51">
        <f t="shared" si="1"/>
        <v>-55.482467075945578</v>
      </c>
      <c r="D33" s="7"/>
      <c r="E33" s="76"/>
      <c r="F33" s="76"/>
      <c r="G33" s="76"/>
      <c r="H33" s="76"/>
      <c r="I33" s="76"/>
      <c r="J33" s="76"/>
    </row>
    <row r="34" spans="2:10" x14ac:dyDescent="0.25">
      <c r="B34" s="9">
        <v>0.1</v>
      </c>
      <c r="C34" s="51">
        <f t="shared" si="1"/>
        <v>-77.831246002819171</v>
      </c>
      <c r="E34" s="76"/>
      <c r="F34" s="76"/>
      <c r="G34" s="76"/>
      <c r="H34" s="76"/>
      <c r="I34" s="76"/>
      <c r="J34" s="76"/>
    </row>
    <row r="35" spans="2:10" x14ac:dyDescent="0.25">
      <c r="B35" s="9">
        <v>0.11</v>
      </c>
      <c r="C35" s="51">
        <f t="shared" si="1"/>
        <v>-99.210126709294059</v>
      </c>
      <c r="E35" s="76"/>
      <c r="F35" s="76"/>
      <c r="G35" s="76"/>
      <c r="H35" s="76"/>
      <c r="I35" s="76"/>
      <c r="J35" s="76"/>
    </row>
    <row r="36" spans="2:10" x14ac:dyDescent="0.25">
      <c r="B36" s="9">
        <v>0.12</v>
      </c>
      <c r="C36" s="51">
        <f t="shared" si="1"/>
        <v>-119.671578202163</v>
      </c>
      <c r="E36" s="76"/>
      <c r="F36" s="76"/>
      <c r="G36" s="76"/>
      <c r="H36" s="76"/>
      <c r="I36" s="76"/>
      <c r="J36" s="76"/>
    </row>
    <row r="37" spans="2:10" x14ac:dyDescent="0.25">
      <c r="B37" s="9">
        <v>0.13</v>
      </c>
      <c r="C37" s="51">
        <f t="shared" si="1"/>
        <v>-139.26472709747384</v>
      </c>
      <c r="E37" s="76"/>
      <c r="F37" s="76"/>
      <c r="G37" s="76"/>
      <c r="H37" s="76"/>
      <c r="I37" s="76"/>
      <c r="J37" s="76"/>
    </row>
    <row r="38" spans="2:10" x14ac:dyDescent="0.25">
      <c r="B38" s="9">
        <v>0.14000000000000001</v>
      </c>
      <c r="C38" s="51">
        <f t="shared" si="1"/>
        <v>-158.03560059294614</v>
      </c>
      <c r="E38" s="76"/>
      <c r="F38" s="76"/>
      <c r="G38" s="76"/>
      <c r="H38" s="76"/>
      <c r="I38" s="76"/>
      <c r="J38" s="76"/>
    </row>
    <row r="39" spans="2:10" x14ac:dyDescent="0.25">
      <c r="B39" s="9">
        <v>0.15</v>
      </c>
      <c r="C39" s="51">
        <f t="shared" si="1"/>
        <v>-176.02734969220865</v>
      </c>
      <c r="E39" s="76"/>
      <c r="F39" s="76"/>
      <c r="G39" s="76"/>
      <c r="H39" s="76"/>
      <c r="I39" s="76"/>
      <c r="J39" s="76"/>
    </row>
    <row r="40" spans="2:10" x14ac:dyDescent="0.25">
      <c r="B40" s="9">
        <v>0.16</v>
      </c>
      <c r="C40" s="51">
        <f t="shared" si="1"/>
        <v>-193.28045444943132</v>
      </c>
      <c r="E40" s="76"/>
      <c r="F40" s="76"/>
      <c r="G40" s="76"/>
      <c r="H40" s="76"/>
      <c r="I40" s="76"/>
      <c r="J40" s="76"/>
    </row>
  </sheetData>
  <mergeCells count="2">
    <mergeCell ref="B18:C18"/>
    <mergeCell ref="B20:C20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&amp;C&amp;"Arial,Regular"&amp;10&amp;A</oddHeader>
    <oddFooter>&amp;C&amp;"Arial,Regular"&amp;10Page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opLeftCell="A7" zoomScale="140" zoomScaleNormal="140" workbookViewId="0">
      <selection activeCell="B20" sqref="B20"/>
    </sheetView>
  </sheetViews>
  <sheetFormatPr defaultColWidth="11.5703125" defaultRowHeight="15" x14ac:dyDescent="0.25"/>
  <cols>
    <col min="2" max="2" width="24.5703125" bestFit="1" customWidth="1"/>
  </cols>
  <sheetData>
    <row r="1" spans="1:11" x14ac:dyDescent="0.25">
      <c r="A1" s="1"/>
      <c r="B1" s="2"/>
      <c r="C1" s="2"/>
      <c r="D1" s="2"/>
      <c r="E1" s="2"/>
      <c r="F1" s="2"/>
      <c r="G1" s="2"/>
      <c r="H1" s="2"/>
    </row>
    <row r="2" spans="1:11" x14ac:dyDescent="0.25">
      <c r="A2" s="44" t="s">
        <v>27</v>
      </c>
      <c r="B2" s="41"/>
      <c r="C2" s="42"/>
      <c r="D2" s="42"/>
      <c r="E2" s="42"/>
      <c r="F2" s="42"/>
      <c r="G2" s="42"/>
      <c r="H2" s="42"/>
      <c r="I2" s="41"/>
      <c r="J2" s="41"/>
      <c r="K2" s="41"/>
    </row>
    <row r="3" spans="1:11" x14ac:dyDescent="0.25">
      <c r="A3" s="1"/>
      <c r="B3" s="2"/>
      <c r="C3" s="2"/>
      <c r="D3" s="2"/>
      <c r="E3" s="2"/>
      <c r="F3" s="2"/>
      <c r="G3" s="2"/>
      <c r="H3" s="2"/>
    </row>
    <row r="4" spans="1:11" x14ac:dyDescent="0.25">
      <c r="A4" s="1" t="s">
        <v>9</v>
      </c>
      <c r="B4" s="2" t="s">
        <v>8</v>
      </c>
      <c r="C4" s="2"/>
      <c r="D4" s="13"/>
      <c r="E4" s="2"/>
      <c r="F4" s="2"/>
      <c r="G4" s="2"/>
      <c r="H4" s="2"/>
    </row>
    <row r="5" spans="1:11" x14ac:dyDescent="0.25">
      <c r="A5" s="1" t="s">
        <v>10</v>
      </c>
      <c r="B5" s="2" t="s">
        <v>11</v>
      </c>
      <c r="C5" s="2"/>
      <c r="D5" s="2"/>
      <c r="E5" s="2"/>
      <c r="F5" s="2"/>
      <c r="G5" s="2"/>
      <c r="H5" s="2"/>
    </row>
    <row r="6" spans="1:11" x14ac:dyDescent="0.25">
      <c r="A6" s="1"/>
      <c r="B6" s="2"/>
      <c r="C6" s="2"/>
      <c r="D6" s="2"/>
      <c r="E6" s="2"/>
      <c r="F6" s="2"/>
      <c r="G6" s="2"/>
      <c r="H6" s="2"/>
    </row>
    <row r="7" spans="1:11" x14ac:dyDescent="0.25">
      <c r="A7" s="90" t="s">
        <v>12</v>
      </c>
      <c r="B7" s="90"/>
      <c r="C7" s="90"/>
      <c r="D7" s="90"/>
      <c r="E7" s="90"/>
      <c r="F7" s="90"/>
      <c r="G7" s="90"/>
      <c r="H7" s="90"/>
    </row>
    <row r="8" spans="1:11" x14ac:dyDescent="0.25">
      <c r="A8" s="7" t="s">
        <v>13</v>
      </c>
      <c r="B8" s="9">
        <v>0.12</v>
      </c>
      <c r="C8" s="9"/>
      <c r="D8" s="7"/>
      <c r="E8" s="7"/>
      <c r="F8" s="7"/>
      <c r="G8" s="7"/>
      <c r="H8" s="7"/>
    </row>
    <row r="10" spans="1:11" x14ac:dyDescent="0.25">
      <c r="A10" s="7" t="s">
        <v>2</v>
      </c>
      <c r="B10" s="7" t="s">
        <v>14</v>
      </c>
      <c r="C10" s="7"/>
      <c r="D10" s="7" t="s">
        <v>15</v>
      </c>
      <c r="E10" s="7"/>
      <c r="F10" s="7"/>
      <c r="G10" s="7"/>
      <c r="H10" s="7"/>
    </row>
    <row r="11" spans="1:11" x14ac:dyDescent="0.25">
      <c r="A11" s="7">
        <v>0</v>
      </c>
      <c r="B11" s="7">
        <v>-500</v>
      </c>
      <c r="C11" s="7"/>
      <c r="D11" s="7">
        <v>-500</v>
      </c>
      <c r="E11" s="12"/>
      <c r="F11" s="7"/>
      <c r="G11" s="7"/>
      <c r="H11" s="7"/>
    </row>
    <row r="12" spans="1:11" x14ac:dyDescent="0.25">
      <c r="A12" s="7">
        <v>1</v>
      </c>
      <c r="B12" s="7">
        <v>100</v>
      </c>
      <c r="C12" s="7"/>
      <c r="D12" s="7">
        <v>250</v>
      </c>
      <c r="E12" s="12"/>
      <c r="F12" s="7"/>
      <c r="G12" s="7"/>
      <c r="H12" s="7"/>
    </row>
    <row r="13" spans="1:11" x14ac:dyDescent="0.25">
      <c r="A13" s="7">
        <v>2</v>
      </c>
      <c r="B13" s="7">
        <v>100</v>
      </c>
      <c r="C13" s="7"/>
      <c r="D13" s="7">
        <v>250</v>
      </c>
      <c r="E13" s="12"/>
      <c r="F13" s="7"/>
      <c r="G13" s="7"/>
      <c r="H13" s="7"/>
    </row>
    <row r="14" spans="1:11" x14ac:dyDescent="0.25">
      <c r="A14" s="7">
        <v>3</v>
      </c>
      <c r="B14" s="7">
        <v>150</v>
      </c>
      <c r="C14" s="7"/>
      <c r="D14" s="7">
        <v>200</v>
      </c>
      <c r="E14" s="12"/>
      <c r="F14" s="9"/>
      <c r="G14" s="7"/>
      <c r="H14" s="7"/>
    </row>
    <row r="15" spans="1:11" x14ac:dyDescent="0.25">
      <c r="A15" s="7">
        <v>4</v>
      </c>
      <c r="B15" s="7">
        <v>200</v>
      </c>
      <c r="C15" s="7"/>
      <c r="D15" s="7">
        <v>100</v>
      </c>
      <c r="E15" s="12"/>
      <c r="F15" s="7"/>
      <c r="G15" s="7"/>
      <c r="H15" s="7"/>
    </row>
    <row r="16" spans="1:11" x14ac:dyDescent="0.25">
      <c r="A16" s="7">
        <v>5</v>
      </c>
      <c r="B16" s="7">
        <v>400</v>
      </c>
      <c r="C16" s="7"/>
      <c r="D16" s="7">
        <v>150</v>
      </c>
      <c r="E16" s="12"/>
      <c r="F16" s="7"/>
      <c r="G16" s="7"/>
      <c r="H16" s="7"/>
    </row>
    <row r="18" spans="1:4" x14ac:dyDescent="0.25">
      <c r="A18" s="4" t="s">
        <v>8</v>
      </c>
      <c r="B18" s="14">
        <f>NPV($B$8,B12:B16)+B11</f>
        <v>129.84649718123376</v>
      </c>
      <c r="C18" s="14"/>
      <c r="D18" s="14">
        <f t="shared" ref="D18" si="0">NPV($B$8,D12:D16)+D11</f>
        <v>213.53464086299596</v>
      </c>
    </row>
    <row r="19" spans="1:4" x14ac:dyDescent="0.25">
      <c r="A19" s="4"/>
      <c r="B19" s="55">
        <f>B18+500</f>
        <v>629.84649718123376</v>
      </c>
      <c r="D19" s="55">
        <f>D18+500</f>
        <v>713.53464086299596</v>
      </c>
    </row>
    <row r="20" spans="1:4" x14ac:dyDescent="0.25">
      <c r="A20" s="4" t="s">
        <v>11</v>
      </c>
      <c r="B20" s="16">
        <f>IRR('NPV, IRR'!B11:B16)</f>
        <v>0.19770388847350806</v>
      </c>
      <c r="D20" s="16">
        <f>IRR(D11:D16)</f>
        <v>0.30796686500528736</v>
      </c>
    </row>
    <row r="21" spans="1:4" x14ac:dyDescent="0.25">
      <c r="B21" s="74"/>
    </row>
  </sheetData>
  <mergeCells count="1">
    <mergeCell ref="A7:H7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topLeftCell="A8" zoomScale="120" zoomScaleNormal="120" workbookViewId="0">
      <selection activeCell="F23" sqref="F23"/>
    </sheetView>
  </sheetViews>
  <sheetFormatPr defaultColWidth="11.5703125" defaultRowHeight="15" x14ac:dyDescent="0.25"/>
  <cols>
    <col min="5" max="5" width="15.28515625" bestFit="1" customWidth="1"/>
  </cols>
  <sheetData>
    <row r="2" spans="1:12" x14ac:dyDescent="0.25">
      <c r="A2" s="44" t="s">
        <v>31</v>
      </c>
      <c r="B2" s="41"/>
      <c r="C2" s="41"/>
      <c r="D2" s="41"/>
      <c r="E2" s="41"/>
      <c r="F2" s="41"/>
      <c r="G2" s="41"/>
      <c r="H2" s="41"/>
      <c r="I2" s="41"/>
      <c r="J2" s="15"/>
      <c r="K2" s="15"/>
      <c r="L2" s="15"/>
    </row>
    <row r="3" spans="1:12" x14ac:dyDescent="0.25">
      <c r="A3" s="44" t="s">
        <v>30</v>
      </c>
      <c r="B3" s="41"/>
      <c r="C3" s="41"/>
      <c r="D3" s="41"/>
      <c r="E3" s="41"/>
      <c r="F3" s="41"/>
      <c r="G3" s="41"/>
      <c r="H3" s="41"/>
      <c r="I3" s="41"/>
      <c r="J3" s="15"/>
      <c r="K3" s="15"/>
      <c r="L3" s="15"/>
    </row>
    <row r="4" spans="1:12" x14ac:dyDescent="0.25">
      <c r="A4" s="44" t="s">
        <v>16</v>
      </c>
      <c r="B4" s="41"/>
      <c r="C4" s="41"/>
      <c r="D4" s="41"/>
      <c r="E4" s="41"/>
      <c r="F4" s="41"/>
      <c r="G4" s="41"/>
      <c r="H4" s="41"/>
      <c r="I4" s="41"/>
      <c r="J4" s="15"/>
      <c r="K4" s="15"/>
      <c r="L4" s="15"/>
    </row>
    <row r="6" spans="1:12" x14ac:dyDescent="0.25">
      <c r="A6" s="90" t="s">
        <v>17</v>
      </c>
      <c r="B6" s="90"/>
      <c r="C6" s="90"/>
      <c r="D6" s="90"/>
      <c r="E6" s="90"/>
      <c r="F6" s="90"/>
      <c r="G6" s="90"/>
      <c r="H6" s="90"/>
      <c r="I6" s="90"/>
    </row>
    <row r="7" spans="1:12" x14ac:dyDescent="0.25">
      <c r="A7" s="2"/>
      <c r="B7" s="2"/>
      <c r="C7" s="2"/>
      <c r="D7" s="2"/>
      <c r="E7" s="2"/>
      <c r="F7" s="17"/>
      <c r="G7" s="2"/>
      <c r="H7" s="2"/>
      <c r="I7" s="2"/>
    </row>
    <row r="8" spans="1:12" x14ac:dyDescent="0.25">
      <c r="A8" s="18"/>
      <c r="B8" s="18"/>
      <c r="C8" s="2"/>
      <c r="D8" s="19" t="s">
        <v>1</v>
      </c>
      <c r="E8" s="20"/>
      <c r="F8" s="21">
        <v>0.15</v>
      </c>
      <c r="G8" s="2"/>
      <c r="H8" s="2"/>
      <c r="I8" s="2"/>
    </row>
    <row r="9" spans="1:12" x14ac:dyDescent="0.25">
      <c r="A9" s="18" t="s">
        <v>2</v>
      </c>
      <c r="B9" s="18" t="s">
        <v>18</v>
      </c>
      <c r="C9" s="2"/>
      <c r="D9" s="20"/>
      <c r="E9" s="20" t="s">
        <v>19</v>
      </c>
      <c r="F9" s="20" t="s">
        <v>18</v>
      </c>
      <c r="G9" s="2"/>
      <c r="H9" s="2"/>
      <c r="I9" s="2"/>
    </row>
    <row r="10" spans="1:12" x14ac:dyDescent="0.25">
      <c r="A10" s="18">
        <v>0</v>
      </c>
      <c r="B10" s="18">
        <v>-10000</v>
      </c>
      <c r="D10" s="22"/>
      <c r="E10" s="61">
        <f>DATE(1998,1,1)</f>
        <v>35796</v>
      </c>
      <c r="F10" s="24">
        <v>-10000</v>
      </c>
    </row>
    <row r="11" spans="1:12" x14ac:dyDescent="0.25">
      <c r="A11" s="18">
        <v>1</v>
      </c>
      <c r="B11" s="18">
        <v>1500</v>
      </c>
      <c r="D11" s="22"/>
      <c r="E11" s="23">
        <f>DATE(1999,7,1)</f>
        <v>36342</v>
      </c>
      <c r="F11" s="24">
        <v>3000</v>
      </c>
      <c r="H11" s="66"/>
    </row>
    <row r="12" spans="1:12" x14ac:dyDescent="0.25">
      <c r="A12" s="18">
        <v>2</v>
      </c>
      <c r="B12" s="18">
        <v>1500</v>
      </c>
      <c r="D12" s="22"/>
      <c r="E12" s="23">
        <f>DATE(2000,2,1)</f>
        <v>36557</v>
      </c>
      <c r="F12" s="24">
        <v>3000</v>
      </c>
    </row>
    <row r="13" spans="1:12" x14ac:dyDescent="0.25">
      <c r="A13" s="18">
        <v>3</v>
      </c>
      <c r="B13" s="18">
        <v>1500</v>
      </c>
      <c r="D13" s="22"/>
      <c r="E13" s="23">
        <f>DATE(2001,6,1)</f>
        <v>37043</v>
      </c>
      <c r="F13" s="24">
        <v>3000</v>
      </c>
    </row>
    <row r="14" spans="1:12" x14ac:dyDescent="0.25">
      <c r="A14" s="18">
        <v>4</v>
      </c>
      <c r="B14" s="18">
        <v>1500</v>
      </c>
      <c r="D14" s="22"/>
      <c r="E14" s="23">
        <f>DATE(2002,3,1)</f>
        <v>37316</v>
      </c>
      <c r="F14" s="24">
        <v>3000</v>
      </c>
    </row>
    <row r="15" spans="1:12" x14ac:dyDescent="0.25">
      <c r="A15" s="18">
        <v>5</v>
      </c>
      <c r="B15" s="18">
        <v>1500</v>
      </c>
      <c r="D15" s="22"/>
      <c r="E15" s="23">
        <f>DATE(2003,8,1)</f>
        <v>37834</v>
      </c>
      <c r="F15" s="24">
        <v>3000</v>
      </c>
    </row>
    <row r="16" spans="1:12" x14ac:dyDescent="0.25">
      <c r="A16" s="18">
        <v>6</v>
      </c>
      <c r="B16" s="18">
        <v>1500</v>
      </c>
      <c r="D16" s="22"/>
      <c r="E16" s="23">
        <f>DATE(2004,10,1)</f>
        <v>38261</v>
      </c>
      <c r="F16" s="24">
        <v>3000</v>
      </c>
    </row>
    <row r="17" spans="1:6" x14ac:dyDescent="0.25">
      <c r="A17" s="18">
        <v>7</v>
      </c>
      <c r="B17" s="18">
        <v>1500</v>
      </c>
      <c r="D17" s="22"/>
      <c r="E17" s="23">
        <f>DATE(2005,9,1)</f>
        <v>38596</v>
      </c>
      <c r="F17" s="24">
        <v>3000</v>
      </c>
    </row>
    <row r="18" spans="1:6" x14ac:dyDescent="0.25">
      <c r="A18" s="18">
        <v>8</v>
      </c>
      <c r="B18" s="18">
        <v>1500</v>
      </c>
      <c r="D18" s="22"/>
      <c r="E18" s="23">
        <f>DATE(2006,5,1)</f>
        <v>38838</v>
      </c>
      <c r="F18" s="24">
        <v>3000</v>
      </c>
    </row>
    <row r="19" spans="1:6" x14ac:dyDescent="0.25">
      <c r="A19" s="18">
        <v>9</v>
      </c>
      <c r="B19" s="18">
        <v>1500</v>
      </c>
      <c r="D19" s="22"/>
      <c r="E19" s="23">
        <f>DATE(2007,12,1)</f>
        <v>39417</v>
      </c>
      <c r="F19" s="24">
        <v>1000</v>
      </c>
    </row>
    <row r="20" spans="1:6" x14ac:dyDescent="0.25">
      <c r="A20" s="18">
        <v>10</v>
      </c>
      <c r="B20" s="18">
        <v>1500</v>
      </c>
      <c r="D20" s="22"/>
      <c r="E20" s="23">
        <f>DATE(2008,1,1)</f>
        <v>39448</v>
      </c>
      <c r="F20" s="24">
        <v>3000</v>
      </c>
    </row>
    <row r="21" spans="1:6" x14ac:dyDescent="0.25">
      <c r="A21" s="25"/>
      <c r="B21" s="25"/>
      <c r="D21" s="22"/>
      <c r="E21" s="22"/>
      <c r="F21" s="22"/>
    </row>
    <row r="22" spans="1:6" x14ac:dyDescent="0.25">
      <c r="A22" s="91"/>
      <c r="B22" s="91"/>
      <c r="D22" s="22"/>
      <c r="E22" s="22" t="s">
        <v>20</v>
      </c>
      <c r="F22" s="47">
        <f>XIRR(F10:F20,E10:E20)</f>
        <v>0.23696971535682679</v>
      </c>
    </row>
    <row r="23" spans="1:6" x14ac:dyDescent="0.25">
      <c r="A23" s="18" t="s">
        <v>11</v>
      </c>
      <c r="B23" s="52"/>
      <c r="D23" s="22"/>
      <c r="E23" s="22" t="s">
        <v>21</v>
      </c>
      <c r="F23" s="67">
        <f>XNPV(F8,F11:F20,E11:E20)+F10</f>
        <v>6896.4558123799507</v>
      </c>
    </row>
    <row r="24" spans="1:6" x14ac:dyDescent="0.25">
      <c r="A24" s="25"/>
      <c r="B24" s="25"/>
      <c r="D24" s="22"/>
      <c r="E24" s="22"/>
      <c r="F24" s="22"/>
    </row>
  </sheetData>
  <mergeCells count="2">
    <mergeCell ref="A6:I6"/>
    <mergeCell ref="A22:B22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"/>
  <sheetViews>
    <sheetView topLeftCell="B7" zoomScale="150" zoomScaleNormal="150" workbookViewId="0">
      <selection activeCell="E19" sqref="E19"/>
    </sheetView>
  </sheetViews>
  <sheetFormatPr defaultColWidth="11.5703125" defaultRowHeight="15" x14ac:dyDescent="0.25"/>
  <cols>
    <col min="1" max="1" width="18.85546875" style="26" customWidth="1"/>
    <col min="2" max="3" width="11.5703125" style="26"/>
    <col min="4" max="4" width="17.42578125" style="26" customWidth="1"/>
    <col min="5" max="5" width="15" style="26" customWidth="1"/>
    <col min="6" max="16384" width="11.5703125" style="26"/>
  </cols>
  <sheetData>
    <row r="2" spans="1:9" ht="18.75" x14ac:dyDescent="0.3">
      <c r="A2" s="32"/>
      <c r="B2" s="50" t="s">
        <v>36</v>
      </c>
      <c r="C2" s="46"/>
      <c r="D2" s="46"/>
      <c r="E2" s="46"/>
      <c r="F2" s="32"/>
    </row>
    <row r="3" spans="1:9" x14ac:dyDescent="0.25">
      <c r="A3" s="28"/>
      <c r="B3" s="28"/>
      <c r="C3" s="28"/>
      <c r="D3" s="28"/>
      <c r="E3" s="28"/>
      <c r="F3" s="33"/>
    </row>
    <row r="4" spans="1:9" ht="15.75" thickBot="1" x14ac:dyDescent="0.3">
      <c r="A4" s="29"/>
      <c r="B4" s="27"/>
      <c r="C4" s="30"/>
      <c r="D4" s="28"/>
      <c r="E4" s="28"/>
      <c r="F4" s="33"/>
    </row>
    <row r="5" spans="1:9" ht="19.5" thickBot="1" x14ac:dyDescent="0.35">
      <c r="A5" s="29"/>
      <c r="B5" s="27"/>
      <c r="C5" s="30"/>
      <c r="D5" s="49" t="s">
        <v>28</v>
      </c>
      <c r="E5" s="87">
        <v>1</v>
      </c>
      <c r="F5" s="48" t="s">
        <v>29</v>
      </c>
    </row>
    <row r="6" spans="1:9" ht="19.5" thickBot="1" x14ac:dyDescent="0.35">
      <c r="A6" s="33"/>
      <c r="B6" s="33"/>
      <c r="C6" s="33"/>
      <c r="D6" s="49" t="s">
        <v>37</v>
      </c>
      <c r="E6" s="53">
        <f>E5^5+3*E5^3+2</f>
        <v>6</v>
      </c>
      <c r="F6" s="33"/>
    </row>
    <row r="7" spans="1:9" x14ac:dyDescent="0.25">
      <c r="A7" s="39"/>
      <c r="B7" s="33"/>
      <c r="C7" s="39"/>
      <c r="D7" s="71"/>
      <c r="E7" s="31"/>
      <c r="F7" s="31"/>
    </row>
    <row r="8" spans="1:9" x14ac:dyDescent="0.25">
      <c r="A8" s="62"/>
      <c r="B8" s="27"/>
      <c r="C8" s="32"/>
      <c r="D8" s="72"/>
      <c r="E8" s="28"/>
      <c r="F8" s="33"/>
    </row>
    <row r="9" spans="1:9" x14ac:dyDescent="0.25">
      <c r="A9" s="63"/>
      <c r="B9" s="64"/>
      <c r="C9" s="34"/>
      <c r="D9" s="28"/>
      <c r="E9" s="35"/>
      <c r="F9" s="36"/>
    </row>
    <row r="10" spans="1:9" x14ac:dyDescent="0.25">
      <c r="A10" s="63"/>
      <c r="B10" s="37"/>
      <c r="C10" s="34"/>
      <c r="D10" s="28"/>
      <c r="E10" s="35"/>
      <c r="F10" s="36"/>
    </row>
    <row r="11" spans="1:9" x14ac:dyDescent="0.25">
      <c r="A11" s="34"/>
      <c r="B11" s="32"/>
      <c r="C11" s="34"/>
      <c r="D11" s="28"/>
      <c r="E11" s="35"/>
      <c r="F11" s="36"/>
    </row>
    <row r="12" spans="1:9" x14ac:dyDescent="0.25">
      <c r="A12" s="34"/>
      <c r="B12" s="33"/>
      <c r="C12" s="34"/>
      <c r="D12" s="33"/>
      <c r="E12" s="35"/>
      <c r="F12" s="36"/>
    </row>
    <row r="13" spans="1:9" x14ac:dyDescent="0.25">
      <c r="A13" s="38"/>
      <c r="B13" s="92" t="s">
        <v>40</v>
      </c>
      <c r="C13" s="92"/>
      <c r="D13" s="92"/>
      <c r="E13" s="92"/>
      <c r="F13" s="92"/>
      <c r="G13" s="92"/>
      <c r="H13" s="92"/>
      <c r="I13" s="92"/>
    </row>
    <row r="14" spans="1:9" x14ac:dyDescent="0.25">
      <c r="A14" s="34"/>
      <c r="B14" s="92"/>
      <c r="C14" s="92"/>
      <c r="D14" s="92"/>
      <c r="E14" s="92"/>
      <c r="F14" s="92"/>
      <c r="G14" s="92"/>
      <c r="H14" s="92"/>
      <c r="I14" s="92"/>
    </row>
    <row r="15" spans="1:9" x14ac:dyDescent="0.25">
      <c r="A15" s="33"/>
      <c r="B15" s="33"/>
      <c r="C15" s="33"/>
      <c r="D15" s="33"/>
      <c r="E15" s="35"/>
      <c r="F15" s="36"/>
    </row>
    <row r="16" spans="1:9" x14ac:dyDescent="0.25">
      <c r="A16" s="33"/>
      <c r="B16" s="33"/>
      <c r="C16" s="33" t="s">
        <v>41</v>
      </c>
      <c r="D16" s="33">
        <v>200000</v>
      </c>
      <c r="E16" s="33"/>
      <c r="F16" s="33"/>
    </row>
    <row r="17" spans="3:5" x14ac:dyDescent="0.25">
      <c r="C17" s="26" t="s">
        <v>42</v>
      </c>
      <c r="D17" s="26">
        <v>170</v>
      </c>
      <c r="E17" s="85">
        <v>100</v>
      </c>
    </row>
    <row r="18" spans="3:5" x14ac:dyDescent="0.25">
      <c r="C18" s="26" t="s">
        <v>43</v>
      </c>
      <c r="D18" s="86">
        <v>6.8855464832377009E-3</v>
      </c>
      <c r="E18" s="86"/>
    </row>
    <row r="19" spans="3:5" x14ac:dyDescent="0.25">
      <c r="C19" s="26" t="s">
        <v>44</v>
      </c>
      <c r="D19" s="69">
        <f>-PMT(D18,D17,D16,0,0)</f>
        <v>2000.0000000388327</v>
      </c>
      <c r="E19" s="69">
        <f>-PMT(D18,E17,D16,0,0)</f>
        <v>2773.5683009108666</v>
      </c>
    </row>
    <row r="20" spans="3:5" x14ac:dyDescent="0.25">
      <c r="D20" s="68"/>
    </row>
  </sheetData>
  <mergeCells count="1">
    <mergeCell ref="B13:I14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4"/>
  <sheetViews>
    <sheetView tabSelected="1" topLeftCell="B17" zoomScale="110" zoomScaleNormal="110" workbookViewId="0">
      <selection activeCell="J28" sqref="J28"/>
    </sheetView>
  </sheetViews>
  <sheetFormatPr defaultColWidth="11.5703125" defaultRowHeight="15" x14ac:dyDescent="0.25"/>
  <cols>
    <col min="2" max="2" width="22.28515625" bestFit="1" customWidth="1"/>
    <col min="3" max="4" width="20.42578125" bestFit="1" customWidth="1"/>
    <col min="6" max="6" width="26.7109375" customWidth="1"/>
    <col min="7" max="8" width="19.42578125" bestFit="1" customWidth="1"/>
  </cols>
  <sheetData>
    <row r="2" spans="1:9" x14ac:dyDescent="0.25">
      <c r="A2" t="s">
        <v>22</v>
      </c>
    </row>
    <row r="4" spans="1:9" x14ac:dyDescent="0.25">
      <c r="A4" t="s">
        <v>23</v>
      </c>
    </row>
    <row r="5" spans="1:9" x14ac:dyDescent="0.25">
      <c r="A5" t="s">
        <v>24</v>
      </c>
    </row>
    <row r="6" spans="1:9" x14ac:dyDescent="0.25">
      <c r="A6" t="s">
        <v>25</v>
      </c>
    </row>
    <row r="7" spans="1:9" x14ac:dyDescent="0.25">
      <c r="A7" t="s">
        <v>26</v>
      </c>
    </row>
    <row r="8" spans="1:9" x14ac:dyDescent="0.25">
      <c r="F8" s="56"/>
      <c r="G8" s="55"/>
      <c r="H8" s="55"/>
    </row>
    <row r="9" spans="1:9" x14ac:dyDescent="0.25">
      <c r="F9" s="56"/>
      <c r="G9" s="55"/>
      <c r="H9" s="55"/>
      <c r="I9" s="56"/>
    </row>
    <row r="10" spans="1:9" x14ac:dyDescent="0.25">
      <c r="A10" s="77" t="s">
        <v>2</v>
      </c>
      <c r="B10" s="77" t="s">
        <v>14</v>
      </c>
      <c r="C10" s="77" t="s">
        <v>15</v>
      </c>
      <c r="F10" s="56"/>
      <c r="G10" s="55"/>
      <c r="H10" s="55"/>
      <c r="I10" s="56"/>
    </row>
    <row r="11" spans="1:9" x14ac:dyDescent="0.25">
      <c r="A11" s="77">
        <v>0</v>
      </c>
      <c r="B11" s="77">
        <v>-100</v>
      </c>
      <c r="C11" s="77">
        <v>-150</v>
      </c>
      <c r="E11" s="65"/>
      <c r="F11" s="65"/>
      <c r="G11" s="55"/>
      <c r="H11" s="55"/>
      <c r="I11" s="56"/>
    </row>
    <row r="12" spans="1:9" x14ac:dyDescent="0.25">
      <c r="A12" s="77">
        <v>1</v>
      </c>
      <c r="B12" s="77">
        <v>30</v>
      </c>
      <c r="C12" s="77">
        <v>42</v>
      </c>
      <c r="E12" s="65"/>
      <c r="F12" s="65"/>
      <c r="G12" s="55"/>
      <c r="H12" s="55"/>
      <c r="I12" s="56"/>
    </row>
    <row r="13" spans="1:9" x14ac:dyDescent="0.25">
      <c r="A13" s="77">
        <v>2</v>
      </c>
      <c r="B13" s="77">
        <v>30</v>
      </c>
      <c r="C13" s="77">
        <v>42</v>
      </c>
      <c r="D13" s="70"/>
      <c r="E13" s="65"/>
      <c r="F13" s="56"/>
      <c r="G13" s="55"/>
      <c r="H13" s="55"/>
      <c r="I13" s="56"/>
    </row>
    <row r="14" spans="1:9" x14ac:dyDescent="0.25">
      <c r="A14" s="77">
        <v>3</v>
      </c>
      <c r="B14" s="77">
        <v>30</v>
      </c>
      <c r="C14" s="77">
        <v>42</v>
      </c>
      <c r="F14" s="56"/>
      <c r="G14" s="55"/>
      <c r="H14" s="84"/>
      <c r="I14" s="56"/>
    </row>
    <row r="15" spans="1:9" x14ac:dyDescent="0.25">
      <c r="A15" s="77">
        <v>4</v>
      </c>
      <c r="B15" s="77">
        <v>30</v>
      </c>
      <c r="C15" s="77">
        <v>42</v>
      </c>
      <c r="E15" s="93" t="s">
        <v>35</v>
      </c>
      <c r="F15" s="94"/>
      <c r="G15" s="55"/>
      <c r="H15" s="83"/>
      <c r="I15" s="56"/>
    </row>
    <row r="16" spans="1:9" x14ac:dyDescent="0.25">
      <c r="A16" s="77">
        <v>5</v>
      </c>
      <c r="B16" s="77">
        <v>30</v>
      </c>
      <c r="C16" s="77">
        <v>42</v>
      </c>
      <c r="D16" s="56"/>
      <c r="F16" s="65" t="s">
        <v>34</v>
      </c>
      <c r="G16" s="84">
        <v>6.4022381611604617E-2</v>
      </c>
      <c r="H16" s="75"/>
    </row>
    <row r="17" spans="1:8" x14ac:dyDescent="0.25">
      <c r="A17" s="78" t="s">
        <v>8</v>
      </c>
      <c r="B17" s="79">
        <f>NPV(5%,B12:B16)+B11</f>
        <v>29.884300118924557</v>
      </c>
      <c r="C17" s="79">
        <f>NPV(5%,C12:C16)+C11</f>
        <v>31.838020166494402</v>
      </c>
      <c r="D17" s="54"/>
      <c r="F17" s="65" t="s">
        <v>38</v>
      </c>
      <c r="G17" s="55">
        <f>NPV(G16,B12:B16)+B11</f>
        <v>25.000008795518283</v>
      </c>
      <c r="H17" s="55"/>
    </row>
    <row r="18" spans="1:8" x14ac:dyDescent="0.25">
      <c r="A18" s="80" t="s">
        <v>11</v>
      </c>
      <c r="B18" s="81">
        <f>IRR(B11:B16)</f>
        <v>0.15238237116630637</v>
      </c>
      <c r="C18" s="81">
        <f>IRR(C11:C16)</f>
        <v>0.12376241456839532</v>
      </c>
      <c r="D18" s="54"/>
      <c r="F18" s="65" t="s">
        <v>39</v>
      </c>
      <c r="G18" s="83">
        <f>NPV(G16,C12:C16)+C11</f>
        <v>25.000012313725563</v>
      </c>
      <c r="H18" s="55"/>
    </row>
    <row r="19" spans="1:8" x14ac:dyDescent="0.25">
      <c r="B19" s="54"/>
      <c r="C19" s="54"/>
      <c r="F19" s="55"/>
      <c r="G19" s="55">
        <f>G18-G17</f>
        <v>3.5182072792849794E-6</v>
      </c>
      <c r="H19" s="55"/>
    </row>
    <row r="20" spans="1:8" x14ac:dyDescent="0.25">
      <c r="A20" s="58" t="s">
        <v>34</v>
      </c>
      <c r="B20" s="58" t="s">
        <v>14</v>
      </c>
      <c r="C20" s="58" t="s">
        <v>15</v>
      </c>
      <c r="F20" s="55"/>
      <c r="G20" s="55"/>
      <c r="H20" s="55"/>
    </row>
    <row r="21" spans="1:8" x14ac:dyDescent="0.25">
      <c r="A21" s="59">
        <v>0.01</v>
      </c>
      <c r="B21" s="57">
        <f>NPV(A21,$B$12:$B$16)+$B$11</f>
        <v>45.60293717975361</v>
      </c>
      <c r="C21" s="57">
        <f>NPV(A21,$C$12:$C$16)+$C$11</f>
        <v>53.84411205165506</v>
      </c>
      <c r="F21" s="56"/>
      <c r="G21" s="55"/>
      <c r="H21" s="55"/>
    </row>
    <row r="22" spans="1:8" x14ac:dyDescent="0.25">
      <c r="A22" s="59">
        <v>0.02</v>
      </c>
      <c r="B22" s="57">
        <f t="shared" ref="B22:B34" si="0">NPV(A22,$B$12:$B$16)+$B$11</f>
        <v>41.403785255126166</v>
      </c>
      <c r="C22" s="57">
        <f t="shared" ref="C22:C34" si="1">NPV(A22,$C$12:$C$16)+$C$11</f>
        <v>47.965299357176605</v>
      </c>
    </row>
    <row r="23" spans="1:8" x14ac:dyDescent="0.25">
      <c r="A23" s="59">
        <v>0.03</v>
      </c>
      <c r="B23" s="57">
        <f t="shared" si="0"/>
        <v>37.391215615835989</v>
      </c>
      <c r="C23" s="57">
        <f t="shared" si="1"/>
        <v>42.347701862170396</v>
      </c>
    </row>
    <row r="24" spans="1:8" x14ac:dyDescent="0.25">
      <c r="A24" s="59">
        <v>0.04</v>
      </c>
      <c r="B24" s="57">
        <f t="shared" si="0"/>
        <v>33.554669930486142</v>
      </c>
      <c r="C24" s="57">
        <f t="shared" si="1"/>
        <v>36.976537902680604</v>
      </c>
    </row>
    <row r="25" spans="1:8" x14ac:dyDescent="0.25">
      <c r="A25" s="59">
        <v>0.05</v>
      </c>
      <c r="B25" s="57">
        <f t="shared" si="0"/>
        <v>29.884300118924557</v>
      </c>
      <c r="C25" s="57">
        <f t="shared" si="1"/>
        <v>31.838020166494402</v>
      </c>
    </row>
    <row r="26" spans="1:8" x14ac:dyDescent="0.25">
      <c r="A26" s="59">
        <v>0.06</v>
      </c>
      <c r="B26" s="57">
        <f t="shared" si="0"/>
        <v>26.37091356697141</v>
      </c>
      <c r="C26" s="57">
        <f t="shared" si="1"/>
        <v>26.919278993759974</v>
      </c>
    </row>
    <row r="27" spans="1:8" x14ac:dyDescent="0.25">
      <c r="A27" s="59">
        <v>7.0000000000000007E-2</v>
      </c>
      <c r="B27" s="57">
        <f t="shared" si="0"/>
        <v>23.005923078427799</v>
      </c>
      <c r="C27" s="57">
        <f t="shared" si="1"/>
        <v>22.208292309798935</v>
      </c>
    </row>
    <row r="28" spans="1:8" x14ac:dyDescent="0.25">
      <c r="A28" s="59">
        <v>0.08</v>
      </c>
      <c r="B28" s="57">
        <f t="shared" si="0"/>
        <v>19.781301112342561</v>
      </c>
      <c r="C28" s="57">
        <f t="shared" si="1"/>
        <v>17.693821557279563</v>
      </c>
    </row>
    <row r="29" spans="1:8" x14ac:dyDescent="0.25">
      <c r="A29" s="59">
        <v>0.09</v>
      </c>
      <c r="B29" s="57">
        <f t="shared" si="0"/>
        <v>16.689537900551471</v>
      </c>
      <c r="C29" s="57">
        <f t="shared" si="1"/>
        <v>13.365353060772065</v>
      </c>
    </row>
    <row r="30" spans="1:8" x14ac:dyDescent="0.25">
      <c r="A30" s="59">
        <v>0.1</v>
      </c>
      <c r="B30" s="57">
        <f t="shared" si="0"/>
        <v>13.723603082253405</v>
      </c>
      <c r="C30" s="57">
        <f t="shared" si="1"/>
        <v>9.2130443151547752</v>
      </c>
    </row>
    <row r="31" spans="1:8" x14ac:dyDescent="0.25">
      <c r="A31" s="59">
        <v>0.11</v>
      </c>
      <c r="B31" s="57">
        <f t="shared" si="0"/>
        <v>10.876910529483936</v>
      </c>
      <c r="C31" s="57">
        <f t="shared" si="1"/>
        <v>5.2276747412774967</v>
      </c>
    </row>
    <row r="32" spans="1:8" x14ac:dyDescent="0.25">
      <c r="A32" s="59">
        <v>0.12</v>
      </c>
      <c r="B32" s="57">
        <f t="shared" si="0"/>
        <v>8.1432860703501291</v>
      </c>
      <c r="C32" s="57">
        <f t="shared" si="1"/>
        <v>1.4006004984902063</v>
      </c>
    </row>
    <row r="33" spans="1:3" x14ac:dyDescent="0.25">
      <c r="A33" s="59">
        <v>0.13</v>
      </c>
      <c r="B33" s="57">
        <f t="shared" si="0"/>
        <v>5.5169378462811949</v>
      </c>
      <c r="C33" s="57">
        <f t="shared" si="1"/>
        <v>-2.2762870152063215</v>
      </c>
    </row>
    <row r="34" spans="1:3" x14ac:dyDescent="0.25">
      <c r="A34" s="59">
        <v>0.14000000000000001</v>
      </c>
      <c r="B34" s="57">
        <f t="shared" si="0"/>
        <v>2.9924290657537824</v>
      </c>
      <c r="C34" s="57">
        <f t="shared" si="1"/>
        <v>-5.8105993079447273</v>
      </c>
    </row>
  </sheetData>
  <mergeCells count="1">
    <mergeCell ref="E15:F15"/>
  </mergeCells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 alignWithMargins="0">
    <oddHeader>&amp;C&amp;"Arial,Regular"&amp;10&amp;A</oddHeader>
    <oddFooter>&amp;C&amp;"Arial,Regular"&amp;10Page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NPV</vt:lpstr>
      <vt:lpstr>NPV, IRR</vt:lpstr>
      <vt:lpstr>XIRR, XNPV</vt:lpstr>
      <vt:lpstr>Goal Seek</vt:lpstr>
      <vt:lpstr>Cross over rate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 Lata</dc:creator>
  <cp:lastModifiedBy>Sneh Lata</cp:lastModifiedBy>
  <dcterms:created xsi:type="dcterms:W3CDTF">2011-05-06T10:38:49Z</dcterms:created>
  <dcterms:modified xsi:type="dcterms:W3CDTF">2018-04-04T07:38:09Z</dcterms:modified>
</cp:coreProperties>
</file>