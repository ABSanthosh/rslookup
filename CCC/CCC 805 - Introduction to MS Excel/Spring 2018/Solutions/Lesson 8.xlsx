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neh.lata\Downloads\"/>
    </mc:Choice>
  </mc:AlternateContent>
  <bookViews>
    <workbookView xWindow="0" yWindow="0" windowWidth="15090" windowHeight="6885" tabRatio="406" firstSheet="1" activeTab="3"/>
  </bookViews>
  <sheets>
    <sheet name="LPP" sheetId="2" r:id="rId1"/>
    <sheet name="Transport" sheetId="3" r:id="rId2"/>
    <sheet name="Class Work" sheetId="6" r:id="rId3"/>
    <sheet name="Home work" sheetId="5" r:id="rId4"/>
  </sheets>
  <definedNames>
    <definedName name="solver_adj" localSheetId="2" hidden="1">'Class Work'!$I$10:$I$17</definedName>
    <definedName name="solver_adj" localSheetId="3" hidden="1">'Home work'!$D$12:$I$12</definedName>
    <definedName name="solver_adj" localSheetId="0" hidden="1">LPP!$E$7:$E$8</definedName>
    <definedName name="solver_adj" localSheetId="1" hidden="1">Transport!$B$18:$E$20</definedName>
    <definedName name="solver_cvg" localSheetId="2" hidden="1">0.0001</definedName>
    <definedName name="solver_cvg" localSheetId="3" hidden="1">0.0001</definedName>
    <definedName name="solver_cvg" localSheetId="0" hidden="1">0.0001</definedName>
    <definedName name="solver_cvg" localSheetId="1" hidden="1">0.0001</definedName>
    <definedName name="solver_drv" localSheetId="2" hidden="1">1</definedName>
    <definedName name="solver_drv" localSheetId="3" hidden="1">1</definedName>
    <definedName name="solver_drv" localSheetId="0" hidden="1">1</definedName>
    <definedName name="solver_drv" localSheetId="1" hidden="1">1</definedName>
    <definedName name="solver_eng" localSheetId="2" hidden="1">1</definedName>
    <definedName name="solver_eng" localSheetId="3" hidden="1">1</definedName>
    <definedName name="solver_eng" localSheetId="0" hidden="1">1</definedName>
    <definedName name="solver_eng" localSheetId="1" hidden="1">1</definedName>
    <definedName name="solver_est" localSheetId="2" hidden="1">1</definedName>
    <definedName name="solver_est" localSheetId="3" hidden="1">1</definedName>
    <definedName name="solver_est" localSheetId="0" hidden="1">1</definedName>
    <definedName name="solver_est" localSheetId="1" hidden="1">1</definedName>
    <definedName name="solver_itr" localSheetId="2" hidden="1">2147483647</definedName>
    <definedName name="solver_itr" localSheetId="3" hidden="1">2147483647</definedName>
    <definedName name="solver_itr" localSheetId="0" hidden="1">2147483647</definedName>
    <definedName name="solver_itr" localSheetId="1" hidden="1">2147483647</definedName>
    <definedName name="solver_lhs1" localSheetId="2" hidden="1">'Class Work'!$B$20:$G$20</definedName>
    <definedName name="solver_lhs1" localSheetId="3" hidden="1">'Home work'!$D$17:$D$18</definedName>
    <definedName name="solver_lhs1" localSheetId="0" hidden="1">LPP!$E$12:$E$13</definedName>
    <definedName name="solver_lhs1" localSheetId="1" hidden="1">Transport!$B$18:$E$20</definedName>
    <definedName name="solver_lhs2" localSheetId="2" hidden="1">'Class Work'!$I$10:$I$17</definedName>
    <definedName name="solver_lhs2" localSheetId="3" hidden="1">'Home work'!$D$12:$I$12</definedName>
    <definedName name="solver_lhs2" localSheetId="0" hidden="1">LPP!$E$7</definedName>
    <definedName name="solver_lhs2" localSheetId="1" hidden="1">Transport!$B$22:$E$22</definedName>
    <definedName name="solver_lhs3" localSheetId="2" hidden="1">'Class Work'!$I$10:$I$17</definedName>
    <definedName name="solver_lhs3" localSheetId="3" hidden="1">'Home work'!$D$17:$D$18</definedName>
    <definedName name="solver_lhs3" localSheetId="0" hidden="1">LPP!$E$8</definedName>
    <definedName name="solver_lhs3" localSheetId="1" hidden="1">Transport!$G$18:$G$20</definedName>
    <definedName name="solver_lhs4" localSheetId="3" hidden="1">'Home work'!$D$17:$D$18</definedName>
    <definedName name="solver_lhs4" localSheetId="0" hidden="1">LPP!$E$8</definedName>
    <definedName name="solver_lhs4" localSheetId="1" hidden="1">Transport!$G$18:$G$20</definedName>
    <definedName name="solver_lin" localSheetId="2" hidden="1">2</definedName>
    <definedName name="solver_lin" localSheetId="3" hidden="1">2</definedName>
    <definedName name="solver_lin" localSheetId="0" hidden="1">2</definedName>
    <definedName name="solver_mip" localSheetId="2" hidden="1">2147483647</definedName>
    <definedName name="solver_mip" localSheetId="3" hidden="1">2147483647</definedName>
    <definedName name="solver_mip" localSheetId="0" hidden="1">2147483647</definedName>
    <definedName name="solver_mip" localSheetId="1" hidden="1">2147483647</definedName>
    <definedName name="solver_mni" localSheetId="2" hidden="1">30</definedName>
    <definedName name="solver_mni" localSheetId="3" hidden="1">30</definedName>
    <definedName name="solver_mni" localSheetId="0" hidden="1">30</definedName>
    <definedName name="solver_mni" localSheetId="1" hidden="1">30</definedName>
    <definedName name="solver_mrt" localSheetId="2" hidden="1">0.075</definedName>
    <definedName name="solver_mrt" localSheetId="3" hidden="1">0.075</definedName>
    <definedName name="solver_mrt" localSheetId="0" hidden="1">0.075</definedName>
    <definedName name="solver_mrt" localSheetId="1" hidden="1">0.075</definedName>
    <definedName name="solver_msl" localSheetId="2" hidden="1">2</definedName>
    <definedName name="solver_msl" localSheetId="3" hidden="1">2</definedName>
    <definedName name="solver_msl" localSheetId="0" hidden="1">2</definedName>
    <definedName name="solver_msl" localSheetId="1" hidden="1">2</definedName>
    <definedName name="solver_neg" localSheetId="2" hidden="1">1</definedName>
    <definedName name="solver_neg" localSheetId="3" hidden="1">1</definedName>
    <definedName name="solver_neg" localSheetId="0" hidden="1">1</definedName>
    <definedName name="solver_neg" localSheetId="1" hidden="1">1</definedName>
    <definedName name="solver_nod" localSheetId="2" hidden="1">2147483647</definedName>
    <definedName name="solver_nod" localSheetId="3" hidden="1">2147483647</definedName>
    <definedName name="solver_nod" localSheetId="0" hidden="1">2147483647</definedName>
    <definedName name="solver_nod" localSheetId="1" hidden="1">2147483647</definedName>
    <definedName name="solver_num" localSheetId="2" hidden="1">2</definedName>
    <definedName name="solver_num" localSheetId="3" hidden="1">1</definedName>
    <definedName name="solver_num" localSheetId="0" hidden="1">3</definedName>
    <definedName name="solver_num" localSheetId="1" hidden="1">3</definedName>
    <definedName name="solver_nwt" localSheetId="2" hidden="1">1</definedName>
    <definedName name="solver_nwt" localSheetId="3" hidden="1">1</definedName>
    <definedName name="solver_nwt" localSheetId="0" hidden="1">1</definedName>
    <definedName name="solver_nwt" localSheetId="1" hidden="1">1</definedName>
    <definedName name="solver_opt" localSheetId="2" hidden="1">'Class Work'!$B$24</definedName>
    <definedName name="solver_opt" localSheetId="3" hidden="1">'Home work'!$D$20</definedName>
    <definedName name="solver_opt" localSheetId="0" hidden="1">LPP!$E$10</definedName>
    <definedName name="solver_opt" localSheetId="1" hidden="1">Transport!$B$26</definedName>
    <definedName name="solver_pre" localSheetId="2" hidden="1">0.000001</definedName>
    <definedName name="solver_pre" localSheetId="3" hidden="1">0.000001</definedName>
    <definedName name="solver_pre" localSheetId="0" hidden="1">0.000001</definedName>
    <definedName name="solver_pre" localSheetId="1" hidden="1">0.000001</definedName>
    <definedName name="solver_rbv" localSheetId="2" hidden="1">1</definedName>
    <definedName name="solver_rbv" localSheetId="3" hidden="1">1</definedName>
    <definedName name="solver_rbv" localSheetId="0" hidden="1">1</definedName>
    <definedName name="solver_rbv" localSheetId="1" hidden="1">1</definedName>
    <definedName name="solver_rel1" localSheetId="2" hidden="1">3</definedName>
    <definedName name="solver_rel1" localSheetId="3" hidden="1">1</definedName>
    <definedName name="solver_rel1" localSheetId="0" hidden="1">1</definedName>
    <definedName name="solver_rel1" localSheetId="1" hidden="1">4</definedName>
    <definedName name="solver_rel2" localSheetId="2" hidden="1">4</definedName>
    <definedName name="solver_rel2" localSheetId="3" hidden="1">4</definedName>
    <definedName name="solver_rel2" localSheetId="0" hidden="1">3</definedName>
    <definedName name="solver_rel2" localSheetId="1" hidden="1">3</definedName>
    <definedName name="solver_rel3" localSheetId="2" hidden="1">3</definedName>
    <definedName name="solver_rel3" localSheetId="3" hidden="1">1</definedName>
    <definedName name="solver_rel3" localSheetId="0" hidden="1">3</definedName>
    <definedName name="solver_rel3" localSheetId="1" hidden="1">1</definedName>
    <definedName name="solver_rel4" localSheetId="3" hidden="1">1</definedName>
    <definedName name="solver_rel4" localSheetId="0" hidden="1">3</definedName>
    <definedName name="solver_rel4" localSheetId="1" hidden="1">1</definedName>
    <definedName name="solver_rhs1" localSheetId="2" hidden="1">'Class Work'!$B$22:$G$22</definedName>
    <definedName name="solver_rhs1" localSheetId="3" hidden="1">'Home work'!$F$17:$F$18</definedName>
    <definedName name="solver_rhs1" localSheetId="0" hidden="1">LPP!$G$12:$G$13</definedName>
    <definedName name="solver_rhs1" localSheetId="1" hidden="1">integer</definedName>
    <definedName name="solver_rhs2" localSheetId="2" hidden="1">integer</definedName>
    <definedName name="solver_rhs2" localSheetId="3" hidden="1">integer</definedName>
    <definedName name="solver_rhs2" localSheetId="0" hidden="1">0</definedName>
    <definedName name="solver_rhs2" localSheetId="1" hidden="1">Transport!$B$24:$E$24</definedName>
    <definedName name="solver_rhs3" localSheetId="2" hidden="1">0</definedName>
    <definedName name="solver_rhs3" localSheetId="3" hidden="1">'Home work'!$F$17:$F$18</definedName>
    <definedName name="solver_rhs3" localSheetId="0" hidden="1">0</definedName>
    <definedName name="solver_rhs3" localSheetId="1" hidden="1">Transport!$I$18:$I$20</definedName>
    <definedName name="solver_rhs4" localSheetId="3" hidden="1">'Home work'!$F$17:$F$18</definedName>
    <definedName name="solver_rhs4" localSheetId="0" hidden="1">0</definedName>
    <definedName name="solver_rhs4" localSheetId="1" hidden="1">Transport!$I$18:$I$20</definedName>
    <definedName name="solver_rlx" localSheetId="2" hidden="1">2</definedName>
    <definedName name="solver_rlx" localSheetId="3" hidden="1">2</definedName>
    <definedName name="solver_rlx" localSheetId="0" hidden="1">2</definedName>
    <definedName name="solver_rlx" localSheetId="1" hidden="1">2</definedName>
    <definedName name="solver_rsd" localSheetId="2" hidden="1">0</definedName>
    <definedName name="solver_rsd" localSheetId="3" hidden="1">0</definedName>
    <definedName name="solver_rsd" localSheetId="0" hidden="1">0</definedName>
    <definedName name="solver_rsd" localSheetId="1" hidden="1">0</definedName>
    <definedName name="solver_scl" localSheetId="2" hidden="1">1</definedName>
    <definedName name="solver_scl" localSheetId="3" hidden="1">1</definedName>
    <definedName name="solver_scl" localSheetId="0" hidden="1">1</definedName>
    <definedName name="solver_scl" localSheetId="1" hidden="1">1</definedName>
    <definedName name="solver_sho" localSheetId="2" hidden="1">2</definedName>
    <definedName name="solver_sho" localSheetId="3" hidden="1">2</definedName>
    <definedName name="solver_sho" localSheetId="0" hidden="1">2</definedName>
    <definedName name="solver_sho" localSheetId="1" hidden="1">2</definedName>
    <definedName name="solver_ssz" localSheetId="2" hidden="1">100</definedName>
    <definedName name="solver_ssz" localSheetId="3" hidden="1">100</definedName>
    <definedName name="solver_ssz" localSheetId="0" hidden="1">100</definedName>
    <definedName name="solver_ssz" localSheetId="1" hidden="1">100</definedName>
    <definedName name="solver_tim" localSheetId="2" hidden="1">2147483647</definedName>
    <definedName name="solver_tim" localSheetId="3" hidden="1">2147483647</definedName>
    <definedName name="solver_tim" localSheetId="0" hidden="1">2147483647</definedName>
    <definedName name="solver_tim" localSheetId="1" hidden="1">2147483647</definedName>
    <definedName name="solver_tol" localSheetId="2" hidden="1">0.01</definedName>
    <definedName name="solver_tol" localSheetId="3" hidden="1">0.01</definedName>
    <definedName name="solver_tol" localSheetId="0" hidden="1">0.01</definedName>
    <definedName name="solver_tol" localSheetId="1" hidden="1">0.01</definedName>
    <definedName name="solver_typ" localSheetId="2" hidden="1">2</definedName>
    <definedName name="solver_typ" localSheetId="3" hidden="1">1</definedName>
    <definedName name="solver_typ" localSheetId="0" hidden="1">1</definedName>
    <definedName name="solver_typ" localSheetId="1" hidden="1">2</definedName>
    <definedName name="solver_val" localSheetId="2" hidden="1">0</definedName>
    <definedName name="solver_val" localSheetId="3" hidden="1">0</definedName>
    <definedName name="solver_val" localSheetId="0" hidden="1">0</definedName>
    <definedName name="solver_val" localSheetId="1" hidden="1">0</definedName>
    <definedName name="solver_ver" localSheetId="2" hidden="1">3</definedName>
    <definedName name="solver_ver" localSheetId="3" hidden="1">3</definedName>
    <definedName name="solver_ver" localSheetId="0" hidden="1">3</definedName>
    <definedName name="solver_ver" localSheetId="1" hidden="1">3</definedName>
  </definedNames>
  <calcPr calcId="152511"/>
</workbook>
</file>

<file path=xl/calcChain.xml><?xml version="1.0" encoding="utf-8"?>
<calcChain xmlns="http://schemas.openxmlformats.org/spreadsheetml/2006/main">
  <c r="D20" i="5" l="1"/>
  <c r="D18" i="5"/>
  <c r="D17" i="5"/>
  <c r="B24" i="6"/>
  <c r="C20" i="6"/>
  <c r="D20" i="6"/>
  <c r="E20" i="6"/>
  <c r="F20" i="6"/>
  <c r="G20" i="6"/>
  <c r="B20" i="6"/>
  <c r="B26" i="3" l="1"/>
  <c r="C22" i="3"/>
  <c r="D22" i="3"/>
  <c r="E22" i="3"/>
  <c r="B22" i="3"/>
  <c r="G19" i="3"/>
  <c r="G20" i="3"/>
  <c r="G18" i="3"/>
  <c r="E13" i="2"/>
  <c r="E12" i="2"/>
  <c r="E10" i="2"/>
  <c r="D10" i="5" l="1"/>
  <c r="E10" i="5"/>
  <c r="F10" i="5"/>
  <c r="G10" i="5"/>
  <c r="H10" i="5"/>
  <c r="I10" i="5"/>
</calcChain>
</file>

<file path=xl/sharedStrings.xml><?xml version="1.0" encoding="utf-8"?>
<sst xmlns="http://schemas.openxmlformats.org/spreadsheetml/2006/main" count="93" uniqueCount="66">
  <si>
    <t>&lt;=</t>
  </si>
  <si>
    <t>Available</t>
  </si>
  <si>
    <t>&gt;=</t>
  </si>
  <si>
    <t xml:space="preserve">A company produces a certain drug at its Los Angeles, Atlanta, and New York facilities. Each month, the Los Angeles </t>
  </si>
  <si>
    <t>plant can produce up to 10000 pounds of drug. Atlanta can produce up to 12000 pounds and New York can produce</t>
  </si>
  <si>
    <t>up to 14000 pounds. The company must make monthly shipments to the four regions of the United States -East,</t>
  </si>
  <si>
    <t>these regions from the facilities is given in B12:E14.For example, the cost of shipping a pound of drug from LA to</t>
  </si>
  <si>
    <t>East is $5 and LA to West is $2.2.</t>
  </si>
  <si>
    <t>Calculate the pounds to be shipped to different regions from the respective plants so that the transportation cost is minimum.</t>
  </si>
  <si>
    <t>Cost of Shipping (per pound)</t>
  </si>
  <si>
    <t>EAST</t>
  </si>
  <si>
    <t>MIDWEST</t>
  </si>
  <si>
    <t>SOUTH</t>
  </si>
  <si>
    <t>WEST</t>
  </si>
  <si>
    <t>LA</t>
  </si>
  <si>
    <t>ATLANTA</t>
  </si>
  <si>
    <t>NEW YORK</t>
  </si>
  <si>
    <t>Pounds to be Shipped?</t>
  </si>
  <si>
    <t>Sent</t>
  </si>
  <si>
    <t>CAPACITY</t>
  </si>
  <si>
    <t>Total</t>
  </si>
  <si>
    <t xml:space="preserve">Demand </t>
  </si>
  <si>
    <t>Total Cost</t>
  </si>
  <si>
    <t>A drug company produces six types of medicines. The resources available to the company are 4500 hrs of labor and 1600 pounds</t>
  </si>
  <si>
    <t>of raw material in a month. Calculate the quantities of each type of drug that the company should manufacture inorder to maximise the</t>
  </si>
  <si>
    <t>Product</t>
  </si>
  <si>
    <t>Labor</t>
  </si>
  <si>
    <t>Raw Material</t>
  </si>
  <si>
    <t>Unit price</t>
  </si>
  <si>
    <t>Variable cost</t>
  </si>
  <si>
    <t>Unit profit</t>
  </si>
  <si>
    <t>Pounds made</t>
  </si>
  <si>
    <t>Labor Used</t>
  </si>
  <si>
    <t>Raw Material Used</t>
  </si>
  <si>
    <t>Total Profit</t>
  </si>
  <si>
    <r>
      <t xml:space="preserve">profit. </t>
    </r>
    <r>
      <rPr>
        <b/>
        <i/>
        <sz val="11"/>
        <color rgb="FFC00000"/>
        <rFont val="Arial"/>
        <family val="2"/>
      </rPr>
      <t>Note that it is not mandatory to meet the demand as it may not be possible to do so in the resources available.</t>
    </r>
  </si>
  <si>
    <t>5x+2y &lt;= 19</t>
  </si>
  <si>
    <t>13x-6y &lt;=23</t>
  </si>
  <si>
    <t>x,y&gt;=0</t>
  </si>
  <si>
    <t>x</t>
  </si>
  <si>
    <t>y</t>
  </si>
  <si>
    <t>5x+2y</t>
  </si>
  <si>
    <t>13x-6y</t>
  </si>
  <si>
    <t>max z=2x+3y</t>
  </si>
  <si>
    <t>Show</t>
  </si>
  <si>
    <t>M 18-35</t>
  </si>
  <si>
    <t>M 36-55</t>
  </si>
  <si>
    <t>M &gt;55</t>
  </si>
  <si>
    <t>W 18-35</t>
  </si>
  <si>
    <t>W 36-55</t>
  </si>
  <si>
    <t>W &gt;55</t>
  </si>
  <si>
    <t>COST</t>
  </si>
  <si>
    <t>No. of ads</t>
  </si>
  <si>
    <t>Friends</t>
  </si>
  <si>
    <t>Fear factor</t>
  </si>
  <si>
    <t>Big Boss</t>
  </si>
  <si>
    <t>Sports Center</t>
  </si>
  <si>
    <t>MTV Roadies</t>
  </si>
  <si>
    <t>Laughter Challenge</t>
  </si>
  <si>
    <t>CNN</t>
  </si>
  <si>
    <t>Aaj Tak</t>
  </si>
  <si>
    <t>Achieved</t>
  </si>
  <si>
    <t>TARGET</t>
  </si>
  <si>
    <t>Midwest , South and West- the number of pounds are given below. The cost of shipment per pound, to each of</t>
  </si>
  <si>
    <t>z= (2x+3y)</t>
  </si>
  <si>
    <t>Store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</si>
</sst>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$#,##0.00\ ;[Red]&quot;($&quot;#,##0.00\)"/>
    <numFmt numFmtId="165" formatCode="&quot; $&quot;#,##0.00\ ;&quot; $(&quot;#,##0.00\);&quot; $-&quot;#\ ;@\ "/>
    <numFmt numFmtId="166" formatCode="&quot; Rs. &quot;#,##0.00\ ;&quot; Rs. -&quot;#,##0.00\ ;&quot; Rs. -&quot;#\ ;@\ "/>
  </numFmts>
  <fonts count="16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0"/>
      <name val="Arial"/>
      <family val="2"/>
    </font>
    <font>
      <b/>
      <sz val="12"/>
      <name val="Arial"/>
      <family val="2"/>
    </font>
    <font>
      <sz val="13"/>
      <name val="Arial"/>
      <family val="2"/>
    </font>
    <font>
      <sz val="10"/>
      <name val="Arial"/>
      <family val="2"/>
    </font>
    <font>
      <b/>
      <sz val="11"/>
      <color rgb="FFC00000"/>
      <name val="Arial"/>
      <family val="2"/>
    </font>
    <font>
      <b/>
      <i/>
      <sz val="11"/>
      <color rgb="FFC00000"/>
      <name val="Arial"/>
      <family val="2"/>
    </font>
    <font>
      <b/>
      <sz val="12"/>
      <color rgb="FFC00000"/>
      <name val="Arial"/>
      <family val="2"/>
    </font>
    <font>
      <b/>
      <sz val="11"/>
      <name val="Arial"/>
      <family val="2"/>
    </font>
    <font>
      <sz val="11"/>
      <color indexed="16"/>
      <name val="Calibri"/>
      <family val="2"/>
    </font>
    <font>
      <sz val="11"/>
      <color indexed="17"/>
      <name val="Calibri"/>
      <family val="2"/>
    </font>
    <font>
      <b/>
      <sz val="10"/>
      <color theme="7" tint="0.79998168889431442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  <b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30"/>
        <bgColor indexed="21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11"/>
        <bgColor indexed="49"/>
      </patternFill>
    </fill>
    <fill>
      <patternFill patternType="solid">
        <fgColor indexed="46"/>
        <bgColor indexed="24"/>
      </patternFill>
    </fill>
    <fill>
      <patternFill patternType="solid">
        <fgColor indexed="20"/>
        <bgColor indexed="36"/>
      </patternFill>
    </fill>
    <fill>
      <patternFill patternType="solid">
        <fgColor indexed="27"/>
        <bgColor indexed="41"/>
      </patternFill>
    </fill>
    <fill>
      <patternFill patternType="solid">
        <fgColor indexed="49"/>
        <bgColor indexed="22"/>
      </patternFill>
    </fill>
    <fill>
      <patternFill patternType="solid">
        <fgColor indexed="47"/>
        <bgColor indexed="43"/>
      </patternFill>
    </fill>
    <fill>
      <patternFill patternType="solid">
        <fgColor indexed="51"/>
        <bgColor indexed="13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55"/>
        <bgColor indexed="57"/>
      </patternFill>
    </fill>
    <fill>
      <patternFill patternType="solid">
        <fgColor indexed="53"/>
        <bgColor indexed="25"/>
      </patternFill>
    </fill>
    <fill>
      <patternFill patternType="solid">
        <fgColor indexed="24"/>
        <bgColor indexed="46"/>
      </patternFill>
    </fill>
    <fill>
      <patternFill patternType="solid">
        <fgColor indexed="34"/>
        <bgColor indexed="13"/>
      </patternFill>
    </fill>
    <fill>
      <patternFill patternType="solid">
        <fgColor indexed="10"/>
        <bgColor indexed="53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indexed="25"/>
        <bgColor indexed="61"/>
      </patternFill>
    </fill>
    <fill>
      <patternFill patternType="solid">
        <fgColor indexed="47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theme="5" tint="0.59999389629810485"/>
        <bgColor indexed="53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165" fontId="8" fillId="0" borderId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3" borderId="0" applyNumberFormat="0" applyBorder="0" applyAlignment="0" applyProtection="0"/>
    <xf numFmtId="0" fontId="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0" borderId="0" applyNumberFormat="0" applyFill="0" applyBorder="0" applyAlignment="0" applyProtection="0"/>
    <xf numFmtId="166" fontId="1" fillId="0" borderId="0"/>
    <xf numFmtId="0" fontId="1" fillId="24" borderId="0"/>
    <xf numFmtId="0" fontId="1" fillId="2" borderId="0"/>
    <xf numFmtId="0" fontId="1" fillId="25" borderId="0"/>
    <xf numFmtId="0" fontId="2" fillId="26" borderId="0"/>
    <xf numFmtId="0" fontId="13" fillId="27" borderId="0"/>
    <xf numFmtId="0" fontId="14" fillId="7" borderId="0"/>
    <xf numFmtId="0" fontId="1" fillId="0" borderId="0"/>
    <xf numFmtId="9" fontId="8" fillId="0" borderId="0" applyFill="0" applyBorder="0" applyAlignment="0" applyProtection="0"/>
  </cellStyleXfs>
  <cellXfs count="46">
    <xf numFmtId="0" fontId="0" fillId="0" borderId="0" xfId="0"/>
    <xf numFmtId="0" fontId="5" fillId="0" borderId="0" xfId="0" applyFont="1"/>
    <xf numFmtId="0" fontId="5" fillId="19" borderId="0" xfId="0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0" fontId="5" fillId="21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19" borderId="0" xfId="0" applyFont="1" applyFill="1"/>
    <xf numFmtId="0" fontId="5" fillId="21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0" fillId="0" borderId="0" xfId="0" applyFill="1"/>
    <xf numFmtId="0" fontId="5" fillId="20" borderId="0" xfId="0" applyFont="1" applyFill="1"/>
    <xf numFmtId="0" fontId="0" fillId="0" borderId="0" xfId="0" applyAlignment="1">
      <alignment horizontal="center" vertical="top" wrapText="1"/>
    </xf>
    <xf numFmtId="0" fontId="0" fillId="13" borderId="0" xfId="0" applyFont="1" applyFill="1"/>
    <xf numFmtId="165" fontId="5" fillId="21" borderId="0" xfId="1" applyFont="1" applyFill="1" applyBorder="1" applyAlignment="1" applyProtection="1">
      <alignment horizontal="center"/>
    </xf>
    <xf numFmtId="165" fontId="5" fillId="21" borderId="0" xfId="0" applyNumberFormat="1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20" borderId="0" xfId="1" applyFont="1" applyFill="1" applyBorder="1" applyAlignment="1" applyProtection="1"/>
    <xf numFmtId="0" fontId="9" fillId="0" borderId="0" xfId="0" applyFont="1"/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 wrapText="1"/>
    </xf>
    <xf numFmtId="0" fontId="5" fillId="13" borderId="0" xfId="0" applyFont="1" applyFill="1"/>
    <xf numFmtId="0" fontId="5" fillId="22" borderId="0" xfId="0" applyFont="1" applyFill="1"/>
    <xf numFmtId="164" fontId="5" fillId="21" borderId="0" xfId="0" applyNumberFormat="1" applyFont="1" applyFill="1"/>
    <xf numFmtId="0" fontId="5" fillId="13" borderId="0" xfId="0" applyFont="1" applyFill="1" applyAlignment="1">
      <alignment horizontal="justify"/>
    </xf>
    <xf numFmtId="0" fontId="5" fillId="21" borderId="0" xfId="0" applyNumberFormat="1" applyFont="1" applyFill="1"/>
    <xf numFmtId="0" fontId="5" fillId="13" borderId="0" xfId="0" applyFont="1" applyFill="1" applyAlignment="1">
      <alignment horizontal="center"/>
    </xf>
    <xf numFmtId="0" fontId="9" fillId="0" borderId="0" xfId="0" applyFont="1" applyFill="1"/>
    <xf numFmtId="0" fontId="5" fillId="0" borderId="0" xfId="0" applyFont="1" applyFill="1" applyAlignment="1">
      <alignment wrapText="1"/>
    </xf>
    <xf numFmtId="0" fontId="5" fillId="0" borderId="0" xfId="0" applyFont="1" applyFill="1" applyAlignment="1"/>
    <xf numFmtId="0" fontId="11" fillId="0" borderId="0" xfId="0" applyFont="1"/>
    <xf numFmtId="0" fontId="12" fillId="23" borderId="0" xfId="0" applyFont="1" applyFill="1"/>
    <xf numFmtId="0" fontId="12" fillId="0" borderId="0" xfId="0" applyFont="1"/>
    <xf numFmtId="0" fontId="0" fillId="0" borderId="0" xfId="0"/>
    <xf numFmtId="0" fontId="5" fillId="0" borderId="0" xfId="0" applyFont="1"/>
    <xf numFmtId="0" fontId="0" fillId="0" borderId="0" xfId="0" applyFill="1"/>
    <xf numFmtId="0" fontId="5" fillId="28" borderId="0" xfId="0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29" borderId="0" xfId="0" applyFont="1" applyFill="1"/>
    <xf numFmtId="0" fontId="5" fillId="29" borderId="0" xfId="0" applyFont="1" applyFill="1" applyAlignment="1">
      <alignment horizontal="center"/>
    </xf>
    <xf numFmtId="0" fontId="5" fillId="20" borderId="0" xfId="0" applyFont="1" applyFill="1" applyAlignment="1">
      <alignment horizontal="center" wrapText="1"/>
    </xf>
    <xf numFmtId="164" fontId="5" fillId="13" borderId="0" xfId="0" applyNumberFormat="1" applyFont="1" applyFill="1"/>
    <xf numFmtId="0" fontId="15" fillId="22" borderId="0" xfId="0" applyFont="1" applyFill="1"/>
    <xf numFmtId="0" fontId="6" fillId="13" borderId="0" xfId="0" applyFont="1" applyFill="1" applyAlignment="1">
      <alignment horizontal="center" vertical="center"/>
    </xf>
    <xf numFmtId="0" fontId="7" fillId="0" borderId="0" xfId="0" applyFont="1" applyAlignment="1">
      <alignment horizontal="justify"/>
    </xf>
  </cellXfs>
  <cellStyles count="33">
    <cellStyle name="Accent1 - 20%" xfId="2"/>
    <cellStyle name="Accent1 - 40%" xfId="3"/>
    <cellStyle name="Accent1 - 60%" xfId="4"/>
    <cellStyle name="Accent2 - 20%" xfId="5"/>
    <cellStyle name="Accent2 - 40%" xfId="6"/>
    <cellStyle name="Accent2 - 60%" xfId="7"/>
    <cellStyle name="Accent3 - 20%" xfId="8"/>
    <cellStyle name="Accent3 - 40%" xfId="9"/>
    <cellStyle name="Accent3 - 60%" xfId="10"/>
    <cellStyle name="Accent4 - 20%" xfId="11"/>
    <cellStyle name="Accent4 - 40%" xfId="12"/>
    <cellStyle name="Accent4 - 60%" xfId="13"/>
    <cellStyle name="Accent5 - 20%" xfId="14"/>
    <cellStyle name="Accent5 - 40%" xfId="15"/>
    <cellStyle name="Accent5 - 60%" xfId="16"/>
    <cellStyle name="Accent6 - 20%" xfId="17"/>
    <cellStyle name="Accent6 - 40%" xfId="18"/>
    <cellStyle name="Accent6 - 60%" xfId="19"/>
    <cellStyle name="Currency" xfId="1" builtinId="4"/>
    <cellStyle name="Currency 2" xfId="24"/>
    <cellStyle name="Emphasis 1" xfId="20"/>
    <cellStyle name="Emphasis 2" xfId="21"/>
    <cellStyle name="Emphasis 3" xfId="22"/>
    <cellStyle name="Excel Built-in 20% - Accent2" xfId="25"/>
    <cellStyle name="Excel Built-in 40% - Accent1" xfId="26"/>
    <cellStyle name="Excel Built-in 40% - Accent2" xfId="27"/>
    <cellStyle name="Excel Built-in Accent2" xfId="28"/>
    <cellStyle name="Excel Built-in Bad" xfId="29"/>
    <cellStyle name="Excel Built-in Good" xfId="30"/>
    <cellStyle name="Excel Built-in Normal" xfId="31"/>
    <cellStyle name="Normal" xfId="0" builtinId="0"/>
    <cellStyle name="Percent 2" xfId="32"/>
    <cellStyle name="Sheet Title" xfId="2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66D9D9"/>
      <rgbColor rgb="00808080"/>
      <rgbColor rgb="009999FF"/>
      <rgbColor rgb="00FF4040"/>
      <rgbColor rgb="00FFFF66"/>
      <rgbColor rgb="00CCFFFF"/>
      <rgbColor rgb="00660066"/>
      <rgbColor rgb="00FF8080"/>
      <rgbColor rgb="000066CC"/>
      <rgbColor rgb="00CCCCFF"/>
      <rgbColor rgb="00000080"/>
      <rgbColor rgb="00FF00FF"/>
      <rgbColor rgb="00E6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420E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zoomScale="130" zoomScaleNormal="130" workbookViewId="0">
      <selection activeCell="E14" sqref="E14"/>
    </sheetView>
  </sheetViews>
  <sheetFormatPr defaultColWidth="11.5703125" defaultRowHeight="12.75" x14ac:dyDescent="0.2"/>
  <cols>
    <col min="2" max="2" width="21.5703125" customWidth="1"/>
    <col min="5" max="5" width="13.7109375" customWidth="1"/>
  </cols>
  <sheetData>
    <row r="1" spans="1:9" ht="15" x14ac:dyDescent="0.25">
      <c r="A1" s="27"/>
      <c r="B1" s="27"/>
      <c r="C1" s="27"/>
      <c r="D1" s="27"/>
      <c r="E1" s="27"/>
      <c r="F1" s="27"/>
      <c r="G1" s="27"/>
      <c r="H1" s="27"/>
      <c r="I1" s="27"/>
    </row>
    <row r="2" spans="1:9" ht="15.75" x14ac:dyDescent="0.25">
      <c r="A2" s="27"/>
      <c r="B2" s="30" t="s">
        <v>43</v>
      </c>
      <c r="H2" s="27"/>
      <c r="I2" s="27"/>
    </row>
    <row r="3" spans="1:9" ht="15.75" x14ac:dyDescent="0.25">
      <c r="A3" s="27"/>
      <c r="B3" s="30"/>
      <c r="H3" s="27"/>
      <c r="I3" s="27"/>
    </row>
    <row r="4" spans="1:9" ht="15.75" x14ac:dyDescent="0.25">
      <c r="A4" s="10"/>
      <c r="B4" s="30" t="s">
        <v>36</v>
      </c>
      <c r="H4" s="9"/>
      <c r="I4" s="9"/>
    </row>
    <row r="5" spans="1:9" ht="15.75" x14ac:dyDescent="0.25">
      <c r="A5" s="9"/>
      <c r="B5" s="30" t="s">
        <v>37</v>
      </c>
      <c r="H5" s="29"/>
      <c r="I5" s="29"/>
    </row>
    <row r="6" spans="1:9" ht="15.75" x14ac:dyDescent="0.25">
      <c r="A6" s="28"/>
      <c r="B6" s="30" t="s">
        <v>38</v>
      </c>
      <c r="H6" s="9"/>
      <c r="I6" s="9"/>
    </row>
    <row r="7" spans="1:9" ht="15" x14ac:dyDescent="0.25">
      <c r="A7" s="8"/>
      <c r="D7" s="2" t="s">
        <v>39</v>
      </c>
      <c r="E7" s="31">
        <v>0</v>
      </c>
      <c r="H7" s="9"/>
      <c r="I7" s="9"/>
    </row>
    <row r="8" spans="1:9" ht="15" x14ac:dyDescent="0.25">
      <c r="A8" s="8"/>
      <c r="D8" s="2" t="s">
        <v>40</v>
      </c>
      <c r="E8" s="31">
        <v>9.5000001597492112</v>
      </c>
      <c r="H8" s="9"/>
      <c r="I8" s="9"/>
    </row>
    <row r="9" spans="1:9" ht="15" x14ac:dyDescent="0.25">
      <c r="A9" s="8"/>
      <c r="D9" s="32"/>
      <c r="H9" s="9"/>
      <c r="I9" s="9"/>
    </row>
    <row r="10" spans="1:9" ht="15" x14ac:dyDescent="0.25">
      <c r="A10" s="8"/>
      <c r="D10" s="2" t="s">
        <v>64</v>
      </c>
      <c r="E10" s="31">
        <f>2*E7+3*E8</f>
        <v>28.500000479247632</v>
      </c>
      <c r="H10" s="9"/>
      <c r="I10" s="9"/>
    </row>
    <row r="11" spans="1:9" ht="15" x14ac:dyDescent="0.25">
      <c r="A11" s="8"/>
      <c r="D11" s="32"/>
      <c r="H11" s="9"/>
      <c r="I11" s="9"/>
    </row>
    <row r="12" spans="1:9" ht="15" x14ac:dyDescent="0.25">
      <c r="A12" s="8"/>
      <c r="D12" s="2" t="s">
        <v>41</v>
      </c>
      <c r="E12" s="31">
        <f>5*E7+2*E8</f>
        <v>19.000000319498422</v>
      </c>
      <c r="F12" s="2" t="s">
        <v>0</v>
      </c>
      <c r="G12" s="2">
        <v>19</v>
      </c>
      <c r="H12" s="9"/>
      <c r="I12" s="9"/>
    </row>
    <row r="13" spans="1:9" ht="15" x14ac:dyDescent="0.25">
      <c r="A13" s="8"/>
      <c r="D13" s="2" t="s">
        <v>42</v>
      </c>
      <c r="E13" s="31">
        <f>13*E7-6*E8</f>
        <v>-57.000000958495264</v>
      </c>
      <c r="F13" s="2" t="s">
        <v>0</v>
      </c>
      <c r="G13" s="2">
        <v>23</v>
      </c>
      <c r="H13" s="9"/>
      <c r="I13" s="9"/>
    </row>
    <row r="14" spans="1:9" s="10" customFormat="1" x14ac:dyDescent="0.2">
      <c r="A14" s="8"/>
      <c r="B14"/>
      <c r="C14"/>
      <c r="D14"/>
      <c r="E14"/>
      <c r="F14"/>
      <c r="G14"/>
      <c r="H14" s="9"/>
      <c r="I14" s="9"/>
    </row>
    <row r="15" spans="1:9" x14ac:dyDescent="0.2">
      <c r="A15" s="9"/>
      <c r="B15" s="9"/>
      <c r="C15" s="8"/>
      <c r="D15" s="8"/>
      <c r="E15" s="8"/>
      <c r="F15" s="8"/>
      <c r="G15" s="8"/>
      <c r="H15" s="8"/>
      <c r="I15" s="8"/>
    </row>
    <row r="16" spans="1:9" x14ac:dyDescent="0.2">
      <c r="A16" s="9"/>
      <c r="B16" s="9"/>
      <c r="C16" s="8"/>
      <c r="D16" s="8"/>
      <c r="E16" s="8"/>
      <c r="F16" s="8"/>
      <c r="G16" s="8"/>
      <c r="H16" s="8"/>
      <c r="I16" s="8"/>
    </row>
    <row r="17" spans="1:9" x14ac:dyDescent="0.2">
      <c r="A17" s="9"/>
      <c r="B17" s="9"/>
      <c r="C17" s="8"/>
      <c r="D17" s="8"/>
      <c r="E17" s="8"/>
      <c r="F17" s="8"/>
      <c r="G17" s="8"/>
      <c r="H17" s="8"/>
      <c r="I17" s="8"/>
    </row>
    <row r="18" spans="1:9" x14ac:dyDescent="0.2">
      <c r="A18" s="10"/>
      <c r="B18" s="10"/>
      <c r="C18" s="10"/>
      <c r="D18" s="10"/>
      <c r="E18" s="10"/>
      <c r="F18" s="10"/>
      <c r="G18" s="10"/>
      <c r="H18" s="10"/>
      <c r="I18" s="10"/>
    </row>
    <row r="19" spans="1:9" x14ac:dyDescent="0.2">
      <c r="A19" s="10"/>
      <c r="B19" s="9"/>
      <c r="C19" s="9"/>
      <c r="D19" s="10"/>
      <c r="E19" s="10"/>
      <c r="F19" s="10"/>
      <c r="G19" s="10"/>
      <c r="H19" s="10"/>
      <c r="I19" s="10"/>
    </row>
    <row r="20" spans="1:9" x14ac:dyDescent="0.2">
      <c r="A20" s="10"/>
      <c r="B20" s="10"/>
      <c r="C20" s="10"/>
      <c r="D20" s="10"/>
      <c r="E20" s="10"/>
      <c r="F20" s="10"/>
      <c r="G20" s="10"/>
      <c r="H20" s="10"/>
      <c r="I20" s="10"/>
    </row>
    <row r="21" spans="1:9" x14ac:dyDescent="0.2">
      <c r="A21" s="10"/>
      <c r="B21" s="10"/>
      <c r="C21" s="10"/>
      <c r="D21" s="10"/>
      <c r="E21" s="10"/>
      <c r="F21" s="10"/>
      <c r="G21" s="10"/>
      <c r="H21" s="10"/>
      <c r="I21" s="10"/>
    </row>
    <row r="22" spans="1:9" x14ac:dyDescent="0.2">
      <c r="A22" s="10"/>
      <c r="B22" s="10"/>
      <c r="C22" s="10"/>
      <c r="D22" s="10"/>
      <c r="E22" s="10"/>
      <c r="F22" s="10"/>
      <c r="G22" s="10"/>
      <c r="H22" s="10"/>
      <c r="I22" s="10"/>
    </row>
  </sheetData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opLeftCell="A9" zoomScale="140" zoomScaleNormal="140" workbookViewId="0">
      <selection activeCell="K11" sqref="K11"/>
    </sheetView>
  </sheetViews>
  <sheetFormatPr defaultColWidth="11.5703125" defaultRowHeight="12.75" x14ac:dyDescent="0.2"/>
  <cols>
    <col min="6" max="6" width="5" customWidth="1"/>
  </cols>
  <sheetData>
    <row r="1" spans="1:13" ht="15" x14ac:dyDescent="0.2">
      <c r="A1" s="19" t="s">
        <v>3</v>
      </c>
      <c r="B1" s="20"/>
      <c r="C1" s="20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" x14ac:dyDescent="0.2">
      <c r="A2" s="19" t="s">
        <v>4</v>
      </c>
      <c r="B2" s="20"/>
      <c r="C2" s="20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15" x14ac:dyDescent="0.2">
      <c r="A3" s="19" t="s">
        <v>5</v>
      </c>
      <c r="B3" s="20"/>
      <c r="C3" s="20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" x14ac:dyDescent="0.2">
      <c r="A4" s="19" t="s">
        <v>63</v>
      </c>
      <c r="B4" s="20"/>
      <c r="C4" s="20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5" x14ac:dyDescent="0.2">
      <c r="A5" s="19" t="s">
        <v>6</v>
      </c>
      <c r="B5" s="20"/>
      <c r="C5" s="20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15" x14ac:dyDescent="0.2">
      <c r="A6" s="19" t="s">
        <v>7</v>
      </c>
      <c r="B6" s="20"/>
      <c r="C6" s="20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x14ac:dyDescent="0.2">
      <c r="A7" s="1" t="s">
        <v>8</v>
      </c>
    </row>
    <row r="9" spans="1:13" x14ac:dyDescent="0.2">
      <c r="A9" s="21" t="s">
        <v>9</v>
      </c>
      <c r="B9" s="21"/>
      <c r="C9" s="21"/>
      <c r="D9" s="21"/>
      <c r="E9" s="21"/>
      <c r="F9" s="21"/>
      <c r="G9" s="21"/>
      <c r="H9" s="21"/>
      <c r="I9" s="21"/>
      <c r="J9" s="13"/>
    </row>
    <row r="10" spans="1:13" x14ac:dyDescent="0.2">
      <c r="A10" s="21"/>
      <c r="B10" s="21"/>
      <c r="C10" s="21"/>
      <c r="D10" s="21"/>
      <c r="E10" s="21"/>
      <c r="F10" s="21"/>
      <c r="G10" s="21"/>
      <c r="H10" s="21"/>
      <c r="I10" s="21"/>
      <c r="J10" s="13"/>
    </row>
    <row r="11" spans="1:13" x14ac:dyDescent="0.2">
      <c r="A11" s="22"/>
      <c r="B11" s="43" t="s">
        <v>10</v>
      </c>
      <c r="C11" s="43" t="s">
        <v>11</v>
      </c>
      <c r="D11" s="43" t="s">
        <v>12</v>
      </c>
      <c r="E11" s="43" t="s">
        <v>13</v>
      </c>
      <c r="F11" s="21"/>
      <c r="G11" s="21"/>
      <c r="H11" s="21"/>
      <c r="I11" s="21"/>
      <c r="J11" s="13"/>
    </row>
    <row r="12" spans="1:13" x14ac:dyDescent="0.2">
      <c r="A12" s="43" t="s">
        <v>14</v>
      </c>
      <c r="B12" s="23">
        <v>5</v>
      </c>
      <c r="C12" s="23">
        <v>3.5</v>
      </c>
      <c r="D12" s="23">
        <v>4.2</v>
      </c>
      <c r="E12" s="23">
        <v>2.2000000000000002</v>
      </c>
      <c r="F12" s="21"/>
      <c r="G12" s="21"/>
      <c r="H12" s="24"/>
      <c r="I12" s="21"/>
      <c r="J12" s="13"/>
    </row>
    <row r="13" spans="1:13" x14ac:dyDescent="0.2">
      <c r="A13" s="43" t="s">
        <v>15</v>
      </c>
      <c r="B13" s="23">
        <v>3.2</v>
      </c>
      <c r="C13" s="23">
        <v>2.6</v>
      </c>
      <c r="D13" s="23">
        <v>1.8</v>
      </c>
      <c r="E13" s="23">
        <v>4.8</v>
      </c>
      <c r="F13" s="21"/>
      <c r="G13" s="21"/>
      <c r="H13" s="21"/>
      <c r="I13" s="21"/>
      <c r="J13" s="13"/>
    </row>
    <row r="14" spans="1:13" x14ac:dyDescent="0.2">
      <c r="A14" s="43" t="s">
        <v>16</v>
      </c>
      <c r="B14" s="23">
        <v>2.5</v>
      </c>
      <c r="C14" s="23">
        <v>3.1</v>
      </c>
      <c r="D14" s="23">
        <v>3.3</v>
      </c>
      <c r="E14" s="23">
        <v>5.4</v>
      </c>
      <c r="F14" s="21"/>
      <c r="G14" s="21"/>
      <c r="H14" s="21"/>
      <c r="I14" s="21"/>
      <c r="J14" s="13"/>
    </row>
    <row r="15" spans="1:13" x14ac:dyDescent="0.2">
      <c r="A15" s="21"/>
      <c r="B15" s="42"/>
      <c r="C15" s="42"/>
      <c r="D15" s="42"/>
      <c r="E15" s="42"/>
      <c r="F15" s="21"/>
      <c r="G15" s="21"/>
      <c r="H15" s="21"/>
      <c r="I15" s="21"/>
      <c r="J15" s="13"/>
    </row>
    <row r="16" spans="1:13" x14ac:dyDescent="0.2">
      <c r="A16" s="21" t="s">
        <v>17</v>
      </c>
      <c r="B16" s="21"/>
      <c r="C16" s="21"/>
      <c r="D16" s="21"/>
      <c r="E16" s="21"/>
      <c r="F16" s="21"/>
      <c r="G16" s="21"/>
      <c r="H16" s="21"/>
      <c r="I16" s="21"/>
      <c r="J16" s="13"/>
    </row>
    <row r="17" spans="1:10" x14ac:dyDescent="0.2">
      <c r="A17" s="22"/>
      <c r="B17" s="43" t="s">
        <v>10</v>
      </c>
      <c r="C17" s="43" t="s">
        <v>11</v>
      </c>
      <c r="D17" s="43" t="s">
        <v>12</v>
      </c>
      <c r="E17" s="43" t="s">
        <v>13</v>
      </c>
      <c r="F17" s="21"/>
      <c r="G17" s="43" t="s">
        <v>18</v>
      </c>
      <c r="H17" s="44" t="s">
        <v>0</v>
      </c>
      <c r="I17" s="43" t="s">
        <v>19</v>
      </c>
      <c r="J17" s="13"/>
    </row>
    <row r="18" spans="1:10" x14ac:dyDescent="0.2">
      <c r="A18" s="43" t="s">
        <v>14</v>
      </c>
      <c r="B18" s="11">
        <v>0</v>
      </c>
      <c r="C18" s="11">
        <v>0</v>
      </c>
      <c r="D18" s="11">
        <v>0</v>
      </c>
      <c r="E18" s="11">
        <v>10000</v>
      </c>
      <c r="F18" s="21"/>
      <c r="G18" s="11">
        <f>SUM(B18:E18)</f>
        <v>10000</v>
      </c>
      <c r="H18" s="44"/>
      <c r="I18" s="25">
        <v>10000</v>
      </c>
      <c r="J18" s="13"/>
    </row>
    <row r="19" spans="1:10" x14ac:dyDescent="0.2">
      <c r="A19" s="43" t="s">
        <v>15</v>
      </c>
      <c r="B19" s="11">
        <v>0</v>
      </c>
      <c r="C19" s="11">
        <v>3000</v>
      </c>
      <c r="D19" s="11">
        <v>6000</v>
      </c>
      <c r="E19" s="11">
        <v>3000</v>
      </c>
      <c r="F19" s="21"/>
      <c r="G19" s="11">
        <f t="shared" ref="G19:G20" si="0">SUM(B19:E19)</f>
        <v>12000</v>
      </c>
      <c r="H19" s="44"/>
      <c r="I19" s="25">
        <v>12000</v>
      </c>
      <c r="J19" s="13"/>
    </row>
    <row r="20" spans="1:10" x14ac:dyDescent="0.2">
      <c r="A20" s="43" t="s">
        <v>16</v>
      </c>
      <c r="B20" s="11">
        <v>9000</v>
      </c>
      <c r="C20" s="11">
        <v>3000</v>
      </c>
      <c r="D20" s="11">
        <v>0</v>
      </c>
      <c r="E20" s="11">
        <v>0</v>
      </c>
      <c r="F20" s="21"/>
      <c r="G20" s="11">
        <f t="shared" si="0"/>
        <v>12000</v>
      </c>
      <c r="H20" s="44"/>
      <c r="I20" s="25">
        <v>14000</v>
      </c>
      <c r="J20" s="13"/>
    </row>
    <row r="21" spans="1:10" x14ac:dyDescent="0.2">
      <c r="A21" s="21"/>
      <c r="B21" s="21"/>
      <c r="C21" s="21"/>
      <c r="D21" s="21"/>
      <c r="E21" s="21"/>
      <c r="F21" s="21"/>
      <c r="G21" s="21"/>
      <c r="H21" s="21"/>
      <c r="I21" s="21"/>
      <c r="J21" s="13"/>
    </row>
    <row r="22" spans="1:10" x14ac:dyDescent="0.2">
      <c r="A22" s="22" t="s">
        <v>20</v>
      </c>
      <c r="B22" s="11">
        <f>SUM(B18:B20)</f>
        <v>9000</v>
      </c>
      <c r="C22" s="11">
        <f t="shared" ref="C22:E22" si="1">SUM(C18:C20)</f>
        <v>6000</v>
      </c>
      <c r="D22" s="11">
        <f t="shared" si="1"/>
        <v>6000</v>
      </c>
      <c r="E22" s="11">
        <f t="shared" si="1"/>
        <v>13000</v>
      </c>
      <c r="F22" s="21"/>
      <c r="G22" s="21"/>
      <c r="H22" s="21"/>
      <c r="I22" s="21"/>
      <c r="J22" s="13"/>
    </row>
    <row r="23" spans="1:10" x14ac:dyDescent="0.2">
      <c r="A23" s="21"/>
      <c r="B23" s="26" t="s">
        <v>2</v>
      </c>
      <c r="C23" s="26" t="s">
        <v>2</v>
      </c>
      <c r="D23" s="26" t="s">
        <v>2</v>
      </c>
      <c r="E23" s="26" t="s">
        <v>2</v>
      </c>
      <c r="F23" s="21"/>
      <c r="G23" s="21"/>
      <c r="H23" s="21"/>
      <c r="I23" s="21"/>
      <c r="J23" s="13"/>
    </row>
    <row r="24" spans="1:10" x14ac:dyDescent="0.2">
      <c r="A24" s="22" t="s">
        <v>21</v>
      </c>
      <c r="B24" s="4">
        <v>9000</v>
      </c>
      <c r="C24" s="4">
        <v>6000</v>
      </c>
      <c r="D24" s="4">
        <v>6000</v>
      </c>
      <c r="E24" s="4">
        <v>13000</v>
      </c>
      <c r="F24" s="21"/>
      <c r="G24" s="21"/>
      <c r="H24" s="21"/>
      <c r="I24" s="21"/>
      <c r="J24" s="13"/>
    </row>
    <row r="25" spans="1:10" x14ac:dyDescent="0.2">
      <c r="A25" s="21"/>
      <c r="B25" s="21"/>
      <c r="C25" s="21"/>
      <c r="D25" s="21"/>
      <c r="E25" s="21"/>
      <c r="F25" s="21"/>
      <c r="G25" s="21"/>
      <c r="H25" s="21"/>
      <c r="I25" s="21"/>
      <c r="J25" s="13"/>
    </row>
    <row r="26" spans="1:10" x14ac:dyDescent="0.2">
      <c r="A26" s="22" t="s">
        <v>22</v>
      </c>
      <c r="B26" s="11">
        <f>SUMPRODUCT(B18:E20,B12:E14)</f>
        <v>86800</v>
      </c>
      <c r="C26" s="21"/>
      <c r="D26" s="21"/>
      <c r="E26" s="21"/>
      <c r="F26" s="21"/>
      <c r="G26" s="21"/>
      <c r="H26" s="21"/>
      <c r="I26" s="21"/>
      <c r="J26" s="13"/>
    </row>
    <row r="27" spans="1:10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30" spans="1:10" x14ac:dyDescent="0.2">
      <c r="B30" s="45"/>
      <c r="C30" s="45"/>
      <c r="D30" s="45"/>
      <c r="E30" s="45"/>
      <c r="F30" s="45"/>
    </row>
    <row r="31" spans="1:10" x14ac:dyDescent="0.2">
      <c r="B31" s="45"/>
      <c r="C31" s="45"/>
      <c r="D31" s="45"/>
      <c r="E31" s="45"/>
      <c r="F31" s="45"/>
    </row>
    <row r="32" spans="1:10" x14ac:dyDescent="0.2">
      <c r="B32" s="45"/>
      <c r="C32" s="45"/>
      <c r="D32" s="45"/>
      <c r="E32" s="45"/>
      <c r="F32" s="45"/>
    </row>
    <row r="33" spans="2:6" x14ac:dyDescent="0.2">
      <c r="B33" s="45"/>
      <c r="C33" s="45"/>
      <c r="D33" s="45"/>
      <c r="E33" s="45"/>
      <c r="F33" s="45"/>
    </row>
    <row r="34" spans="2:6" x14ac:dyDescent="0.2">
      <c r="B34" s="45"/>
      <c r="C34" s="45"/>
      <c r="D34" s="45"/>
      <c r="E34" s="45"/>
      <c r="F34" s="45"/>
    </row>
    <row r="35" spans="2:6" x14ac:dyDescent="0.2">
      <c r="B35" s="45"/>
      <c r="C35" s="45"/>
      <c r="D35" s="45"/>
      <c r="E35" s="45"/>
      <c r="F35" s="45"/>
    </row>
    <row r="36" spans="2:6" x14ac:dyDescent="0.2">
      <c r="B36" s="45"/>
      <c r="C36" s="45"/>
      <c r="D36" s="45"/>
      <c r="E36" s="45"/>
      <c r="F36" s="45"/>
    </row>
    <row r="37" spans="2:6" x14ac:dyDescent="0.2">
      <c r="B37" s="45"/>
      <c r="C37" s="45"/>
      <c r="D37" s="45"/>
      <c r="E37" s="45"/>
      <c r="F37" s="45"/>
    </row>
    <row r="38" spans="2:6" x14ac:dyDescent="0.2">
      <c r="B38" s="45"/>
      <c r="C38" s="45"/>
      <c r="D38" s="45"/>
      <c r="E38" s="45"/>
      <c r="F38" s="45"/>
    </row>
  </sheetData>
  <mergeCells count="2">
    <mergeCell ref="H17:H20"/>
    <mergeCell ref="B30:F38"/>
  </mergeCells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opLeftCell="A6" zoomScale="120" zoomScaleNormal="120" workbookViewId="0">
      <selection activeCell="D24" sqref="D24"/>
    </sheetView>
  </sheetViews>
  <sheetFormatPr defaultRowHeight="12.75" x14ac:dyDescent="0.2"/>
  <cols>
    <col min="1" max="1" width="19.28515625" bestFit="1" customWidth="1"/>
    <col min="2" max="2" width="12.140625" customWidth="1"/>
    <col min="3" max="3" width="11.28515625" customWidth="1"/>
    <col min="4" max="4" width="12.28515625" customWidth="1"/>
    <col min="5" max="5" width="11.85546875" customWidth="1"/>
    <col min="6" max="6" width="11.42578125" customWidth="1"/>
    <col min="7" max="7" width="12.5703125" customWidth="1"/>
    <col min="8" max="8" width="12.42578125" customWidth="1"/>
    <col min="9" max="9" width="12.5703125" customWidth="1"/>
  </cols>
  <sheetData>
    <row r="1" spans="1:9" x14ac:dyDescent="0.2">
      <c r="A1" s="35"/>
      <c r="B1" s="35"/>
      <c r="C1" s="35"/>
      <c r="D1" s="35"/>
      <c r="E1" s="35"/>
      <c r="F1" s="35"/>
      <c r="G1" s="35"/>
      <c r="H1" s="35"/>
      <c r="I1" s="33"/>
    </row>
    <row r="2" spans="1:9" x14ac:dyDescent="0.2">
      <c r="A2" s="35"/>
      <c r="B2" s="35"/>
      <c r="C2" s="35"/>
      <c r="D2" s="35"/>
      <c r="E2" s="35"/>
      <c r="F2" s="35"/>
      <c r="G2" s="35"/>
      <c r="H2" s="35"/>
      <c r="I2" s="33"/>
    </row>
    <row r="3" spans="1:9" x14ac:dyDescent="0.2">
      <c r="A3" s="35"/>
      <c r="B3" s="35"/>
      <c r="C3" s="35"/>
      <c r="D3" s="35"/>
      <c r="E3" s="35"/>
      <c r="F3" s="35"/>
      <c r="G3" s="35"/>
      <c r="H3" s="35"/>
      <c r="I3" s="33"/>
    </row>
    <row r="4" spans="1:9" x14ac:dyDescent="0.2">
      <c r="A4" s="35"/>
      <c r="B4" s="35"/>
      <c r="C4" s="35"/>
      <c r="D4" s="35"/>
      <c r="E4" s="35"/>
      <c r="F4" s="35"/>
      <c r="G4" s="35"/>
      <c r="H4" s="35"/>
      <c r="I4" s="33"/>
    </row>
    <row r="5" spans="1:9" x14ac:dyDescent="0.2">
      <c r="A5" s="35"/>
      <c r="B5" s="35"/>
      <c r="C5" s="35"/>
      <c r="D5" s="35"/>
      <c r="E5" s="35"/>
      <c r="F5" s="35"/>
      <c r="G5" s="35"/>
      <c r="H5" s="35"/>
      <c r="I5" s="33"/>
    </row>
    <row r="9" spans="1:9" x14ac:dyDescent="0.2">
      <c r="A9" s="39" t="s">
        <v>44</v>
      </c>
      <c r="B9" s="40" t="s">
        <v>45</v>
      </c>
      <c r="C9" s="40" t="s">
        <v>46</v>
      </c>
      <c r="D9" s="40" t="s">
        <v>47</v>
      </c>
      <c r="E9" s="40" t="s">
        <v>48</v>
      </c>
      <c r="F9" s="40" t="s">
        <v>49</v>
      </c>
      <c r="G9" s="40" t="s">
        <v>50</v>
      </c>
      <c r="H9" s="40" t="s">
        <v>51</v>
      </c>
      <c r="I9" s="40" t="s">
        <v>52</v>
      </c>
    </row>
    <row r="10" spans="1:9" x14ac:dyDescent="0.2">
      <c r="A10" s="39" t="s">
        <v>53</v>
      </c>
      <c r="B10" s="36">
        <v>6</v>
      </c>
      <c r="C10" s="36">
        <v>3</v>
      </c>
      <c r="D10" s="36">
        <v>1</v>
      </c>
      <c r="E10" s="36">
        <v>9</v>
      </c>
      <c r="F10" s="36">
        <v>4</v>
      </c>
      <c r="G10" s="36">
        <v>2</v>
      </c>
      <c r="H10" s="36">
        <v>1800000</v>
      </c>
      <c r="I10" s="37">
        <v>0</v>
      </c>
    </row>
    <row r="11" spans="1:9" x14ac:dyDescent="0.2">
      <c r="A11" s="39" t="s">
        <v>54</v>
      </c>
      <c r="B11" s="36">
        <v>6</v>
      </c>
      <c r="C11" s="36">
        <v>5</v>
      </c>
      <c r="D11" s="36">
        <v>3</v>
      </c>
      <c r="E11" s="36">
        <v>1</v>
      </c>
      <c r="F11" s="36">
        <v>1</v>
      </c>
      <c r="G11" s="36">
        <v>1</v>
      </c>
      <c r="H11" s="36">
        <v>1000000</v>
      </c>
      <c r="I11" s="37">
        <v>0</v>
      </c>
    </row>
    <row r="12" spans="1:9" x14ac:dyDescent="0.2">
      <c r="A12" s="39" t="s">
        <v>55</v>
      </c>
      <c r="B12" s="36">
        <v>5</v>
      </c>
      <c r="C12" s="36">
        <v>2</v>
      </c>
      <c r="D12" s="36">
        <v>0</v>
      </c>
      <c r="E12" s="36">
        <v>4</v>
      </c>
      <c r="F12" s="36">
        <v>2</v>
      </c>
      <c r="G12" s="36">
        <v>0</v>
      </c>
      <c r="H12" s="36">
        <v>800000</v>
      </c>
      <c r="I12" s="37">
        <v>0</v>
      </c>
    </row>
    <row r="13" spans="1:9" x14ac:dyDescent="0.2">
      <c r="A13" s="39" t="s">
        <v>56</v>
      </c>
      <c r="B13" s="36">
        <v>0.5</v>
      </c>
      <c r="C13" s="36">
        <v>0.5</v>
      </c>
      <c r="D13" s="36">
        <v>0.30000000000000004</v>
      </c>
      <c r="E13" s="36">
        <v>0.1</v>
      </c>
      <c r="F13" s="36">
        <v>0.1</v>
      </c>
      <c r="G13" s="36">
        <v>0</v>
      </c>
      <c r="H13" s="36">
        <v>90000</v>
      </c>
      <c r="I13" s="37">
        <v>83</v>
      </c>
    </row>
    <row r="14" spans="1:9" x14ac:dyDescent="0.2">
      <c r="A14" s="39" t="s">
        <v>57</v>
      </c>
      <c r="B14" s="36">
        <v>0.7</v>
      </c>
      <c r="C14" s="36">
        <v>0.2</v>
      </c>
      <c r="D14" s="36">
        <v>0</v>
      </c>
      <c r="E14" s="36">
        <v>0.9</v>
      </c>
      <c r="F14" s="36">
        <v>0.1</v>
      </c>
      <c r="G14" s="36">
        <v>0</v>
      </c>
      <c r="H14" s="36">
        <v>130000</v>
      </c>
      <c r="I14" s="37">
        <v>35</v>
      </c>
    </row>
    <row r="15" spans="1:9" x14ac:dyDescent="0.2">
      <c r="A15" s="39" t="s">
        <v>58</v>
      </c>
      <c r="B15" s="36">
        <v>0.1</v>
      </c>
      <c r="C15" s="36">
        <v>0.1</v>
      </c>
      <c r="D15" s="36">
        <v>0</v>
      </c>
      <c r="E15" s="36">
        <v>0.60000000000000009</v>
      </c>
      <c r="F15" s="36">
        <v>1.3</v>
      </c>
      <c r="G15" s="36">
        <v>0.4</v>
      </c>
      <c r="H15" s="36">
        <v>160000</v>
      </c>
      <c r="I15" s="37">
        <v>27</v>
      </c>
    </row>
    <row r="16" spans="1:9" x14ac:dyDescent="0.2">
      <c r="A16" s="39" t="s">
        <v>59</v>
      </c>
      <c r="B16" s="36">
        <v>0.1</v>
      </c>
      <c r="C16" s="36">
        <v>0.2</v>
      </c>
      <c r="D16" s="36">
        <v>0.30000000000000004</v>
      </c>
      <c r="E16" s="36">
        <v>0.1</v>
      </c>
      <c r="F16" s="36">
        <v>0.2</v>
      </c>
      <c r="G16" s="36">
        <v>0.30000000000000004</v>
      </c>
      <c r="H16" s="36">
        <v>80000</v>
      </c>
      <c r="I16" s="37">
        <v>6</v>
      </c>
    </row>
    <row r="17" spans="1:9" x14ac:dyDescent="0.2">
      <c r="A17" s="39" t="s">
        <v>60</v>
      </c>
      <c r="B17" s="36">
        <v>1</v>
      </c>
      <c r="C17" s="36">
        <v>2</v>
      </c>
      <c r="D17" s="36">
        <v>4</v>
      </c>
      <c r="E17" s="36">
        <v>1</v>
      </c>
      <c r="F17" s="36">
        <v>3</v>
      </c>
      <c r="G17" s="36">
        <v>4</v>
      </c>
      <c r="H17" s="36">
        <v>850000</v>
      </c>
      <c r="I17" s="37">
        <v>4</v>
      </c>
    </row>
    <row r="19" spans="1:9" x14ac:dyDescent="0.2">
      <c r="A19" s="33"/>
      <c r="B19" s="33"/>
      <c r="C19" s="33"/>
      <c r="D19" s="33"/>
      <c r="E19" s="33"/>
      <c r="F19" s="33"/>
      <c r="G19" s="33"/>
      <c r="H19" s="33"/>
      <c r="I19" s="33"/>
    </row>
    <row r="20" spans="1:9" x14ac:dyDescent="0.2">
      <c r="A20" s="39" t="s">
        <v>61</v>
      </c>
      <c r="B20" s="41">
        <f>SUMPRODUCT(B10:B17,$I$10:$I$17)</f>
        <v>73.3</v>
      </c>
      <c r="C20" s="41">
        <f t="shared" ref="C20:G20" si="0">SUMPRODUCT(C10:C17,$I$10:$I$17)</f>
        <v>60.400000000000006</v>
      </c>
      <c r="D20" s="41">
        <f t="shared" si="0"/>
        <v>42.7</v>
      </c>
      <c r="E20" s="41">
        <f t="shared" si="0"/>
        <v>60.6</v>
      </c>
      <c r="F20" s="41">
        <f t="shared" si="0"/>
        <v>60.100000000000009</v>
      </c>
      <c r="G20" s="41">
        <f t="shared" si="0"/>
        <v>28.6</v>
      </c>
      <c r="H20" s="33"/>
      <c r="I20" s="33"/>
    </row>
    <row r="21" spans="1:9" x14ac:dyDescent="0.2">
      <c r="A21" s="34"/>
      <c r="B21" s="38" t="s">
        <v>2</v>
      </c>
      <c r="C21" s="38" t="s">
        <v>2</v>
      </c>
      <c r="D21" s="38" t="s">
        <v>2</v>
      </c>
      <c r="E21" s="38" t="s">
        <v>2</v>
      </c>
      <c r="F21" s="38" t="s">
        <v>2</v>
      </c>
      <c r="G21" s="38" t="s">
        <v>2</v>
      </c>
      <c r="H21" s="33"/>
      <c r="I21" s="33"/>
    </row>
    <row r="22" spans="1:9" x14ac:dyDescent="0.2">
      <c r="A22" s="39" t="s">
        <v>62</v>
      </c>
      <c r="B22" s="36">
        <v>60</v>
      </c>
      <c r="C22" s="36">
        <v>60</v>
      </c>
      <c r="D22" s="36">
        <v>28</v>
      </c>
      <c r="E22" s="36">
        <v>60</v>
      </c>
      <c r="F22" s="36">
        <v>60</v>
      </c>
      <c r="G22" s="36">
        <v>28</v>
      </c>
      <c r="H22" s="33"/>
      <c r="I22" s="33"/>
    </row>
    <row r="23" spans="1:9" x14ac:dyDescent="0.2">
      <c r="A23" s="34"/>
      <c r="B23" s="34"/>
      <c r="C23" s="34"/>
      <c r="D23" s="34"/>
      <c r="E23" s="34"/>
      <c r="F23" s="34"/>
      <c r="G23" s="34"/>
      <c r="H23" s="33"/>
      <c r="I23" s="33"/>
    </row>
    <row r="24" spans="1:9" x14ac:dyDescent="0.2">
      <c r="A24" s="39" t="s">
        <v>22</v>
      </c>
      <c r="B24" s="37">
        <f>SUMPRODUCT(H10:H17,I10:I17)</f>
        <v>20220000</v>
      </c>
      <c r="C24" s="34"/>
      <c r="D24" s="34"/>
      <c r="E24" s="34"/>
      <c r="F24" s="34"/>
      <c r="G24" s="34"/>
      <c r="H24" s="33"/>
      <c r="I24" s="33"/>
    </row>
    <row r="25" spans="1:9" x14ac:dyDescent="0.2">
      <c r="A25" s="34"/>
      <c r="B25" s="34"/>
      <c r="C25" s="34"/>
      <c r="D25" s="34"/>
      <c r="E25" s="34"/>
      <c r="F25" s="34"/>
      <c r="G25" s="34"/>
      <c r="H25" s="33"/>
      <c r="I25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topLeftCell="B2" zoomScale="115" zoomScaleNormal="115" workbookViewId="0">
      <selection activeCell="F26" sqref="F26"/>
    </sheetView>
  </sheetViews>
  <sheetFormatPr defaultColWidth="11.5703125" defaultRowHeight="12.75" x14ac:dyDescent="0.2"/>
  <cols>
    <col min="3" max="3" width="18.42578125" customWidth="1"/>
  </cols>
  <sheetData>
    <row r="1" spans="1:9" ht="15" x14ac:dyDescent="0.25">
      <c r="A1" s="18" t="s">
        <v>23</v>
      </c>
    </row>
    <row r="2" spans="1:9" ht="15" x14ac:dyDescent="0.25">
      <c r="A2" s="18" t="s">
        <v>24</v>
      </c>
    </row>
    <row r="3" spans="1:9" ht="15" x14ac:dyDescent="0.25">
      <c r="A3" s="18" t="s">
        <v>35</v>
      </c>
    </row>
    <row r="4" spans="1:9" x14ac:dyDescent="0.2">
      <c r="B4" s="1"/>
    </row>
    <row r="5" spans="1:9" x14ac:dyDescent="0.2">
      <c r="B5" s="1"/>
      <c r="C5" s="6" t="s">
        <v>25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</row>
    <row r="6" spans="1:9" x14ac:dyDescent="0.2">
      <c r="B6" s="1"/>
      <c r="C6" s="6" t="s">
        <v>26</v>
      </c>
      <c r="D6" s="4">
        <v>6</v>
      </c>
      <c r="E6" s="4">
        <v>5</v>
      </c>
      <c r="F6" s="4">
        <v>4</v>
      </c>
      <c r="G6" s="4">
        <v>3</v>
      </c>
      <c r="H6" s="4">
        <v>2.5</v>
      </c>
      <c r="I6" s="4">
        <v>1.5</v>
      </c>
    </row>
    <row r="7" spans="1:9" x14ac:dyDescent="0.2">
      <c r="B7" s="1"/>
      <c r="C7" s="6" t="s">
        <v>27</v>
      </c>
      <c r="D7" s="4">
        <v>3.2</v>
      </c>
      <c r="E7" s="4">
        <v>2.6</v>
      </c>
      <c r="F7" s="4">
        <v>1.5</v>
      </c>
      <c r="G7" s="4">
        <v>0.8</v>
      </c>
      <c r="H7" s="4">
        <v>0.7</v>
      </c>
      <c r="I7" s="4">
        <v>0.30000000000000004</v>
      </c>
    </row>
    <row r="8" spans="1:9" x14ac:dyDescent="0.2">
      <c r="B8" s="1"/>
      <c r="C8" s="6" t="s">
        <v>28</v>
      </c>
      <c r="D8" s="14">
        <v>12.5</v>
      </c>
      <c r="E8" s="14">
        <v>11</v>
      </c>
      <c r="F8" s="14">
        <v>9</v>
      </c>
      <c r="G8" s="14">
        <v>7</v>
      </c>
      <c r="H8" s="14">
        <v>6</v>
      </c>
      <c r="I8" s="14">
        <v>3</v>
      </c>
    </row>
    <row r="9" spans="1:9" x14ac:dyDescent="0.2">
      <c r="B9" s="1"/>
      <c r="C9" s="6" t="s">
        <v>29</v>
      </c>
      <c r="D9" s="14">
        <v>6.5</v>
      </c>
      <c r="E9" s="14">
        <v>5.7</v>
      </c>
      <c r="F9" s="14">
        <v>3.6</v>
      </c>
      <c r="G9" s="14">
        <v>2.8</v>
      </c>
      <c r="H9" s="14">
        <v>2.2000000000000002</v>
      </c>
      <c r="I9" s="14">
        <v>1.2</v>
      </c>
    </row>
    <row r="10" spans="1:9" x14ac:dyDescent="0.2">
      <c r="B10" s="1"/>
      <c r="C10" s="6" t="s">
        <v>30</v>
      </c>
      <c r="D10" s="15">
        <f t="shared" ref="D10:I10" si="0">D8-D9</f>
        <v>6</v>
      </c>
      <c r="E10" s="15">
        <f t="shared" si="0"/>
        <v>5.3</v>
      </c>
      <c r="F10" s="15">
        <f t="shared" si="0"/>
        <v>5.4</v>
      </c>
      <c r="G10" s="15">
        <f t="shared" si="0"/>
        <v>4.2</v>
      </c>
      <c r="H10" s="15">
        <f t="shared" si="0"/>
        <v>3.8</v>
      </c>
      <c r="I10" s="15">
        <f t="shared" si="0"/>
        <v>1.8</v>
      </c>
    </row>
    <row r="11" spans="1:9" x14ac:dyDescent="0.2">
      <c r="B11" s="1"/>
      <c r="C11" s="1"/>
      <c r="D11" s="16"/>
      <c r="E11" s="16"/>
      <c r="F11" s="16"/>
      <c r="G11" s="16"/>
      <c r="H11" s="16"/>
      <c r="I11" s="16"/>
    </row>
    <row r="12" spans="1:9" x14ac:dyDescent="0.2">
      <c r="B12" s="1"/>
      <c r="C12" s="6" t="s">
        <v>31</v>
      </c>
      <c r="D12" s="3">
        <v>0</v>
      </c>
      <c r="E12" s="3">
        <v>0</v>
      </c>
      <c r="F12" s="3">
        <v>0</v>
      </c>
      <c r="G12" s="3">
        <v>0</v>
      </c>
      <c r="H12" s="3">
        <v>1800.000008275344</v>
      </c>
      <c r="I12" s="3">
        <v>0</v>
      </c>
    </row>
    <row r="13" spans="1:9" x14ac:dyDescent="0.2">
      <c r="B13" s="1"/>
      <c r="C13" s="1"/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</row>
    <row r="14" spans="1:9" x14ac:dyDescent="0.2">
      <c r="B14" s="1"/>
      <c r="C14" s="6" t="s">
        <v>65</v>
      </c>
      <c r="D14" s="4">
        <v>960</v>
      </c>
      <c r="E14" s="4">
        <v>928</v>
      </c>
      <c r="F14" s="4">
        <v>1041</v>
      </c>
      <c r="G14" s="4">
        <v>977</v>
      </c>
      <c r="H14" s="4">
        <v>1084</v>
      </c>
      <c r="I14" s="4">
        <v>1055</v>
      </c>
    </row>
    <row r="15" spans="1:9" x14ac:dyDescent="0.2">
      <c r="B15" s="1"/>
      <c r="E15" s="1"/>
      <c r="F15" s="1"/>
      <c r="G15" s="1"/>
      <c r="H15" s="1"/>
      <c r="I15" s="1"/>
    </row>
    <row r="16" spans="1:9" x14ac:dyDescent="0.2">
      <c r="B16" s="1"/>
      <c r="C16" s="1"/>
      <c r="D16" s="1"/>
      <c r="E16" s="1"/>
      <c r="F16" s="2" t="s">
        <v>1</v>
      </c>
      <c r="G16" s="1"/>
      <c r="H16" s="1"/>
      <c r="I16" s="1"/>
    </row>
    <row r="17" spans="2:9" x14ac:dyDescent="0.2">
      <c r="B17" s="1"/>
      <c r="C17" s="6" t="s">
        <v>32</v>
      </c>
      <c r="D17" s="11">
        <f>SUMPRODUCT(D12:I12,D6:I6)</f>
        <v>4500.0000206883597</v>
      </c>
      <c r="E17" s="5" t="s">
        <v>0</v>
      </c>
      <c r="F17" s="7">
        <v>4500</v>
      </c>
      <c r="G17" s="1"/>
      <c r="H17" s="1"/>
      <c r="I17" s="1"/>
    </row>
    <row r="18" spans="2:9" x14ac:dyDescent="0.2">
      <c r="B18" s="1"/>
      <c r="C18" s="6" t="s">
        <v>33</v>
      </c>
      <c r="D18" s="11">
        <f>SUMPRODUCT(D7:I7,D12:I12)</f>
        <v>1260.0000057927407</v>
      </c>
      <c r="E18" s="5" t="s">
        <v>0</v>
      </c>
      <c r="F18" s="7">
        <v>1600</v>
      </c>
      <c r="G18" s="1"/>
      <c r="H18" s="1"/>
      <c r="I18" s="1"/>
    </row>
    <row r="20" spans="2:9" x14ac:dyDescent="0.2">
      <c r="C20" s="6" t="s">
        <v>34</v>
      </c>
      <c r="D20" s="17">
        <f>SUMPRODUCT(D10:I10,D12:I12)</f>
        <v>6840.0000314463068</v>
      </c>
    </row>
  </sheetData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LPP</vt:lpstr>
      <vt:lpstr>Transport</vt:lpstr>
      <vt:lpstr>Class Work</vt:lpstr>
      <vt:lpstr>Home work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 Sharma</dc:creator>
  <cp:lastModifiedBy>Sneh Lata</cp:lastModifiedBy>
  <dcterms:created xsi:type="dcterms:W3CDTF">2011-05-31T04:19:37Z</dcterms:created>
  <dcterms:modified xsi:type="dcterms:W3CDTF">2018-04-23T06:17:24Z</dcterms:modified>
</cp:coreProperties>
</file>