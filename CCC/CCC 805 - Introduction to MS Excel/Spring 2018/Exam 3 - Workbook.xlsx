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bir\Downloads\"/>
    </mc:Choice>
  </mc:AlternateContent>
  <bookViews>
    <workbookView xWindow="0" yWindow="0" windowWidth="20490" windowHeight="7620" firstSheet="3" activeTab="6"/>
  </bookViews>
  <sheets>
    <sheet name="Data1" sheetId="1" r:id="rId1"/>
    <sheet name="Data2" sheetId="2" r:id="rId2"/>
    <sheet name="Sheet for Copying" sheetId="8" r:id="rId3"/>
    <sheet name="Data3" sheetId="3" r:id="rId4"/>
    <sheet name="Answers for Q7" sheetId="10" r:id="rId5"/>
    <sheet name="Data4" sheetId="4" r:id="rId6"/>
    <sheet name="Data5" sheetId="6" r:id="rId7"/>
    <sheet name="CrossOver Rate" sheetId="7" r:id="rId8"/>
    <sheet name="Transport" sheetId="9" r:id="rId9"/>
    <sheet name="Loan" sheetId="11" r:id="rId10"/>
  </sheets>
  <definedNames>
    <definedName name="_xlnm._FilterDatabase" localSheetId="1" hidden="1">Data2!$A$1:$C$1583</definedName>
    <definedName name="_xlnm._FilterDatabase" localSheetId="3" hidden="1">Data3!$A$1:$G$923</definedName>
    <definedName name="solver_adj" localSheetId="8" hidden="1">Transport!$D$12:$F$14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Transport!$L$11:$L$13</definedName>
    <definedName name="solver_lhs2" localSheetId="8" hidden="1">Transport!$L$4:$L$6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Transport!$H$18</definedName>
    <definedName name="solver_pre" localSheetId="8" hidden="1">0.000001</definedName>
    <definedName name="solver_rbv" localSheetId="8" hidden="1">1</definedName>
    <definedName name="solver_rel1" localSheetId="8" hidden="1">2</definedName>
    <definedName name="solver_rel2" localSheetId="8" hidden="1">1</definedName>
    <definedName name="solver_rhs1" localSheetId="8" hidden="1">Transport!$N$11:$N$13</definedName>
    <definedName name="solver_rhs2" localSheetId="8" hidden="1">Transport!$N$4:$N$6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1</definedName>
    <definedName name="solver_val" localSheetId="8" hidden="1">0</definedName>
    <definedName name="solver_ver" localSheetId="8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6" l="1" a="1"/>
  <c r="D11" i="6" s="1"/>
  <c r="D6" i="4"/>
  <c r="B7" i="11"/>
  <c r="D4" i="10"/>
  <c r="A17" i="10"/>
  <c r="I6" i="3"/>
  <c r="E7" i="1"/>
  <c r="H18" i="9"/>
  <c r="L13" i="9"/>
  <c r="L12" i="9"/>
  <c r="L11" i="9"/>
  <c r="N14" i="9"/>
  <c r="L5" i="9"/>
  <c r="L6" i="9"/>
  <c r="L4" i="9"/>
  <c r="N7" i="9"/>
  <c r="C3" i="8"/>
  <c r="E4" i="1"/>
  <c r="D12" i="7"/>
  <c r="D11" i="7"/>
  <c r="D14" i="7" s="1"/>
  <c r="E11" i="6" l="1"/>
</calcChain>
</file>

<file path=xl/sharedStrings.xml><?xml version="1.0" encoding="utf-8"?>
<sst xmlns="http://schemas.openxmlformats.org/spreadsheetml/2006/main" count="3796" uniqueCount="113">
  <si>
    <t xml:space="preserve">Item no. </t>
  </si>
  <si>
    <t>Fruits</t>
  </si>
  <si>
    <t>Apple</t>
  </si>
  <si>
    <t>Pear</t>
  </si>
  <si>
    <t>Banana</t>
  </si>
  <si>
    <t>Pineapple</t>
  </si>
  <si>
    <t>Orange</t>
  </si>
  <si>
    <t>GuAva</t>
  </si>
  <si>
    <t>PapAya</t>
  </si>
  <si>
    <t>Plum</t>
  </si>
  <si>
    <t>Kiwi</t>
  </si>
  <si>
    <t>Grapes</t>
  </si>
  <si>
    <t>Date</t>
  </si>
  <si>
    <t>Monthly Price</t>
  </si>
  <si>
    <t>Change</t>
  </si>
  <si>
    <t>Year</t>
  </si>
  <si>
    <t>Month</t>
  </si>
  <si>
    <t>Store</t>
  </si>
  <si>
    <t>Group</t>
  </si>
  <si>
    <t>Product</t>
  </si>
  <si>
    <t>Units</t>
  </si>
  <si>
    <t>Revenue</t>
  </si>
  <si>
    <t>August</t>
  </si>
  <si>
    <t>south</t>
  </si>
  <si>
    <t>milk</t>
  </si>
  <si>
    <t>low fat</t>
  </si>
  <si>
    <t>March</t>
  </si>
  <si>
    <t>ice cream</t>
  </si>
  <si>
    <t>Edies</t>
  </si>
  <si>
    <t>January</t>
  </si>
  <si>
    <t>east</t>
  </si>
  <si>
    <t>skim</t>
  </si>
  <si>
    <t>north</t>
  </si>
  <si>
    <t>September</t>
  </si>
  <si>
    <t>west</t>
  </si>
  <si>
    <t>fruit</t>
  </si>
  <si>
    <t>plums</t>
  </si>
  <si>
    <t>June</t>
  </si>
  <si>
    <t>apples</t>
  </si>
  <si>
    <t>July</t>
  </si>
  <si>
    <t>cherries</t>
  </si>
  <si>
    <t>May</t>
  </si>
  <si>
    <t>cereal</t>
  </si>
  <si>
    <t>Special K</t>
  </si>
  <si>
    <t>October</t>
  </si>
  <si>
    <t>Raisin Bran</t>
  </si>
  <si>
    <t>grapes</t>
  </si>
  <si>
    <t>chocolate</t>
  </si>
  <si>
    <t>November</t>
  </si>
  <si>
    <t>Breyers</t>
  </si>
  <si>
    <t>April</t>
  </si>
  <si>
    <t>February</t>
  </si>
  <si>
    <t>December</t>
  </si>
  <si>
    <t>Cheerios</t>
  </si>
  <si>
    <t>whole</t>
  </si>
  <si>
    <t>Ben and Jerry's</t>
  </si>
  <si>
    <t>Students</t>
  </si>
  <si>
    <t>Score</t>
  </si>
  <si>
    <t>Grade</t>
  </si>
  <si>
    <t>Sweta</t>
  </si>
  <si>
    <t>Gautam</t>
  </si>
  <si>
    <t>F</t>
  </si>
  <si>
    <t>Manisha</t>
  </si>
  <si>
    <t>D</t>
  </si>
  <si>
    <t>Ansh</t>
  </si>
  <si>
    <t>C</t>
  </si>
  <si>
    <t>Mahesh</t>
  </si>
  <si>
    <t>B</t>
  </si>
  <si>
    <t>Chanda</t>
  </si>
  <si>
    <t>A</t>
  </si>
  <si>
    <t>The following data is the units of a particular product sold in a particular month.</t>
  </si>
  <si>
    <t>Jan</t>
  </si>
  <si>
    <t>Feb</t>
  </si>
  <si>
    <t>Mar</t>
  </si>
  <si>
    <t>Apr</t>
  </si>
  <si>
    <t>Aug</t>
  </si>
  <si>
    <t>Sep</t>
  </si>
  <si>
    <t>Oct</t>
  </si>
  <si>
    <t>Nov</t>
  </si>
  <si>
    <t>Dec</t>
  </si>
  <si>
    <t>Binder</t>
  </si>
  <si>
    <t>Pen</t>
  </si>
  <si>
    <t>Erasure</t>
  </si>
  <si>
    <t>Pencil</t>
  </si>
  <si>
    <t>Project A</t>
  </si>
  <si>
    <t>Project B</t>
  </si>
  <si>
    <t>Rate</t>
  </si>
  <si>
    <t>NPV A</t>
  </si>
  <si>
    <t>NPV B</t>
  </si>
  <si>
    <t>Difference</t>
  </si>
  <si>
    <t>MATCH</t>
  </si>
  <si>
    <t>COUNT</t>
  </si>
  <si>
    <t>Site</t>
  </si>
  <si>
    <t>P1</t>
  </si>
  <si>
    <t>P2</t>
  </si>
  <si>
    <t>P3</t>
  </si>
  <si>
    <t>Plant</t>
  </si>
  <si>
    <t>COSTS</t>
  </si>
  <si>
    <t>AMOUNT TRANSPORTED</t>
  </si>
  <si>
    <t>CONDITIONS</t>
  </si>
  <si>
    <t>Supply</t>
  </si>
  <si>
    <t>Capacity</t>
  </si>
  <si>
    <t>&lt;=</t>
  </si>
  <si>
    <t>Received</t>
  </si>
  <si>
    <t>Requirement</t>
  </si>
  <si>
    <t>=</t>
  </si>
  <si>
    <t>OPTIMAL COST</t>
  </si>
  <si>
    <t>First "p"</t>
  </si>
  <si>
    <t>Low Fat milk in East</t>
  </si>
  <si>
    <t>Low Fat milk in East in 2007</t>
  </si>
  <si>
    <t>See next sheet</t>
  </si>
  <si>
    <t>Principal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</si>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</sst>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 $&quot;#,##0.00\ ;&quot; $(&quot;#,##0.00\);&quot; $-&quot;#\ ;@\ 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6"/>
      <name val="Calibri"/>
      <family val="2"/>
    </font>
    <font>
      <sz val="11"/>
      <color indexed="8"/>
      <name val="Calibri"/>
      <family val="2"/>
    </font>
    <font>
      <b/>
      <sz val="16"/>
      <color theme="1"/>
      <name val="Calibri"/>
      <family val="2"/>
    </font>
    <font>
      <b/>
      <sz val="14"/>
      <name val="Times New Roman"/>
      <family val="1"/>
    </font>
    <font>
      <b/>
      <sz val="14"/>
      <name val="Courier New"/>
      <family val="3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26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3" borderId="0"/>
    <xf numFmtId="0" fontId="4" fillId="0" borderId="0"/>
    <xf numFmtId="0" fontId="4" fillId="0" borderId="0"/>
    <xf numFmtId="164" fontId="4" fillId="0" borderId="0" applyFill="0" applyBorder="0" applyAlignment="0" applyProtection="0"/>
    <xf numFmtId="44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5" fillId="0" borderId="1" xfId="1" applyNumberFormat="1" applyFont="1" applyFill="1" applyBorder="1" applyAlignment="1" applyProtection="1">
      <alignment horizontal="center"/>
    </xf>
    <xf numFmtId="14" fontId="6" fillId="0" borderId="1" xfId="2" applyNumberFormat="1" applyFont="1" applyBorder="1"/>
    <xf numFmtId="0" fontId="6" fillId="0" borderId="1" xfId="2" applyFont="1" applyBorder="1" applyAlignment="1">
      <alignment horizontal="center"/>
    </xf>
    <xf numFmtId="0" fontId="6" fillId="0" borderId="1" xfId="2" applyFont="1" applyBorder="1"/>
    <xf numFmtId="0" fontId="7" fillId="0" borderId="1" xfId="2" applyFon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0" fontId="0" fillId="0" borderId="22" xfId="0" applyNumberFormat="1" applyBorder="1" applyAlignment="1">
      <alignment horizontal="center"/>
    </xf>
    <xf numFmtId="0" fontId="0" fillId="0" borderId="2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2" borderId="23" xfId="0" applyNumberFormat="1" applyFill="1" applyBorder="1" applyAlignment="1">
      <alignment horizontal="center"/>
    </xf>
    <xf numFmtId="10" fontId="0" fillId="2" borderId="16" xfId="0" applyNumberFormat="1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3" applyBorder="1" applyAlignment="1">
      <alignment vertical="center"/>
    </xf>
    <xf numFmtId="164" fontId="4" fillId="0" borderId="1" xfId="4" applyFont="1" applyFill="1" applyBorder="1" applyAlignment="1" applyProtection="1">
      <alignment vertical="center"/>
    </xf>
    <xf numFmtId="0" fontId="8" fillId="0" borderId="1" xfId="3" applyFon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/>
    <xf numFmtId="44" fontId="2" fillId="0" borderId="1" xfId="5" applyFont="1" applyBorder="1"/>
    <xf numFmtId="10" fontId="2" fillId="2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1" fillId="0" borderId="15" xfId="6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</cellXfs>
  <cellStyles count="7">
    <cellStyle name="Currency" xfId="5" builtinId="4"/>
    <cellStyle name="Currency 2" xfId="4"/>
    <cellStyle name="Excel Built-in Bad" xfId="1"/>
    <cellStyle name="Excel Built-in Normal" xfId="2"/>
    <cellStyle name="Explanatory Text" xfId="6" builtinId="53"/>
    <cellStyle name="Normal" xfId="0" builtinId="0"/>
    <cellStyle name="Normal 2" xfId="3"/>
  </cellStyles>
  <dxfs count="7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C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3"/>
  <sheetViews>
    <sheetView workbookViewId="0">
      <selection activeCell="G11" sqref="G11"/>
    </sheetView>
  </sheetViews>
  <sheetFormatPr defaultRowHeight="15" x14ac:dyDescent="0.25"/>
  <cols>
    <col min="3" max="3" width="10.140625" bestFit="1" customWidth="1"/>
  </cols>
  <sheetData>
    <row r="3" spans="2:6" ht="15.75" x14ac:dyDescent="0.25">
      <c r="B3" s="1" t="s">
        <v>0</v>
      </c>
      <c r="C3" s="1" t="s">
        <v>1</v>
      </c>
      <c r="E3" s="75" t="s">
        <v>90</v>
      </c>
      <c r="F3" s="76"/>
    </row>
    <row r="4" spans="2:6" ht="15.75" x14ac:dyDescent="0.25">
      <c r="B4" s="2">
        <v>1</v>
      </c>
      <c r="C4" s="2" t="s">
        <v>2</v>
      </c>
      <c r="E4" s="77">
        <f>MATCH("Kiwi",C4:C13,0)</f>
        <v>9</v>
      </c>
      <c r="F4" s="78"/>
    </row>
    <row r="5" spans="2:6" ht="15.75" x14ac:dyDescent="0.25">
      <c r="B5" s="2">
        <v>2</v>
      </c>
      <c r="C5" s="2" t="s">
        <v>3</v>
      </c>
    </row>
    <row r="6" spans="2:6" ht="15.75" x14ac:dyDescent="0.25">
      <c r="B6" s="2">
        <v>3</v>
      </c>
      <c r="C6" s="2" t="s">
        <v>4</v>
      </c>
      <c r="E6" s="75" t="s">
        <v>107</v>
      </c>
      <c r="F6" s="76"/>
    </row>
    <row r="7" spans="2:6" ht="15.75" x14ac:dyDescent="0.25">
      <c r="B7" s="2">
        <v>4</v>
      </c>
      <c r="C7" s="2" t="s">
        <v>5</v>
      </c>
      <c r="E7" s="77">
        <f>FIND("p",C7)</f>
        <v>6</v>
      </c>
      <c r="F7" s="78"/>
    </row>
    <row r="8" spans="2:6" ht="15.75" x14ac:dyDescent="0.25">
      <c r="B8" s="2">
        <v>5</v>
      </c>
      <c r="C8" s="2" t="s">
        <v>6</v>
      </c>
    </row>
    <row r="9" spans="2:6" ht="15.75" x14ac:dyDescent="0.25">
      <c r="B9" s="2">
        <v>6</v>
      </c>
      <c r="C9" s="2" t="s">
        <v>7</v>
      </c>
    </row>
    <row r="10" spans="2:6" ht="15.75" x14ac:dyDescent="0.25">
      <c r="B10" s="2">
        <v>7</v>
      </c>
      <c r="C10" s="2" t="s">
        <v>8</v>
      </c>
    </row>
    <row r="11" spans="2:6" ht="15.75" x14ac:dyDescent="0.25">
      <c r="B11" s="2">
        <v>8</v>
      </c>
      <c r="C11" s="2" t="s">
        <v>9</v>
      </c>
    </row>
    <row r="12" spans="2:6" ht="15.75" x14ac:dyDescent="0.25">
      <c r="B12" s="2">
        <v>9</v>
      </c>
      <c r="C12" s="2" t="s">
        <v>10</v>
      </c>
    </row>
    <row r="13" spans="2:6" ht="15.75" x14ac:dyDescent="0.25">
      <c r="B13" s="2">
        <v>10</v>
      </c>
      <c r="C13" s="2" t="s">
        <v>11</v>
      </c>
    </row>
  </sheetData>
  <mergeCells count="4">
    <mergeCell ref="E3:F3"/>
    <mergeCell ref="E4:F4"/>
    <mergeCell ref="E6:F6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583"/>
  <sheetViews>
    <sheetView topLeftCell="A1296" workbookViewId="0">
      <selection activeCell="C11" sqref="C11:C1580"/>
    </sheetView>
  </sheetViews>
  <sheetFormatPr defaultRowHeight="15" x14ac:dyDescent="0.25"/>
  <cols>
    <col min="1" max="1" width="15.7109375" bestFit="1" customWidth="1"/>
    <col min="2" max="2" width="19.28515625" bestFit="1" customWidth="1"/>
    <col min="3" max="3" width="15.28515625" bestFit="1" customWidth="1"/>
  </cols>
  <sheetData>
    <row r="1" spans="1:3" s="3" customFormat="1" ht="21" x14ac:dyDescent="0.35">
      <c r="A1" s="4" t="s">
        <v>12</v>
      </c>
      <c r="B1" s="4" t="s">
        <v>13</v>
      </c>
      <c r="C1" s="4" t="s">
        <v>14</v>
      </c>
    </row>
    <row r="2" spans="1:3" ht="18.75" hidden="1" x14ac:dyDescent="0.3">
      <c r="A2" s="5">
        <v>1871.01</v>
      </c>
      <c r="B2" s="6">
        <v>4.4400000000000004</v>
      </c>
      <c r="C2" s="7"/>
    </row>
    <row r="3" spans="1:3" ht="19.5" hidden="1" x14ac:dyDescent="0.35">
      <c r="A3" s="5">
        <v>1872</v>
      </c>
      <c r="B3" s="6">
        <v>4.5</v>
      </c>
      <c r="C3" s="8">
        <v>1.35135135135134E-2</v>
      </c>
    </row>
    <row r="4" spans="1:3" ht="19.5" hidden="1" x14ac:dyDescent="0.35">
      <c r="A4" s="5">
        <v>1873</v>
      </c>
      <c r="B4" s="6">
        <v>4.6100000000000003</v>
      </c>
      <c r="C4" s="8">
        <v>2.4444444444444498E-2</v>
      </c>
    </row>
    <row r="5" spans="1:3" ht="19.5" hidden="1" x14ac:dyDescent="0.35">
      <c r="A5" s="5">
        <v>1874</v>
      </c>
      <c r="B5" s="6">
        <v>4.74</v>
      </c>
      <c r="C5" s="8">
        <v>2.8199566160520599E-2</v>
      </c>
    </row>
    <row r="6" spans="1:3" ht="19.5" hidden="1" x14ac:dyDescent="0.35">
      <c r="A6" s="5">
        <v>1875</v>
      </c>
      <c r="B6" s="6">
        <v>4.8600000000000003</v>
      </c>
      <c r="C6" s="8">
        <v>2.5316455696202399E-2</v>
      </c>
    </row>
    <row r="7" spans="1:3" ht="19.5" hidden="1" x14ac:dyDescent="0.35">
      <c r="A7" s="5">
        <v>1876</v>
      </c>
      <c r="B7" s="6">
        <v>4.82</v>
      </c>
      <c r="C7" s="8">
        <v>-8.2304526748970801E-3</v>
      </c>
    </row>
    <row r="8" spans="1:3" ht="19.5" hidden="1" x14ac:dyDescent="0.35">
      <c r="A8" s="5">
        <v>1877</v>
      </c>
      <c r="B8" s="6">
        <v>4.7300000000000004</v>
      </c>
      <c r="C8" s="8">
        <v>-1.8672199170124401E-2</v>
      </c>
    </row>
    <row r="9" spans="1:3" ht="19.5" hidden="1" x14ac:dyDescent="0.35">
      <c r="A9" s="5">
        <v>1878</v>
      </c>
      <c r="B9" s="6">
        <v>4.79</v>
      </c>
      <c r="C9" s="8">
        <v>1.2684989429175399E-2</v>
      </c>
    </row>
    <row r="10" spans="1:3" ht="19.5" hidden="1" x14ac:dyDescent="0.35">
      <c r="A10" s="5">
        <v>1879</v>
      </c>
      <c r="B10" s="6">
        <v>4.84</v>
      </c>
      <c r="C10" s="8">
        <v>1.0438413361169002E-2</v>
      </c>
    </row>
    <row r="11" spans="1:3" ht="19.5" x14ac:dyDescent="0.35">
      <c r="A11" s="5">
        <v>1880</v>
      </c>
      <c r="B11" s="6">
        <v>4.59</v>
      </c>
      <c r="C11" s="8">
        <v>-5.16528925619835E-2</v>
      </c>
    </row>
    <row r="12" spans="1:3" ht="19.5" hidden="1" x14ac:dyDescent="0.35">
      <c r="A12" s="5">
        <v>1881</v>
      </c>
      <c r="B12" s="6">
        <v>4.6399999999999997</v>
      </c>
      <c r="C12" s="8">
        <v>1.0893246187363899E-2</v>
      </c>
    </row>
    <row r="13" spans="1:3" ht="19.5" hidden="1" x14ac:dyDescent="0.35">
      <c r="A13" s="5">
        <v>1882</v>
      </c>
      <c r="B13" s="6">
        <v>4.74</v>
      </c>
      <c r="C13" s="8">
        <v>2.1551724137931001E-2</v>
      </c>
    </row>
    <row r="14" spans="1:3" ht="19.5" hidden="1" x14ac:dyDescent="0.35">
      <c r="A14" s="5">
        <v>1883</v>
      </c>
      <c r="B14" s="6">
        <v>4.8600000000000003</v>
      </c>
      <c r="C14" s="8">
        <v>2.5316455696202399E-2</v>
      </c>
    </row>
    <row r="15" spans="1:3" ht="19.5" hidden="1" x14ac:dyDescent="0.35">
      <c r="A15" s="5">
        <v>1884</v>
      </c>
      <c r="B15" s="6">
        <v>4.88</v>
      </c>
      <c r="C15" s="8">
        <v>4.1152263374484299E-3</v>
      </c>
    </row>
    <row r="16" spans="1:3" ht="19.5" hidden="1" x14ac:dyDescent="0.35">
      <c r="A16" s="5">
        <v>1885</v>
      </c>
      <c r="B16" s="6">
        <v>5.04</v>
      </c>
      <c r="C16" s="8">
        <v>3.2786885245901697E-2</v>
      </c>
    </row>
    <row r="17" spans="1:3" ht="19.5" hidden="1" x14ac:dyDescent="0.35">
      <c r="A17" s="5">
        <v>1886</v>
      </c>
      <c r="B17" s="6">
        <v>5.18</v>
      </c>
      <c r="C17" s="8">
        <v>2.77777777777777E-2</v>
      </c>
    </row>
    <row r="18" spans="1:3" ht="19.5" hidden="1" x14ac:dyDescent="0.35">
      <c r="A18" s="5">
        <v>1887</v>
      </c>
      <c r="B18" s="6">
        <v>5.18</v>
      </c>
      <c r="C18" s="8">
        <v>0</v>
      </c>
    </row>
    <row r="19" spans="1:3" ht="19.5" hidden="1" x14ac:dyDescent="0.35">
      <c r="A19" s="5">
        <v>1888</v>
      </c>
      <c r="B19" s="6">
        <v>5.13</v>
      </c>
      <c r="C19" s="8">
        <v>-9.6525096525096315E-3</v>
      </c>
    </row>
    <row r="20" spans="1:3" ht="19.5" hidden="1" x14ac:dyDescent="0.35">
      <c r="A20" s="5">
        <v>1889</v>
      </c>
      <c r="B20" s="6">
        <v>5.0999999999999996</v>
      </c>
      <c r="C20" s="8">
        <v>-5.8479532163743207E-3</v>
      </c>
    </row>
    <row r="21" spans="1:3" ht="19.5" hidden="1" x14ac:dyDescent="0.35">
      <c r="A21" s="5">
        <v>1890</v>
      </c>
      <c r="B21" s="6">
        <v>5.04</v>
      </c>
      <c r="C21" s="8">
        <v>-1.1764705882352899E-2</v>
      </c>
    </row>
    <row r="22" spans="1:3" ht="19.5" hidden="1" x14ac:dyDescent="0.35">
      <c r="A22" s="5">
        <v>1891</v>
      </c>
      <c r="B22" s="6">
        <v>4.95</v>
      </c>
      <c r="C22" s="8">
        <v>-1.7857142857142801E-2</v>
      </c>
    </row>
    <row r="23" spans="1:3" ht="19.5" hidden="1" x14ac:dyDescent="0.35">
      <c r="A23" s="5">
        <v>1892</v>
      </c>
      <c r="B23" s="6">
        <v>4.97</v>
      </c>
      <c r="C23" s="8">
        <v>4.04040404040384E-3</v>
      </c>
    </row>
    <row r="24" spans="1:3" ht="19.5" hidden="1" x14ac:dyDescent="0.35">
      <c r="A24" s="5">
        <v>1893</v>
      </c>
      <c r="B24" s="6">
        <v>4.95</v>
      </c>
      <c r="C24" s="8">
        <v>-4.0241448692152106E-3</v>
      </c>
    </row>
    <row r="25" spans="1:3" ht="19.5" hidden="1" x14ac:dyDescent="0.35">
      <c r="A25" s="5">
        <v>1894</v>
      </c>
      <c r="B25" s="6">
        <v>5.07</v>
      </c>
      <c r="C25" s="8">
        <v>2.4242424242424201E-2</v>
      </c>
    </row>
    <row r="26" spans="1:3" ht="19.5" hidden="1" x14ac:dyDescent="0.35">
      <c r="A26" s="5">
        <v>1895</v>
      </c>
      <c r="B26" s="6">
        <v>5.1100000000000003</v>
      </c>
      <c r="C26" s="8">
        <v>7.8895463510848512E-3</v>
      </c>
    </row>
    <row r="27" spans="1:3" ht="19.5" hidden="1" x14ac:dyDescent="0.35">
      <c r="A27" s="5">
        <v>1896</v>
      </c>
      <c r="B27" s="6">
        <v>5.15</v>
      </c>
      <c r="C27" s="8">
        <v>7.827788649706461E-3</v>
      </c>
    </row>
    <row r="28" spans="1:3" ht="19.5" hidden="1" x14ac:dyDescent="0.35">
      <c r="A28" s="5">
        <v>1897</v>
      </c>
      <c r="B28" s="6">
        <v>5.1100000000000003</v>
      </c>
      <c r="C28" s="8">
        <v>-7.7669902912621607E-3</v>
      </c>
    </row>
    <row r="29" spans="1:3" ht="19.5" hidden="1" x14ac:dyDescent="0.35">
      <c r="A29" s="5">
        <v>1898</v>
      </c>
      <c r="B29" s="6">
        <v>5.04</v>
      </c>
      <c r="C29" s="8">
        <v>-1.3698630136986399E-2</v>
      </c>
    </row>
    <row r="30" spans="1:3" ht="19.5" hidden="1" x14ac:dyDescent="0.35">
      <c r="A30" s="5">
        <v>1899</v>
      </c>
      <c r="B30" s="6">
        <v>5.05</v>
      </c>
      <c r="C30" s="8">
        <v>1.9841269841269801E-3</v>
      </c>
    </row>
    <row r="31" spans="1:3" ht="19.5" hidden="1" x14ac:dyDescent="0.35">
      <c r="A31" s="5">
        <v>1900</v>
      </c>
      <c r="B31" s="6">
        <v>4.9800000000000004</v>
      </c>
      <c r="C31" s="8">
        <v>-1.3861386138613799E-2</v>
      </c>
    </row>
    <row r="32" spans="1:3" ht="19.5" hidden="1" x14ac:dyDescent="0.35">
      <c r="A32" s="5">
        <v>1901</v>
      </c>
      <c r="B32" s="6">
        <v>4.97</v>
      </c>
      <c r="C32" s="8">
        <v>-2.00803212851419E-3</v>
      </c>
    </row>
    <row r="33" spans="1:3" ht="19.5" hidden="1" x14ac:dyDescent="0.35">
      <c r="A33" s="5">
        <v>1902</v>
      </c>
      <c r="B33" s="6">
        <v>4.97</v>
      </c>
      <c r="C33" s="8">
        <v>0</v>
      </c>
    </row>
    <row r="34" spans="1:3" ht="19.5" x14ac:dyDescent="0.35">
      <c r="A34" s="5">
        <v>1903</v>
      </c>
      <c r="B34" s="6">
        <v>4.59</v>
      </c>
      <c r="C34" s="8">
        <v>-7.6458752515090503E-2</v>
      </c>
    </row>
    <row r="35" spans="1:3" ht="19.5" x14ac:dyDescent="0.35">
      <c r="A35" s="5">
        <v>1904</v>
      </c>
      <c r="B35" s="6">
        <v>4.1900000000000004</v>
      </c>
      <c r="C35" s="8">
        <v>-8.71459694989105E-2</v>
      </c>
    </row>
    <row r="36" spans="1:3" ht="19.5" hidden="1" x14ac:dyDescent="0.35">
      <c r="A36" s="5">
        <v>1905</v>
      </c>
      <c r="B36" s="6">
        <v>4.04</v>
      </c>
      <c r="C36" s="8">
        <v>-3.5799522673031096E-2</v>
      </c>
    </row>
    <row r="37" spans="1:3" ht="19.5" hidden="1" x14ac:dyDescent="0.35">
      <c r="A37" s="5">
        <v>1906</v>
      </c>
      <c r="B37" s="6">
        <v>4.42</v>
      </c>
      <c r="C37" s="8">
        <v>9.4059405940594101E-2</v>
      </c>
    </row>
    <row r="38" spans="1:3" ht="19.5" hidden="1" x14ac:dyDescent="0.35">
      <c r="A38" s="5">
        <v>1907</v>
      </c>
      <c r="B38" s="6">
        <v>4.66</v>
      </c>
      <c r="C38" s="8">
        <v>5.4298642533936702E-2</v>
      </c>
    </row>
    <row r="39" spans="1:3" ht="19.5" hidden="1" x14ac:dyDescent="0.35">
      <c r="A39" s="5">
        <v>1908</v>
      </c>
      <c r="B39" s="6">
        <v>4.8</v>
      </c>
      <c r="C39" s="8">
        <v>3.0042918454935598E-2</v>
      </c>
    </row>
    <row r="40" spans="1:3" ht="19.5" hidden="1" x14ac:dyDescent="0.35">
      <c r="A40" s="5">
        <v>1909</v>
      </c>
      <c r="B40" s="6">
        <v>4.7300000000000004</v>
      </c>
      <c r="C40" s="8">
        <v>-1.45833333333332E-2</v>
      </c>
    </row>
    <row r="41" spans="1:3" ht="19.5" hidden="1" x14ac:dyDescent="0.35">
      <c r="A41" s="5">
        <v>1910</v>
      </c>
      <c r="B41" s="6">
        <v>4.5999999999999996</v>
      </c>
      <c r="C41" s="8">
        <v>-2.74841437632137E-2</v>
      </c>
    </row>
    <row r="42" spans="1:3" ht="19.5" hidden="1" x14ac:dyDescent="0.35">
      <c r="A42" s="5">
        <v>1911</v>
      </c>
      <c r="B42" s="6">
        <v>4.4800000000000004</v>
      </c>
      <c r="C42" s="8">
        <v>-2.6086956521739001E-2</v>
      </c>
    </row>
    <row r="43" spans="1:3" ht="19.5" hidden="1" x14ac:dyDescent="0.35">
      <c r="A43" s="5">
        <v>1912</v>
      </c>
      <c r="B43" s="6">
        <v>4.46</v>
      </c>
      <c r="C43" s="8">
        <v>-4.4642857142858103E-3</v>
      </c>
    </row>
    <row r="44" spans="1:3" ht="19.5" hidden="1" x14ac:dyDescent="0.35">
      <c r="A44" s="5">
        <v>1913</v>
      </c>
      <c r="B44" s="6">
        <v>4.46</v>
      </c>
      <c r="C44" s="8">
        <v>0</v>
      </c>
    </row>
    <row r="45" spans="1:3" ht="19.5" hidden="1" x14ac:dyDescent="0.35">
      <c r="A45" s="5">
        <v>1914</v>
      </c>
      <c r="B45" s="6">
        <v>4.47</v>
      </c>
      <c r="C45" s="8">
        <v>2.2421524663676102E-3</v>
      </c>
    </row>
    <row r="46" spans="1:3" ht="19.5" hidden="1" x14ac:dyDescent="0.35">
      <c r="A46" s="5">
        <v>1915</v>
      </c>
      <c r="B46" s="6">
        <v>4.54</v>
      </c>
      <c r="C46" s="8">
        <v>1.5659955257270701E-2</v>
      </c>
    </row>
    <row r="47" spans="1:3" ht="19.5" hidden="1" x14ac:dyDescent="0.35">
      <c r="A47" s="5">
        <v>1916</v>
      </c>
      <c r="B47" s="6">
        <v>4.53</v>
      </c>
      <c r="C47" s="8">
        <v>-2.20264317180607E-3</v>
      </c>
    </row>
    <row r="48" spans="1:3" ht="19.5" hidden="1" x14ac:dyDescent="0.35">
      <c r="A48" s="5">
        <v>1917</v>
      </c>
      <c r="B48" s="6">
        <v>4.57</v>
      </c>
      <c r="C48" s="8">
        <v>8.830022075055231E-3</v>
      </c>
    </row>
    <row r="49" spans="1:3" ht="19.5" hidden="1" x14ac:dyDescent="0.35">
      <c r="A49" s="5">
        <v>1918</v>
      </c>
      <c r="B49" s="6">
        <v>4.54</v>
      </c>
      <c r="C49" s="8">
        <v>-6.5645514223194902E-3</v>
      </c>
    </row>
    <row r="50" spans="1:3" ht="19.5" hidden="1" x14ac:dyDescent="0.35">
      <c r="A50" s="5">
        <v>1919</v>
      </c>
      <c r="B50" s="6">
        <v>4.54</v>
      </c>
      <c r="C50" s="8">
        <v>0</v>
      </c>
    </row>
    <row r="51" spans="1:3" ht="19.5" hidden="1" x14ac:dyDescent="0.35">
      <c r="A51" s="5">
        <v>1920</v>
      </c>
      <c r="B51" s="6">
        <v>4.53</v>
      </c>
      <c r="C51" s="8">
        <v>-2.20264317180607E-3</v>
      </c>
    </row>
    <row r="52" spans="1:3" ht="19.5" hidden="1" x14ac:dyDescent="0.35">
      <c r="A52" s="5">
        <v>1921</v>
      </c>
      <c r="B52" s="6">
        <v>4.59</v>
      </c>
      <c r="C52" s="8">
        <v>1.3245033112582599E-2</v>
      </c>
    </row>
    <row r="53" spans="1:3" ht="19.5" hidden="1" x14ac:dyDescent="0.35">
      <c r="A53" s="5">
        <v>1922</v>
      </c>
      <c r="B53" s="6">
        <v>4.6500000000000004</v>
      </c>
      <c r="C53" s="8">
        <v>1.3071895424836799E-2</v>
      </c>
    </row>
    <row r="54" spans="1:3" ht="19.5" hidden="1" x14ac:dyDescent="0.35">
      <c r="A54" s="5">
        <v>1923</v>
      </c>
      <c r="B54" s="6">
        <v>4.47</v>
      </c>
      <c r="C54" s="8">
        <v>-3.8709677419354896E-2</v>
      </c>
    </row>
    <row r="55" spans="1:3" ht="19.5" hidden="1" x14ac:dyDescent="0.35">
      <c r="A55" s="5">
        <v>1924</v>
      </c>
      <c r="B55" s="6">
        <v>4.38</v>
      </c>
      <c r="C55" s="8">
        <v>-2.0134228187919399E-2</v>
      </c>
    </row>
    <row r="56" spans="1:3" ht="19.5" hidden="1" x14ac:dyDescent="0.35">
      <c r="A56" s="5">
        <v>1925</v>
      </c>
      <c r="B56" s="6">
        <v>4.3899999999999997</v>
      </c>
      <c r="C56" s="8">
        <v>2.28310502283091E-3</v>
      </c>
    </row>
    <row r="57" spans="1:3" ht="19.5" hidden="1" x14ac:dyDescent="0.35">
      <c r="A57" s="5">
        <v>1926</v>
      </c>
      <c r="B57" s="6">
        <v>4.41</v>
      </c>
      <c r="C57" s="8">
        <v>4.5558086560364402E-3</v>
      </c>
    </row>
    <row r="58" spans="1:3" ht="19.5" hidden="1" x14ac:dyDescent="0.35">
      <c r="A58" s="5">
        <v>1927</v>
      </c>
      <c r="B58" s="6">
        <v>4.37</v>
      </c>
      <c r="C58" s="8">
        <v>-9.0702947845805511E-3</v>
      </c>
    </row>
    <row r="59" spans="1:3" ht="19.5" hidden="1" x14ac:dyDescent="0.35">
      <c r="A59" s="5">
        <v>1928</v>
      </c>
      <c r="B59" s="6">
        <v>4.3</v>
      </c>
      <c r="C59" s="8">
        <v>-1.6018306636155701E-2</v>
      </c>
    </row>
    <row r="60" spans="1:3" ht="19.5" hidden="1" x14ac:dyDescent="0.35">
      <c r="A60" s="5">
        <v>1929</v>
      </c>
      <c r="B60" s="6">
        <v>4.37</v>
      </c>
      <c r="C60" s="8">
        <v>1.6279069767442002E-2</v>
      </c>
    </row>
    <row r="61" spans="1:3" ht="19.5" hidden="1" x14ac:dyDescent="0.35">
      <c r="A61" s="5">
        <v>1930</v>
      </c>
      <c r="B61" s="6">
        <v>4.37</v>
      </c>
      <c r="C61" s="8">
        <v>0</v>
      </c>
    </row>
    <row r="62" spans="1:3" ht="19.5" hidden="1" x14ac:dyDescent="0.35">
      <c r="A62" s="5">
        <v>1931</v>
      </c>
      <c r="B62" s="6">
        <v>4.46</v>
      </c>
      <c r="C62" s="8">
        <v>2.0594965675057298E-2</v>
      </c>
    </row>
    <row r="63" spans="1:3" ht="19.5" hidden="1" x14ac:dyDescent="0.35">
      <c r="A63" s="5">
        <v>1932</v>
      </c>
      <c r="B63" s="6">
        <v>4.5199999999999996</v>
      </c>
      <c r="C63" s="8">
        <v>1.34529147982061E-2</v>
      </c>
    </row>
    <row r="64" spans="1:3" ht="19.5" hidden="1" x14ac:dyDescent="0.35">
      <c r="A64" s="5">
        <v>1933</v>
      </c>
      <c r="B64" s="6">
        <v>4.51</v>
      </c>
      <c r="C64" s="8">
        <v>-2.2123893805309201E-3</v>
      </c>
    </row>
    <row r="65" spans="1:3" ht="19.5" hidden="1" x14ac:dyDescent="0.35">
      <c r="A65" s="5">
        <v>1934</v>
      </c>
      <c r="B65" s="6">
        <v>4.34</v>
      </c>
      <c r="C65" s="8">
        <v>-3.7694013303769397E-2</v>
      </c>
    </row>
    <row r="66" spans="1:3" ht="19.5" hidden="1" x14ac:dyDescent="0.35">
      <c r="A66" s="5">
        <v>1935</v>
      </c>
      <c r="B66" s="6">
        <v>4.18</v>
      </c>
      <c r="C66" s="8">
        <v>-3.6866359447004698E-2</v>
      </c>
    </row>
    <row r="67" spans="1:3" ht="19.5" hidden="1" x14ac:dyDescent="0.35">
      <c r="A67" s="5">
        <v>1936</v>
      </c>
      <c r="B67" s="6">
        <v>4.1500000000000004</v>
      </c>
      <c r="C67" s="8">
        <v>-7.1770334928228409E-3</v>
      </c>
    </row>
    <row r="68" spans="1:3" ht="19.5" hidden="1" x14ac:dyDescent="0.35">
      <c r="A68" s="5">
        <v>1937</v>
      </c>
      <c r="B68" s="6">
        <v>4.0999999999999996</v>
      </c>
      <c r="C68" s="8">
        <v>-1.2048192771084499E-2</v>
      </c>
    </row>
    <row r="69" spans="1:3" ht="19.5" hidden="1" x14ac:dyDescent="0.35">
      <c r="A69" s="5">
        <v>1938</v>
      </c>
      <c r="B69" s="6">
        <v>3.93</v>
      </c>
      <c r="C69" s="8">
        <v>-4.1463414634146302E-2</v>
      </c>
    </row>
    <row r="70" spans="1:3" ht="19.5" x14ac:dyDescent="0.35">
      <c r="A70" s="5">
        <v>1939</v>
      </c>
      <c r="B70" s="6">
        <v>3.69</v>
      </c>
      <c r="C70" s="8">
        <v>-6.1068702290076396E-2</v>
      </c>
    </row>
    <row r="71" spans="1:3" ht="19.5" hidden="1" x14ac:dyDescent="0.35">
      <c r="A71" s="5">
        <v>1940</v>
      </c>
      <c r="B71" s="6">
        <v>3.67</v>
      </c>
      <c r="C71" s="8">
        <v>-5.4200542005420401E-3</v>
      </c>
    </row>
    <row r="72" spans="1:3" ht="19.5" hidden="1" x14ac:dyDescent="0.35">
      <c r="A72" s="5">
        <v>1941</v>
      </c>
      <c r="B72" s="6">
        <v>3.6</v>
      </c>
      <c r="C72" s="8">
        <v>-1.9073569482288801E-2</v>
      </c>
    </row>
    <row r="73" spans="1:3" ht="19.5" hidden="1" x14ac:dyDescent="0.35">
      <c r="A73" s="5">
        <v>1942</v>
      </c>
      <c r="B73" s="6">
        <v>3.58</v>
      </c>
      <c r="C73" s="8">
        <v>-5.5555555555555402E-3</v>
      </c>
    </row>
    <row r="74" spans="1:3" ht="19.5" hidden="1" x14ac:dyDescent="0.35">
      <c r="A74" s="5">
        <v>1943</v>
      </c>
      <c r="B74" s="6">
        <v>3.55</v>
      </c>
      <c r="C74" s="8">
        <v>-8.379888268156499E-3</v>
      </c>
    </row>
    <row r="75" spans="1:3" ht="19.5" x14ac:dyDescent="0.35">
      <c r="A75" s="5">
        <v>1944</v>
      </c>
      <c r="B75" s="6">
        <v>3.34</v>
      </c>
      <c r="C75" s="8">
        <v>-5.91549295774648E-2</v>
      </c>
    </row>
    <row r="76" spans="1:3" ht="19.5" x14ac:dyDescent="0.35">
      <c r="A76" s="5">
        <v>1945</v>
      </c>
      <c r="B76" s="6">
        <v>3.17</v>
      </c>
      <c r="C76" s="8">
        <v>-5.0898203592814398E-2</v>
      </c>
    </row>
    <row r="77" spans="1:3" ht="19.5" x14ac:dyDescent="0.35">
      <c r="A77" s="5">
        <v>1946</v>
      </c>
      <c r="B77" s="6">
        <v>2.94</v>
      </c>
      <c r="C77" s="8">
        <v>-7.2555205047318605E-2</v>
      </c>
    </row>
    <row r="78" spans="1:3" ht="19.5" hidden="1" x14ac:dyDescent="0.35">
      <c r="A78" s="5">
        <v>1947</v>
      </c>
      <c r="B78" s="6">
        <v>2.94</v>
      </c>
      <c r="C78" s="8">
        <v>0</v>
      </c>
    </row>
    <row r="79" spans="1:3" ht="19.5" x14ac:dyDescent="0.35">
      <c r="A79" s="5">
        <v>1948</v>
      </c>
      <c r="B79" s="6">
        <v>2.73</v>
      </c>
      <c r="C79" s="8">
        <v>-7.1428571428571397E-2</v>
      </c>
    </row>
    <row r="80" spans="1:3" ht="19.5" hidden="1" x14ac:dyDescent="0.35">
      <c r="A80" s="5">
        <v>1949</v>
      </c>
      <c r="B80" s="6">
        <v>2.85</v>
      </c>
      <c r="C80" s="8">
        <v>4.3956043956044001E-2</v>
      </c>
    </row>
    <row r="81" spans="1:3" ht="19.5" hidden="1" x14ac:dyDescent="0.35">
      <c r="A81" s="5">
        <v>1950</v>
      </c>
      <c r="B81" s="6">
        <v>3.05</v>
      </c>
      <c r="C81" s="8">
        <v>7.0175438596491196E-2</v>
      </c>
    </row>
    <row r="82" spans="1:3" ht="19.5" hidden="1" x14ac:dyDescent="0.35">
      <c r="A82" s="5">
        <v>1951</v>
      </c>
      <c r="B82" s="6">
        <v>3.24</v>
      </c>
      <c r="C82" s="8">
        <v>6.2295081967213201E-2</v>
      </c>
    </row>
    <row r="83" spans="1:3" ht="19.5" hidden="1" x14ac:dyDescent="0.35">
      <c r="A83" s="5">
        <v>1952</v>
      </c>
      <c r="B83" s="6">
        <v>3.31</v>
      </c>
      <c r="C83" s="8">
        <v>2.1604938271604798E-2</v>
      </c>
    </row>
    <row r="84" spans="1:3" ht="19.5" hidden="1" x14ac:dyDescent="0.35">
      <c r="A84" s="5">
        <v>1953</v>
      </c>
      <c r="B84" s="6">
        <v>3.26</v>
      </c>
      <c r="C84" s="8">
        <v>-1.5105740181269001E-2</v>
      </c>
    </row>
    <row r="85" spans="1:3" ht="19.5" hidden="1" x14ac:dyDescent="0.35">
      <c r="A85" s="5">
        <v>1954</v>
      </c>
      <c r="B85" s="6">
        <v>3.25</v>
      </c>
      <c r="C85" s="8">
        <v>-3.0674846625766703E-3</v>
      </c>
    </row>
    <row r="86" spans="1:3" ht="19.5" hidden="1" x14ac:dyDescent="0.35">
      <c r="A86" s="5">
        <v>1955</v>
      </c>
      <c r="B86" s="6">
        <v>3.25</v>
      </c>
      <c r="C86" s="8">
        <v>0</v>
      </c>
    </row>
    <row r="87" spans="1:3" ht="19.5" hidden="1" x14ac:dyDescent="0.35">
      <c r="A87" s="5">
        <v>1956</v>
      </c>
      <c r="B87" s="6">
        <v>3.18</v>
      </c>
      <c r="C87" s="8">
        <v>-2.1538461538461499E-2</v>
      </c>
    </row>
    <row r="88" spans="1:3" ht="19.5" hidden="1" x14ac:dyDescent="0.35">
      <c r="A88" s="5">
        <v>1957</v>
      </c>
      <c r="B88" s="6">
        <v>3.24</v>
      </c>
      <c r="C88" s="8">
        <v>1.88679245283019E-2</v>
      </c>
    </row>
    <row r="89" spans="1:3" ht="19.5" hidden="1" x14ac:dyDescent="0.35">
      <c r="A89" s="5">
        <v>1958</v>
      </c>
      <c r="B89" s="6">
        <v>3.33</v>
      </c>
      <c r="C89" s="8">
        <v>2.77777777777777E-2</v>
      </c>
    </row>
    <row r="90" spans="1:3" ht="19.5" hidden="1" x14ac:dyDescent="0.35">
      <c r="A90" s="5">
        <v>1959</v>
      </c>
      <c r="B90" s="6">
        <v>3.34</v>
      </c>
      <c r="C90" s="8">
        <v>3.0030030030030502E-3</v>
      </c>
    </row>
    <row r="91" spans="1:3" ht="19.5" hidden="1" x14ac:dyDescent="0.35">
      <c r="A91" s="5">
        <v>1960</v>
      </c>
      <c r="B91" s="6">
        <v>3.41</v>
      </c>
      <c r="C91" s="8">
        <v>2.09580838323353E-2</v>
      </c>
    </row>
    <row r="92" spans="1:3" ht="19.5" hidden="1" x14ac:dyDescent="0.35">
      <c r="A92" s="5">
        <v>1961</v>
      </c>
      <c r="B92" s="6">
        <v>3.48</v>
      </c>
      <c r="C92" s="8">
        <v>2.05278592375366E-2</v>
      </c>
    </row>
    <row r="93" spans="1:3" ht="19.5" hidden="1" x14ac:dyDescent="0.35">
      <c r="A93" s="5">
        <v>1962</v>
      </c>
      <c r="B93" s="6">
        <v>3.45</v>
      </c>
      <c r="C93" s="8">
        <v>-8.6206896551723807E-3</v>
      </c>
    </row>
    <row r="94" spans="1:3" ht="19.5" hidden="1" x14ac:dyDescent="0.35">
      <c r="A94" s="5">
        <v>1963</v>
      </c>
      <c r="B94" s="6">
        <v>3.52</v>
      </c>
      <c r="C94" s="8">
        <v>2.0289855072463701E-2</v>
      </c>
    </row>
    <row r="95" spans="1:3" ht="19.5" hidden="1" x14ac:dyDescent="0.35">
      <c r="A95" s="5">
        <v>1964</v>
      </c>
      <c r="B95" s="6">
        <v>3.48</v>
      </c>
      <c r="C95" s="8">
        <v>-1.13636363636364E-2</v>
      </c>
    </row>
    <row r="96" spans="1:3" ht="19.5" hidden="1" x14ac:dyDescent="0.35">
      <c r="A96" s="5">
        <v>1965</v>
      </c>
      <c r="B96" s="6">
        <v>3.47</v>
      </c>
      <c r="C96" s="8">
        <v>-2.87356321839072E-3</v>
      </c>
    </row>
    <row r="97" spans="1:3" ht="19.5" hidden="1" x14ac:dyDescent="0.35">
      <c r="A97" s="5">
        <v>1966</v>
      </c>
      <c r="B97" s="6">
        <v>3.45</v>
      </c>
      <c r="C97" s="8">
        <v>-5.7636887608069108E-3</v>
      </c>
    </row>
    <row r="98" spans="1:3" ht="19.5" hidden="1" x14ac:dyDescent="0.35">
      <c r="A98" s="5">
        <v>1967</v>
      </c>
      <c r="B98" s="6">
        <v>3.58</v>
      </c>
      <c r="C98" s="8">
        <v>3.7681159420289698E-2</v>
      </c>
    </row>
    <row r="99" spans="1:3" ht="19.5" hidden="1" x14ac:dyDescent="0.35">
      <c r="A99" s="5">
        <v>1968</v>
      </c>
      <c r="B99" s="6">
        <v>3.71</v>
      </c>
      <c r="C99" s="8">
        <v>3.63128491620111E-2</v>
      </c>
    </row>
    <row r="100" spans="1:3" ht="19.5" hidden="1" x14ac:dyDescent="0.35">
      <c r="A100" s="5">
        <v>1969</v>
      </c>
      <c r="B100" s="6">
        <v>3.65</v>
      </c>
      <c r="C100" s="8">
        <v>-1.61725067385445E-2</v>
      </c>
    </row>
    <row r="101" spans="1:3" ht="19.5" hidden="1" x14ac:dyDescent="0.35">
      <c r="A101" s="5">
        <v>1970</v>
      </c>
      <c r="B101" s="6">
        <v>3.77</v>
      </c>
      <c r="C101" s="8">
        <v>3.2876712328767196E-2</v>
      </c>
    </row>
    <row r="102" spans="1:3" ht="19.5" hidden="1" x14ac:dyDescent="0.35">
      <c r="A102" s="5">
        <v>1971</v>
      </c>
      <c r="B102" s="6">
        <v>3.94</v>
      </c>
      <c r="C102" s="8">
        <v>4.5092838196286497E-2</v>
      </c>
    </row>
    <row r="103" spans="1:3" ht="19.5" hidden="1" x14ac:dyDescent="0.35">
      <c r="A103" s="5">
        <v>1972</v>
      </c>
      <c r="B103" s="6">
        <v>3.96</v>
      </c>
      <c r="C103" s="8">
        <v>5.0761421319795996E-3</v>
      </c>
    </row>
    <row r="104" spans="1:3" ht="19.5" hidden="1" x14ac:dyDescent="0.35">
      <c r="A104" s="5">
        <v>1973</v>
      </c>
      <c r="B104" s="6">
        <v>4.04</v>
      </c>
      <c r="C104" s="8">
        <v>2.02020202020201E-2</v>
      </c>
    </row>
    <row r="105" spans="1:3" ht="19.5" hidden="1" x14ac:dyDescent="0.35">
      <c r="A105" s="5">
        <v>1974</v>
      </c>
      <c r="B105" s="6">
        <v>4.07</v>
      </c>
      <c r="C105" s="8">
        <v>7.4257425742574306E-3</v>
      </c>
    </row>
    <row r="106" spans="1:3" ht="19.5" hidden="1" x14ac:dyDescent="0.35">
      <c r="A106" s="5">
        <v>1975</v>
      </c>
      <c r="B106" s="6">
        <v>4.22</v>
      </c>
      <c r="C106" s="8">
        <v>3.6855036855036702E-2</v>
      </c>
    </row>
    <row r="107" spans="1:3" ht="19.5" hidden="1" x14ac:dyDescent="0.35">
      <c r="A107" s="5">
        <v>1976</v>
      </c>
      <c r="B107" s="6">
        <v>4.68</v>
      </c>
      <c r="C107" s="8">
        <v>0.109004739336493</v>
      </c>
    </row>
    <row r="108" spans="1:3" ht="19.5" hidden="1" x14ac:dyDescent="0.35">
      <c r="A108" s="5">
        <v>1977</v>
      </c>
      <c r="B108" s="6">
        <v>4.93</v>
      </c>
      <c r="C108" s="8">
        <v>5.34188034188035E-2</v>
      </c>
    </row>
    <row r="109" spans="1:3" ht="19.5" hidden="1" x14ac:dyDescent="0.35">
      <c r="A109" s="5">
        <v>1978</v>
      </c>
      <c r="B109" s="6">
        <v>4.92</v>
      </c>
      <c r="C109" s="8">
        <v>-2.0283975659228801E-3</v>
      </c>
    </row>
    <row r="110" spans="1:3" ht="19.5" hidden="1" x14ac:dyDescent="0.35">
      <c r="A110" s="5">
        <v>1979</v>
      </c>
      <c r="B110" s="6">
        <v>5.1100000000000003</v>
      </c>
      <c r="C110" s="8">
        <v>3.8617886178862006E-2</v>
      </c>
    </row>
    <row r="111" spans="1:3" ht="19.5" hidden="1" x14ac:dyDescent="0.35">
      <c r="A111" s="5">
        <v>1980</v>
      </c>
      <c r="B111" s="6">
        <v>5.2</v>
      </c>
      <c r="C111" s="8">
        <v>1.7612524461839498E-2</v>
      </c>
    </row>
    <row r="112" spans="1:3" ht="19.5" hidden="1" x14ac:dyDescent="0.35">
      <c r="A112" s="5">
        <v>1981</v>
      </c>
      <c r="B112" s="6">
        <v>5.3</v>
      </c>
      <c r="C112" s="8">
        <v>1.9230769230769201E-2</v>
      </c>
    </row>
    <row r="113" spans="1:3" ht="19.5" hidden="1" x14ac:dyDescent="0.35">
      <c r="A113" s="5">
        <v>1982</v>
      </c>
      <c r="B113" s="6">
        <v>5.18</v>
      </c>
      <c r="C113" s="8">
        <v>-2.2641509433962301E-2</v>
      </c>
    </row>
    <row r="114" spans="1:3" ht="19.5" x14ac:dyDescent="0.35">
      <c r="A114" s="5">
        <v>1983</v>
      </c>
      <c r="B114" s="6">
        <v>4.7699999999999996</v>
      </c>
      <c r="C114" s="8">
        <v>-7.9150579150579201E-2</v>
      </c>
    </row>
    <row r="115" spans="1:3" ht="19.5" hidden="1" x14ac:dyDescent="0.35">
      <c r="A115" s="5">
        <v>1984</v>
      </c>
      <c r="B115" s="6">
        <v>4.79</v>
      </c>
      <c r="C115" s="8">
        <v>4.1928721174004906E-3</v>
      </c>
    </row>
    <row r="116" spans="1:3" ht="19.5" hidden="1" x14ac:dyDescent="0.35">
      <c r="A116" s="5">
        <v>1985</v>
      </c>
      <c r="B116" s="6">
        <v>5.01</v>
      </c>
      <c r="C116" s="8">
        <v>4.5929018789143898E-2</v>
      </c>
    </row>
    <row r="117" spans="1:3" ht="19.5" hidden="1" x14ac:dyDescent="0.35">
      <c r="A117" s="5">
        <v>1986</v>
      </c>
      <c r="B117" s="6">
        <v>5.19</v>
      </c>
      <c r="C117" s="8">
        <v>3.5928143712574898E-2</v>
      </c>
    </row>
    <row r="118" spans="1:3" ht="19.5" hidden="1" x14ac:dyDescent="0.35">
      <c r="A118" s="5">
        <v>1987</v>
      </c>
      <c r="B118" s="6">
        <v>5.18</v>
      </c>
      <c r="C118" s="8">
        <v>-1.9267822736032101E-3</v>
      </c>
    </row>
    <row r="119" spans="1:3" ht="19.5" hidden="1" x14ac:dyDescent="0.35">
      <c r="A119" s="5">
        <v>1988</v>
      </c>
      <c r="B119" s="6">
        <v>5.33</v>
      </c>
      <c r="C119" s="8">
        <v>2.8957528957529004E-2</v>
      </c>
    </row>
    <row r="120" spans="1:3" ht="19.5" hidden="1" x14ac:dyDescent="0.35">
      <c r="A120" s="5">
        <v>1989</v>
      </c>
      <c r="B120" s="6">
        <v>5.61</v>
      </c>
      <c r="C120" s="8">
        <v>5.2532833020638096E-2</v>
      </c>
    </row>
    <row r="121" spans="1:3" ht="19.5" hidden="1" x14ac:dyDescent="0.35">
      <c r="A121" s="5">
        <v>1990</v>
      </c>
      <c r="B121" s="6">
        <v>5.84</v>
      </c>
      <c r="C121" s="8">
        <v>4.0998217468805699E-2</v>
      </c>
    </row>
    <row r="122" spans="1:3" ht="19.5" hidden="1" x14ac:dyDescent="0.35">
      <c r="A122" s="5">
        <v>1991</v>
      </c>
      <c r="B122" s="6">
        <v>6.19</v>
      </c>
      <c r="C122" s="8">
        <v>5.99315068493151E-2</v>
      </c>
    </row>
    <row r="123" spans="1:3" ht="19.5" hidden="1" x14ac:dyDescent="0.35">
      <c r="A123" s="5">
        <v>1992</v>
      </c>
      <c r="B123" s="6">
        <v>6.17</v>
      </c>
      <c r="C123" s="8">
        <v>-3.2310177705978703E-3</v>
      </c>
    </row>
    <row r="124" spans="1:3" ht="19.5" hidden="1" x14ac:dyDescent="0.35">
      <c r="A124" s="5">
        <v>1993</v>
      </c>
      <c r="B124" s="6">
        <v>6.24</v>
      </c>
      <c r="C124" s="8">
        <v>1.1345218800648399E-2</v>
      </c>
    </row>
    <row r="125" spans="1:3" ht="19.5" hidden="1" x14ac:dyDescent="0.35">
      <c r="A125" s="5">
        <v>1994</v>
      </c>
      <c r="B125" s="6">
        <v>6.22</v>
      </c>
      <c r="C125" s="8">
        <v>-3.2051282051283E-3</v>
      </c>
    </row>
    <row r="126" spans="1:3" ht="19.5" hidden="1" x14ac:dyDescent="0.35">
      <c r="A126" s="5">
        <v>1995</v>
      </c>
      <c r="B126" s="6">
        <v>6.5</v>
      </c>
      <c r="C126" s="8">
        <v>4.5016077170418001E-2</v>
      </c>
    </row>
    <row r="127" spans="1:3" ht="19.5" hidden="1" x14ac:dyDescent="0.35">
      <c r="A127" s="5">
        <v>1996</v>
      </c>
      <c r="B127" s="6">
        <v>6.58</v>
      </c>
      <c r="C127" s="8">
        <v>1.23076923076924E-2</v>
      </c>
    </row>
    <row r="128" spans="1:3" ht="19.5" hidden="1" x14ac:dyDescent="0.35">
      <c r="A128" s="5">
        <v>1997</v>
      </c>
      <c r="B128" s="6">
        <v>6.35</v>
      </c>
      <c r="C128" s="8">
        <v>-3.4954407294832901E-2</v>
      </c>
    </row>
    <row r="129" spans="1:3" ht="19.5" hidden="1" x14ac:dyDescent="0.35">
      <c r="A129" s="5">
        <v>1998</v>
      </c>
      <c r="B129" s="6">
        <v>6.2</v>
      </c>
      <c r="C129" s="8">
        <v>-2.3622047244094401E-2</v>
      </c>
    </row>
    <row r="130" spans="1:3" ht="19.5" hidden="1" x14ac:dyDescent="0.35">
      <c r="A130" s="5">
        <v>1999</v>
      </c>
      <c r="B130" s="6">
        <v>6.25</v>
      </c>
      <c r="C130" s="8">
        <v>8.0645161290322509E-3</v>
      </c>
    </row>
    <row r="131" spans="1:3" ht="19.5" hidden="1" x14ac:dyDescent="0.35">
      <c r="A131" s="5">
        <v>2000</v>
      </c>
      <c r="B131" s="6">
        <v>6.15</v>
      </c>
      <c r="C131" s="8">
        <v>-1.59999999999999E-2</v>
      </c>
    </row>
    <row r="132" spans="1:3" ht="19.5" hidden="1" x14ac:dyDescent="0.35">
      <c r="A132" s="5">
        <v>2001</v>
      </c>
      <c r="B132" s="6">
        <v>6.19</v>
      </c>
      <c r="C132" s="8">
        <v>6.5040650406504906E-3</v>
      </c>
    </row>
    <row r="133" spans="1:3" ht="19.5" hidden="1" x14ac:dyDescent="0.35">
      <c r="A133" s="5">
        <v>2002</v>
      </c>
      <c r="B133" s="6">
        <v>6.01</v>
      </c>
      <c r="C133" s="8">
        <v>-2.9079159935379798E-2</v>
      </c>
    </row>
    <row r="134" spans="1:3" ht="19.5" hidden="1" x14ac:dyDescent="0.35">
      <c r="A134" s="5">
        <v>2003</v>
      </c>
      <c r="B134" s="6">
        <v>5.92</v>
      </c>
      <c r="C134" s="8">
        <v>-1.49750415973378E-2</v>
      </c>
    </row>
    <row r="135" spans="1:3" ht="19.5" hidden="1" x14ac:dyDescent="0.35">
      <c r="A135" s="5">
        <v>2004</v>
      </c>
      <c r="B135" s="6">
        <v>5.79</v>
      </c>
      <c r="C135" s="8">
        <v>-2.1959459459459398E-2</v>
      </c>
    </row>
    <row r="136" spans="1:3" ht="19.5" hidden="1" x14ac:dyDescent="0.35">
      <c r="A136" s="5">
        <v>2005</v>
      </c>
      <c r="B136" s="6">
        <v>5.78</v>
      </c>
      <c r="C136" s="8">
        <v>-1.7271157167529901E-3</v>
      </c>
    </row>
    <row r="137" spans="1:3" ht="19.5" hidden="1" x14ac:dyDescent="0.35">
      <c r="A137" s="5">
        <v>2006</v>
      </c>
      <c r="B137" s="6">
        <v>5.78</v>
      </c>
      <c r="C137" s="8">
        <v>0</v>
      </c>
    </row>
    <row r="138" spans="1:3" ht="19.5" hidden="1" x14ac:dyDescent="0.35">
      <c r="A138" s="5">
        <v>2007</v>
      </c>
      <c r="B138" s="6">
        <v>5.71</v>
      </c>
      <c r="C138" s="8">
        <v>-1.2110726643598699E-2</v>
      </c>
    </row>
    <row r="139" spans="1:3" ht="19.5" hidden="1" x14ac:dyDescent="0.35">
      <c r="A139" s="5">
        <v>2008</v>
      </c>
      <c r="B139" s="6">
        <v>5.68</v>
      </c>
      <c r="C139" s="8">
        <v>-5.2539404553415599E-3</v>
      </c>
    </row>
    <row r="140" spans="1:3" ht="19.5" hidden="1" x14ac:dyDescent="0.35">
      <c r="A140" s="5">
        <v>2009</v>
      </c>
      <c r="B140" s="6">
        <v>6</v>
      </c>
      <c r="C140" s="8">
        <v>5.6338028169014197E-2</v>
      </c>
    </row>
    <row r="141" spans="1:3" ht="19.5" hidden="1" x14ac:dyDescent="0.35">
      <c r="A141" s="5">
        <v>2010</v>
      </c>
      <c r="B141" s="6">
        <v>6.18</v>
      </c>
      <c r="C141" s="8">
        <v>0.03</v>
      </c>
    </row>
    <row r="142" spans="1:3" ht="19.5" hidden="1" x14ac:dyDescent="0.35">
      <c r="A142" s="5">
        <v>2011</v>
      </c>
      <c r="B142" s="6">
        <v>6.24</v>
      </c>
      <c r="C142" s="8">
        <v>9.7087378640776708E-3</v>
      </c>
    </row>
    <row r="143" spans="1:3" ht="19.5" hidden="1" x14ac:dyDescent="0.35">
      <c r="A143" s="5">
        <v>2012</v>
      </c>
      <c r="B143" s="6">
        <v>6.07</v>
      </c>
      <c r="C143" s="8">
        <v>-2.7243589743589799E-2</v>
      </c>
    </row>
    <row r="144" spans="1:3" ht="19.5" hidden="1" x14ac:dyDescent="0.35">
      <c r="A144" s="5">
        <v>2013</v>
      </c>
      <c r="B144" s="6">
        <v>5.81</v>
      </c>
      <c r="C144" s="8">
        <v>-4.2833607907743196E-2</v>
      </c>
    </row>
    <row r="145" spans="1:3" ht="19.5" hidden="1" x14ac:dyDescent="0.35">
      <c r="A145" s="5">
        <v>2014</v>
      </c>
      <c r="B145" s="6">
        <v>5.84</v>
      </c>
      <c r="C145" s="8">
        <v>5.16351118760761E-3</v>
      </c>
    </row>
    <row r="146" spans="1:3" ht="19.5" hidden="1" x14ac:dyDescent="0.35">
      <c r="A146" s="5">
        <v>2015</v>
      </c>
      <c r="B146" s="6">
        <v>5.81</v>
      </c>
      <c r="C146" s="8">
        <v>-5.1369863013699408E-3</v>
      </c>
    </row>
    <row r="147" spans="1:3" ht="19.5" hidden="1" x14ac:dyDescent="0.35">
      <c r="A147" s="5">
        <v>2016</v>
      </c>
      <c r="B147" s="6">
        <v>5.68</v>
      </c>
      <c r="C147" s="8">
        <v>-2.2375215146299501E-2</v>
      </c>
    </row>
    <row r="148" spans="1:3" ht="19.5" hidden="1" x14ac:dyDescent="0.35">
      <c r="A148" s="5">
        <v>2017</v>
      </c>
      <c r="B148" s="6">
        <v>5.75</v>
      </c>
      <c r="C148" s="8">
        <v>1.2323943661972E-2</v>
      </c>
    </row>
    <row r="149" spans="1:3" ht="19.5" hidden="1" x14ac:dyDescent="0.35">
      <c r="A149" s="5">
        <v>2018</v>
      </c>
      <c r="B149" s="6">
        <v>5.87</v>
      </c>
      <c r="C149" s="8">
        <v>2.08695652173914E-2</v>
      </c>
    </row>
    <row r="150" spans="1:3" ht="19.5" hidden="1" x14ac:dyDescent="0.35">
      <c r="A150" s="5">
        <v>2019</v>
      </c>
      <c r="B150" s="6">
        <v>5.77</v>
      </c>
      <c r="C150" s="8">
        <v>-1.70357751277684E-2</v>
      </c>
    </row>
    <row r="151" spans="1:3" ht="19.5" hidden="1" x14ac:dyDescent="0.35">
      <c r="A151" s="5">
        <v>2020</v>
      </c>
      <c r="B151" s="6">
        <v>5.82</v>
      </c>
      <c r="C151" s="8">
        <v>8.6655112651647902E-3</v>
      </c>
    </row>
    <row r="152" spans="1:3" ht="19.5" hidden="1" x14ac:dyDescent="0.35">
      <c r="A152" s="5">
        <v>2021</v>
      </c>
      <c r="B152" s="6">
        <v>5.73</v>
      </c>
      <c r="C152" s="8">
        <v>-1.5463917525773099E-2</v>
      </c>
    </row>
    <row r="153" spans="1:3" ht="19.5" hidden="1" x14ac:dyDescent="0.35">
      <c r="A153" s="5">
        <v>2022</v>
      </c>
      <c r="B153" s="6">
        <v>5.47</v>
      </c>
      <c r="C153" s="8">
        <v>-4.5375218150087396E-2</v>
      </c>
    </row>
    <row r="154" spans="1:3" ht="19.5" hidden="1" x14ac:dyDescent="0.35">
      <c r="A154" s="5">
        <v>2023</v>
      </c>
      <c r="B154" s="6">
        <v>5.53</v>
      </c>
      <c r="C154" s="8">
        <v>1.09689213893969E-2</v>
      </c>
    </row>
    <row r="155" spans="1:3" ht="19.5" hidden="1" x14ac:dyDescent="0.35">
      <c r="A155" s="5">
        <v>2024</v>
      </c>
      <c r="B155" s="6">
        <v>5.38</v>
      </c>
      <c r="C155" s="8">
        <v>-2.7124773960217098E-2</v>
      </c>
    </row>
    <row r="156" spans="1:3" ht="19.5" hidden="1" x14ac:dyDescent="0.35">
      <c r="A156" s="5">
        <v>2025</v>
      </c>
      <c r="B156" s="6">
        <v>5.46</v>
      </c>
      <c r="C156" s="8">
        <v>1.48698884758365E-2</v>
      </c>
    </row>
    <row r="157" spans="1:3" ht="19.5" hidden="1" x14ac:dyDescent="0.35">
      <c r="A157" s="5">
        <v>2026</v>
      </c>
      <c r="B157" s="6">
        <v>5.34</v>
      </c>
      <c r="C157" s="8">
        <v>-2.1978021978022001E-2</v>
      </c>
    </row>
    <row r="158" spans="1:3" ht="19.5" hidden="1" x14ac:dyDescent="0.35">
      <c r="A158" s="5">
        <v>2027</v>
      </c>
      <c r="B158" s="6">
        <v>5.18</v>
      </c>
      <c r="C158" s="8">
        <v>-2.9962546816479498E-2</v>
      </c>
    </row>
    <row r="159" spans="1:3" ht="19.5" hidden="1" x14ac:dyDescent="0.35">
      <c r="A159" s="5">
        <v>2028</v>
      </c>
      <c r="B159" s="6">
        <v>5.32</v>
      </c>
      <c r="C159" s="8">
        <v>2.7027027027027199E-2</v>
      </c>
    </row>
    <row r="160" spans="1:3" ht="19.5" hidden="1" x14ac:dyDescent="0.35">
      <c r="A160" s="5">
        <v>2029</v>
      </c>
      <c r="B160" s="6">
        <v>5.3</v>
      </c>
      <c r="C160" s="8">
        <v>-3.7593984962407401E-3</v>
      </c>
    </row>
    <row r="161" spans="1:3" ht="19.5" hidden="1" x14ac:dyDescent="0.35">
      <c r="A161" s="5">
        <v>2030</v>
      </c>
      <c r="B161" s="6">
        <v>5.0599999999999996</v>
      </c>
      <c r="C161" s="8">
        <v>-4.5283018867924497E-2</v>
      </c>
    </row>
    <row r="162" spans="1:3" ht="19.5" x14ac:dyDescent="0.35">
      <c r="A162" s="5">
        <v>2031</v>
      </c>
      <c r="B162" s="6">
        <v>4.6500000000000004</v>
      </c>
      <c r="C162" s="8">
        <v>-8.1027667984189602E-2</v>
      </c>
    </row>
    <row r="163" spans="1:3" ht="19.5" hidden="1" x14ac:dyDescent="0.35">
      <c r="A163" s="5">
        <v>2032</v>
      </c>
      <c r="B163" s="6">
        <v>4.46</v>
      </c>
      <c r="C163" s="8">
        <v>-4.0860215053763499E-2</v>
      </c>
    </row>
    <row r="164" spans="1:3" ht="19.5" hidden="1" x14ac:dyDescent="0.35">
      <c r="A164" s="5">
        <v>2033</v>
      </c>
      <c r="B164" s="6">
        <v>4.46</v>
      </c>
      <c r="C164" s="8">
        <v>0</v>
      </c>
    </row>
    <row r="165" spans="1:3" ht="19.5" hidden="1" x14ac:dyDescent="0.35">
      <c r="A165" s="5">
        <v>2034</v>
      </c>
      <c r="B165" s="6">
        <v>4.74</v>
      </c>
      <c r="C165" s="8">
        <v>6.2780269058295896E-2</v>
      </c>
    </row>
    <row r="166" spans="1:3" ht="19.5" hidden="1" x14ac:dyDescent="0.35">
      <c r="A166" s="5">
        <v>2035</v>
      </c>
      <c r="B166" s="6">
        <v>4.59</v>
      </c>
      <c r="C166" s="8">
        <v>-3.1645569620253201E-2</v>
      </c>
    </row>
    <row r="167" spans="1:3" ht="19.5" hidden="1" x14ac:dyDescent="0.35">
      <c r="A167" s="5">
        <v>2036</v>
      </c>
      <c r="B167" s="6">
        <v>4.4400000000000004</v>
      </c>
      <c r="C167" s="8">
        <v>-3.2679738562091401E-2</v>
      </c>
    </row>
    <row r="168" spans="1:3" ht="19.5" hidden="1" x14ac:dyDescent="0.35">
      <c r="A168" s="5">
        <v>2037</v>
      </c>
      <c r="B168" s="6">
        <v>4.3499999999999996</v>
      </c>
      <c r="C168" s="8">
        <v>-2.02702702702704E-2</v>
      </c>
    </row>
    <row r="169" spans="1:3" ht="19.5" hidden="1" x14ac:dyDescent="0.35">
      <c r="A169" s="5">
        <v>2038</v>
      </c>
      <c r="B169" s="6">
        <v>4.34</v>
      </c>
      <c r="C169" s="8">
        <v>-2.2988505747125704E-3</v>
      </c>
    </row>
    <row r="170" spans="1:3" ht="19.5" hidden="1" x14ac:dyDescent="0.35">
      <c r="A170" s="5">
        <v>2039</v>
      </c>
      <c r="B170" s="6">
        <v>4.24</v>
      </c>
      <c r="C170" s="8">
        <v>-2.3041474654377801E-2</v>
      </c>
    </row>
    <row r="171" spans="1:3" ht="19.5" hidden="1" x14ac:dyDescent="0.35">
      <c r="A171" s="5">
        <v>2040</v>
      </c>
      <c r="B171" s="6">
        <v>4.37</v>
      </c>
      <c r="C171" s="8">
        <v>3.0660377358490601E-2</v>
      </c>
    </row>
    <row r="172" spans="1:3" ht="19.5" hidden="1" x14ac:dyDescent="0.35">
      <c r="A172" s="5">
        <v>2041</v>
      </c>
      <c r="B172" s="6">
        <v>4.38</v>
      </c>
      <c r="C172" s="8">
        <v>2.2883295194506804E-3</v>
      </c>
    </row>
    <row r="173" spans="1:3" ht="19.5" hidden="1" x14ac:dyDescent="0.35">
      <c r="A173" s="5">
        <v>2042</v>
      </c>
      <c r="B173" s="6">
        <v>4.37</v>
      </c>
      <c r="C173" s="8">
        <v>-2.2831050228310202E-3</v>
      </c>
    </row>
    <row r="174" spans="1:3" ht="19.5" hidden="1" x14ac:dyDescent="0.35">
      <c r="A174" s="5">
        <v>2043</v>
      </c>
      <c r="B174" s="6">
        <v>4.32</v>
      </c>
      <c r="C174" s="8">
        <v>-1.1441647597254001E-2</v>
      </c>
    </row>
    <row r="175" spans="1:3" ht="19.5" hidden="1" x14ac:dyDescent="0.35">
      <c r="A175" s="5">
        <v>2044</v>
      </c>
      <c r="B175" s="6">
        <v>4.3</v>
      </c>
      <c r="C175" s="8">
        <v>-4.6296296296297603E-3</v>
      </c>
    </row>
    <row r="176" spans="1:3" ht="19.5" hidden="1" x14ac:dyDescent="0.35">
      <c r="A176" s="5">
        <v>2045</v>
      </c>
      <c r="B176" s="6">
        <v>4.46</v>
      </c>
      <c r="C176" s="8">
        <v>3.7209302325581499E-2</v>
      </c>
    </row>
    <row r="177" spans="1:3" ht="19.5" hidden="1" x14ac:dyDescent="0.35">
      <c r="A177" s="5">
        <v>2046</v>
      </c>
      <c r="B177" s="6">
        <v>4.71</v>
      </c>
      <c r="C177" s="8">
        <v>5.6053811659192897E-2</v>
      </c>
    </row>
    <row r="178" spans="1:3" ht="19.5" hidden="1" x14ac:dyDescent="0.35">
      <c r="A178" s="5">
        <v>2047</v>
      </c>
      <c r="B178" s="6">
        <v>4.6500000000000004</v>
      </c>
      <c r="C178" s="8">
        <v>-1.27388535031846E-2</v>
      </c>
    </row>
    <row r="179" spans="1:3" ht="19.5" hidden="1" x14ac:dyDescent="0.35">
      <c r="A179" s="5">
        <v>2048</v>
      </c>
      <c r="B179" s="6">
        <v>4.92</v>
      </c>
      <c r="C179" s="8">
        <v>5.8064516129032101E-2</v>
      </c>
    </row>
    <row r="180" spans="1:3" ht="19.5" hidden="1" x14ac:dyDescent="0.35">
      <c r="A180" s="5">
        <v>2049</v>
      </c>
      <c r="B180" s="6">
        <v>5.24</v>
      </c>
      <c r="C180" s="8">
        <v>6.5040650406504197E-2</v>
      </c>
    </row>
    <row r="181" spans="1:3" ht="19.5" hidden="1" x14ac:dyDescent="0.35">
      <c r="A181" s="5">
        <v>2050</v>
      </c>
      <c r="B181" s="6">
        <v>5.2</v>
      </c>
      <c r="C181" s="8">
        <v>-7.6335877862595608E-3</v>
      </c>
    </row>
    <row r="182" spans="1:3" ht="19.5" hidden="1" x14ac:dyDescent="0.35">
      <c r="A182" s="5">
        <v>2051</v>
      </c>
      <c r="B182" s="6">
        <v>5.2</v>
      </c>
      <c r="C182" s="8">
        <v>0</v>
      </c>
    </row>
    <row r="183" spans="1:3" ht="19.5" hidden="1" x14ac:dyDescent="0.35">
      <c r="A183" s="5">
        <v>2052</v>
      </c>
      <c r="B183" s="6">
        <v>5.3</v>
      </c>
      <c r="C183" s="8">
        <v>1.9230769230769201E-2</v>
      </c>
    </row>
    <row r="184" spans="1:3" ht="19.5" hidden="1" x14ac:dyDescent="0.35">
      <c r="A184" s="5">
        <v>2053</v>
      </c>
      <c r="B184" s="6">
        <v>5.19</v>
      </c>
      <c r="C184" s="8">
        <v>-2.0754716981132001E-2</v>
      </c>
    </row>
    <row r="185" spans="1:3" ht="19.5" hidden="1" x14ac:dyDescent="0.35">
      <c r="A185" s="5">
        <v>2054</v>
      </c>
      <c r="B185" s="6">
        <v>5.12</v>
      </c>
      <c r="C185" s="8">
        <v>-1.34874759152216E-2</v>
      </c>
    </row>
    <row r="186" spans="1:3" ht="19.5" hidden="1" x14ac:dyDescent="0.35">
      <c r="A186" s="5">
        <v>2055</v>
      </c>
      <c r="B186" s="6">
        <v>5.0199999999999996</v>
      </c>
      <c r="C186" s="8">
        <v>-1.9531250000000101E-2</v>
      </c>
    </row>
    <row r="187" spans="1:3" ht="19.5" hidden="1" x14ac:dyDescent="0.35">
      <c r="A187" s="5">
        <v>2056</v>
      </c>
      <c r="B187" s="6">
        <v>5.25</v>
      </c>
      <c r="C187" s="8">
        <v>4.58167330677293E-2</v>
      </c>
    </row>
    <row r="188" spans="1:3" ht="19.5" hidden="1" x14ac:dyDescent="0.35">
      <c r="A188" s="5">
        <v>2057</v>
      </c>
      <c r="B188" s="6">
        <v>5.33</v>
      </c>
      <c r="C188" s="8">
        <v>1.5238095238095301E-2</v>
      </c>
    </row>
    <row r="189" spans="1:3" ht="19.5" hidden="1" x14ac:dyDescent="0.35">
      <c r="A189" s="5">
        <v>2058</v>
      </c>
      <c r="B189" s="6">
        <v>5.37</v>
      </c>
      <c r="C189" s="8">
        <v>7.5046904315196903E-3</v>
      </c>
    </row>
    <row r="190" spans="1:3" ht="19.5" hidden="1" x14ac:dyDescent="0.35">
      <c r="A190" s="5">
        <v>2059</v>
      </c>
      <c r="B190" s="6">
        <v>5.51</v>
      </c>
      <c r="C190" s="8">
        <v>2.6070763500931002E-2</v>
      </c>
    </row>
    <row r="191" spans="1:3" ht="19.5" hidden="1" x14ac:dyDescent="0.35">
      <c r="A191" s="5">
        <v>2060</v>
      </c>
      <c r="B191" s="6">
        <v>5.65</v>
      </c>
      <c r="C191" s="8">
        <v>2.5408348457350398E-2</v>
      </c>
    </row>
    <row r="192" spans="1:3" ht="19.5" hidden="1" x14ac:dyDescent="0.35">
      <c r="A192" s="5">
        <v>2061</v>
      </c>
      <c r="B192" s="6">
        <v>5.79</v>
      </c>
      <c r="C192" s="8">
        <v>2.4778761061946798E-2</v>
      </c>
    </row>
    <row r="193" spans="1:3" ht="19.5" hidden="1" x14ac:dyDescent="0.35">
      <c r="A193" s="5">
        <v>2062</v>
      </c>
      <c r="B193" s="6">
        <v>5.64</v>
      </c>
      <c r="C193" s="8">
        <v>-2.5906735751295401E-2</v>
      </c>
    </row>
    <row r="194" spans="1:3" ht="19.5" hidden="1" x14ac:dyDescent="0.35">
      <c r="A194" s="5">
        <v>2063</v>
      </c>
      <c r="B194" s="6">
        <v>5.58</v>
      </c>
      <c r="C194" s="8">
        <v>-1.0638297872340399E-2</v>
      </c>
    </row>
    <row r="195" spans="1:3" ht="19.5" hidden="1" x14ac:dyDescent="0.35">
      <c r="A195" s="5">
        <v>2064</v>
      </c>
      <c r="B195" s="6">
        <v>5.54</v>
      </c>
      <c r="C195" s="8">
        <v>-7.1684587813619603E-3</v>
      </c>
    </row>
    <row r="196" spans="1:3" ht="19.5" hidden="1" x14ac:dyDescent="0.35">
      <c r="A196" s="5">
        <v>2065</v>
      </c>
      <c r="B196" s="6">
        <v>5.67</v>
      </c>
      <c r="C196" s="8">
        <v>2.3465703971119002E-2</v>
      </c>
    </row>
    <row r="197" spans="1:3" ht="19.5" hidden="1" x14ac:dyDescent="0.35">
      <c r="A197" s="5">
        <v>2066</v>
      </c>
      <c r="B197" s="6">
        <v>5.8</v>
      </c>
      <c r="C197" s="8">
        <v>2.2927689594356201E-2</v>
      </c>
    </row>
    <row r="198" spans="1:3" ht="19.5" hidden="1" x14ac:dyDescent="0.35">
      <c r="A198" s="5">
        <v>2067</v>
      </c>
      <c r="B198" s="6">
        <v>5.9</v>
      </c>
      <c r="C198" s="8">
        <v>1.7241379310345001E-2</v>
      </c>
    </row>
    <row r="199" spans="1:3" ht="19.5" hidden="1" x14ac:dyDescent="0.35">
      <c r="A199" s="5">
        <v>2068</v>
      </c>
      <c r="B199" s="6">
        <v>5.73</v>
      </c>
      <c r="C199" s="8">
        <v>-2.8813559322033899E-2</v>
      </c>
    </row>
    <row r="200" spans="1:3" ht="19.5" hidden="1" x14ac:dyDescent="0.35">
      <c r="A200" s="5">
        <v>2069</v>
      </c>
      <c r="B200" s="6">
        <v>5.59</v>
      </c>
      <c r="C200" s="8">
        <v>-2.4432809773124002E-2</v>
      </c>
    </row>
    <row r="201" spans="1:3" ht="19.5" hidden="1" x14ac:dyDescent="0.35">
      <c r="A201" s="5">
        <v>2070</v>
      </c>
      <c r="B201" s="6">
        <v>5.45</v>
      </c>
      <c r="C201" s="8">
        <v>-2.50447227191413E-2</v>
      </c>
    </row>
    <row r="202" spans="1:3" ht="19.5" hidden="1" x14ac:dyDescent="0.35">
      <c r="A202" s="5">
        <v>2071</v>
      </c>
      <c r="B202" s="6">
        <v>5.38</v>
      </c>
      <c r="C202" s="8">
        <v>-1.2844036697247799E-2</v>
      </c>
    </row>
    <row r="203" spans="1:3" ht="19.5" hidden="1" x14ac:dyDescent="0.35">
      <c r="A203" s="5">
        <v>2072</v>
      </c>
      <c r="B203" s="6">
        <v>5.2</v>
      </c>
      <c r="C203" s="8">
        <v>-3.3457249070632002E-2</v>
      </c>
    </row>
    <row r="204" spans="1:3" ht="19.5" hidden="1" x14ac:dyDescent="0.35">
      <c r="A204" s="5">
        <v>2073</v>
      </c>
      <c r="B204" s="6">
        <v>5.3</v>
      </c>
      <c r="C204" s="8">
        <v>1.9230769230769201E-2</v>
      </c>
    </row>
    <row r="205" spans="1:3" ht="19.5" hidden="1" x14ac:dyDescent="0.35">
      <c r="A205" s="5">
        <v>2074</v>
      </c>
      <c r="B205" s="6">
        <v>5.27</v>
      </c>
      <c r="C205" s="8">
        <v>-5.66037735849057E-3</v>
      </c>
    </row>
    <row r="206" spans="1:3" ht="19.5" hidden="1" x14ac:dyDescent="0.35">
      <c r="A206" s="5">
        <v>2075</v>
      </c>
      <c r="B206" s="6">
        <v>5.31</v>
      </c>
      <c r="C206" s="8">
        <v>7.5901328273244601E-3</v>
      </c>
    </row>
    <row r="207" spans="1:3" ht="19.5" hidden="1" x14ac:dyDescent="0.35">
      <c r="A207" s="5">
        <v>2076</v>
      </c>
      <c r="B207" s="6">
        <v>5.28</v>
      </c>
      <c r="C207" s="8">
        <v>-5.6497175141241307E-3</v>
      </c>
    </row>
    <row r="208" spans="1:3" ht="19.5" hidden="1" x14ac:dyDescent="0.35">
      <c r="A208" s="5">
        <v>2077</v>
      </c>
      <c r="B208" s="6">
        <v>5.08</v>
      </c>
      <c r="C208" s="8">
        <v>-3.7878787878788005E-2</v>
      </c>
    </row>
    <row r="209" spans="1:3" ht="19.5" hidden="1" x14ac:dyDescent="0.35">
      <c r="A209" s="5">
        <v>2078</v>
      </c>
      <c r="B209" s="6">
        <v>5.0999999999999996</v>
      </c>
      <c r="C209" s="8">
        <v>3.9370078740157402E-3</v>
      </c>
    </row>
    <row r="210" spans="1:3" ht="19.5" hidden="1" x14ac:dyDescent="0.35">
      <c r="A210" s="5">
        <v>2079</v>
      </c>
      <c r="B210" s="6">
        <v>5.17</v>
      </c>
      <c r="C210" s="8">
        <v>1.37254901960784E-2</v>
      </c>
    </row>
    <row r="211" spans="1:3" ht="19.5" hidden="1" x14ac:dyDescent="0.35">
      <c r="A211" s="5">
        <v>2080</v>
      </c>
      <c r="B211" s="6">
        <v>5.01</v>
      </c>
      <c r="C211" s="8">
        <v>-3.09477756286267E-2</v>
      </c>
    </row>
    <row r="212" spans="1:3" ht="19.5" hidden="1" x14ac:dyDescent="0.35">
      <c r="A212" s="5">
        <v>2081</v>
      </c>
      <c r="B212" s="6">
        <v>5.14</v>
      </c>
      <c r="C212" s="8">
        <v>2.59481037924152E-2</v>
      </c>
    </row>
    <row r="213" spans="1:3" ht="19.5" hidden="1" x14ac:dyDescent="0.35">
      <c r="A213" s="5">
        <v>2082</v>
      </c>
      <c r="B213" s="6">
        <v>5.25</v>
      </c>
      <c r="C213" s="8">
        <v>2.1400778210116898E-2</v>
      </c>
    </row>
    <row r="214" spans="1:3" ht="19.5" hidden="1" x14ac:dyDescent="0.35">
      <c r="A214" s="5">
        <v>2083</v>
      </c>
      <c r="B214" s="6">
        <v>5.38</v>
      </c>
      <c r="C214" s="8">
        <v>2.4761904761904801E-2</v>
      </c>
    </row>
    <row r="215" spans="1:3" ht="19.5" hidden="1" x14ac:dyDescent="0.35">
      <c r="A215" s="5">
        <v>2084</v>
      </c>
      <c r="B215" s="6">
        <v>5.35</v>
      </c>
      <c r="C215" s="8">
        <v>-5.5762081784387404E-3</v>
      </c>
    </row>
    <row r="216" spans="1:3" ht="19.5" hidden="1" x14ac:dyDescent="0.35">
      <c r="A216" s="5">
        <v>2085</v>
      </c>
      <c r="B216" s="6">
        <v>5.24</v>
      </c>
      <c r="C216" s="8">
        <v>-2.0560747663551298E-2</v>
      </c>
    </row>
    <row r="217" spans="1:3" ht="19.5" hidden="1" x14ac:dyDescent="0.35">
      <c r="A217" s="5">
        <v>2086</v>
      </c>
      <c r="B217" s="6">
        <v>5.14</v>
      </c>
      <c r="C217" s="8">
        <v>-1.9083969465648901E-2</v>
      </c>
    </row>
    <row r="218" spans="1:3" ht="19.5" hidden="1" x14ac:dyDescent="0.35">
      <c r="A218" s="5">
        <v>2087</v>
      </c>
      <c r="B218" s="6">
        <v>5.24</v>
      </c>
      <c r="C218" s="8">
        <v>1.9455252918288101E-2</v>
      </c>
    </row>
    <row r="219" spans="1:3" ht="19.5" hidden="1" x14ac:dyDescent="0.35">
      <c r="A219" s="5">
        <v>2088</v>
      </c>
      <c r="B219" s="6">
        <v>5.3</v>
      </c>
      <c r="C219" s="8">
        <v>1.14503816793892E-2</v>
      </c>
    </row>
    <row r="220" spans="1:3" ht="19.5" hidden="1" x14ac:dyDescent="0.35">
      <c r="A220" s="5">
        <v>2089</v>
      </c>
      <c r="B220" s="6">
        <v>5.19</v>
      </c>
      <c r="C220" s="8">
        <v>-2.0754716981132001E-2</v>
      </c>
    </row>
    <row r="221" spans="1:3" ht="19.5" hidden="1" x14ac:dyDescent="0.35">
      <c r="A221" s="5">
        <v>2090</v>
      </c>
      <c r="B221" s="6">
        <v>5.18</v>
      </c>
      <c r="C221" s="8">
        <v>-1.9267822736032101E-3</v>
      </c>
    </row>
    <row r="222" spans="1:3" ht="19.5" hidden="1" x14ac:dyDescent="0.35">
      <c r="A222" s="5">
        <v>2091</v>
      </c>
      <c r="B222" s="6">
        <v>5.32</v>
      </c>
      <c r="C222" s="8">
        <v>2.7027027027027199E-2</v>
      </c>
    </row>
    <row r="223" spans="1:3" ht="19.5" hidden="1" x14ac:dyDescent="0.35">
      <c r="A223" s="5">
        <v>2092</v>
      </c>
      <c r="B223" s="6">
        <v>5.41</v>
      </c>
      <c r="C223" s="8">
        <v>1.69172932330828E-2</v>
      </c>
    </row>
    <row r="224" spans="1:3" ht="19.5" hidden="1" x14ac:dyDescent="0.35">
      <c r="A224" s="5">
        <v>2093</v>
      </c>
      <c r="B224" s="6">
        <v>5.3</v>
      </c>
      <c r="C224" s="8">
        <v>-2.0332717190388198E-2</v>
      </c>
    </row>
    <row r="225" spans="1:3" ht="19.5" hidden="1" x14ac:dyDescent="0.35">
      <c r="A225" s="5">
        <v>2094</v>
      </c>
      <c r="B225" s="6">
        <v>5.37</v>
      </c>
      <c r="C225" s="8">
        <v>1.3207547169811399E-2</v>
      </c>
    </row>
    <row r="226" spans="1:3" ht="19.5" hidden="1" x14ac:dyDescent="0.35">
      <c r="A226" s="5">
        <v>2095</v>
      </c>
      <c r="B226" s="6">
        <v>5.5</v>
      </c>
      <c r="C226" s="8">
        <v>2.4208566108007399E-2</v>
      </c>
    </row>
    <row r="227" spans="1:3" ht="19.5" hidden="1" x14ac:dyDescent="0.35">
      <c r="A227" s="5">
        <v>2096</v>
      </c>
      <c r="B227" s="6">
        <v>5.4</v>
      </c>
      <c r="C227" s="8">
        <v>-1.8181818181818101E-2</v>
      </c>
    </row>
    <row r="228" spans="1:3" ht="19.5" hidden="1" x14ac:dyDescent="0.35">
      <c r="A228" s="5">
        <v>2097</v>
      </c>
      <c r="B228" s="6">
        <v>5.35</v>
      </c>
      <c r="C228" s="8">
        <v>-9.2592592592594114E-3</v>
      </c>
    </row>
    <row r="229" spans="1:3" ht="19.5" hidden="1" x14ac:dyDescent="0.35">
      <c r="A229" s="5">
        <v>2098</v>
      </c>
      <c r="B229" s="6">
        <v>5.32</v>
      </c>
      <c r="C229" s="8">
        <v>-5.6074766355138604E-3</v>
      </c>
    </row>
    <row r="230" spans="1:3" ht="19.5" hidden="1" x14ac:dyDescent="0.35">
      <c r="A230" s="5">
        <v>2099</v>
      </c>
      <c r="B230" s="6">
        <v>5.38</v>
      </c>
      <c r="C230" s="8">
        <v>1.12781954887218E-2</v>
      </c>
    </row>
    <row r="231" spans="1:3" ht="19.5" hidden="1" x14ac:dyDescent="0.35">
      <c r="A231" s="5">
        <v>2100</v>
      </c>
      <c r="B231" s="6">
        <v>5.32</v>
      </c>
      <c r="C231" s="8">
        <v>-1.11524163568772E-2</v>
      </c>
    </row>
    <row r="232" spans="1:3" ht="19.5" hidden="1" x14ac:dyDescent="0.35">
      <c r="A232" s="5">
        <v>2101</v>
      </c>
      <c r="B232" s="6">
        <v>5.28</v>
      </c>
      <c r="C232" s="8">
        <v>-7.5187969924812607E-3</v>
      </c>
    </row>
    <row r="233" spans="1:3" ht="19.5" hidden="1" x14ac:dyDescent="0.35">
      <c r="A233" s="5">
        <v>2102</v>
      </c>
      <c r="B233" s="6">
        <v>5.39</v>
      </c>
      <c r="C233" s="8">
        <v>2.0833333333333301E-2</v>
      </c>
    </row>
    <row r="234" spans="1:3" ht="19.5" hidden="1" x14ac:dyDescent="0.35">
      <c r="A234" s="5">
        <v>2103</v>
      </c>
      <c r="B234" s="6">
        <v>5.62</v>
      </c>
      <c r="C234" s="8">
        <v>4.2671614100185697E-2</v>
      </c>
    </row>
    <row r="235" spans="1:3" ht="19.5" hidden="1" x14ac:dyDescent="0.35">
      <c r="A235" s="5">
        <v>2104</v>
      </c>
      <c r="B235" s="6">
        <v>5.58</v>
      </c>
      <c r="C235" s="8">
        <v>-7.1174377224199102E-3</v>
      </c>
    </row>
    <row r="236" spans="1:3" ht="19.5" hidden="1" x14ac:dyDescent="0.35">
      <c r="A236" s="5">
        <v>2105</v>
      </c>
      <c r="B236" s="6">
        <v>5.54</v>
      </c>
      <c r="C236" s="8">
        <v>-7.1684587813619603E-3</v>
      </c>
    </row>
    <row r="237" spans="1:3" ht="19.5" hidden="1" x14ac:dyDescent="0.35">
      <c r="A237" s="5">
        <v>2106</v>
      </c>
      <c r="B237" s="6">
        <v>5.41</v>
      </c>
      <c r="C237" s="8">
        <v>-2.3465703971119099E-2</v>
      </c>
    </row>
    <row r="238" spans="1:3" ht="19.5" hidden="1" x14ac:dyDescent="0.35">
      <c r="A238" s="5">
        <v>2107</v>
      </c>
      <c r="B238" s="6">
        <v>5.32</v>
      </c>
      <c r="C238" s="8">
        <v>-1.6635859519408498E-2</v>
      </c>
    </row>
    <row r="239" spans="1:3" ht="19.5" hidden="1" x14ac:dyDescent="0.35">
      <c r="A239" s="5">
        <v>2108</v>
      </c>
      <c r="B239" s="6">
        <v>5.08</v>
      </c>
      <c r="C239" s="8">
        <v>-4.5112781954887202E-2</v>
      </c>
    </row>
    <row r="240" spans="1:3" ht="19.5" x14ac:dyDescent="0.35">
      <c r="A240" s="5">
        <v>2109</v>
      </c>
      <c r="B240" s="6">
        <v>4.71</v>
      </c>
      <c r="C240" s="8">
        <v>-7.2834645669291292E-2</v>
      </c>
    </row>
    <row r="241" spans="1:3" ht="19.5" hidden="1" x14ac:dyDescent="0.35">
      <c r="A241" s="5">
        <v>2110</v>
      </c>
      <c r="B241" s="6">
        <v>4.5999999999999996</v>
      </c>
      <c r="C241" s="8">
        <v>-2.3354564755838698E-2</v>
      </c>
    </row>
    <row r="242" spans="1:3" ht="19.5" hidden="1" x14ac:dyDescent="0.35">
      <c r="A242" s="5">
        <v>2111</v>
      </c>
      <c r="B242" s="6">
        <v>4.84</v>
      </c>
      <c r="C242" s="8">
        <v>5.2173913043478397E-2</v>
      </c>
    </row>
    <row r="243" spans="1:3" ht="19.5" hidden="1" x14ac:dyDescent="0.35">
      <c r="A243" s="5">
        <v>2112</v>
      </c>
      <c r="B243" s="6">
        <v>4.9000000000000004</v>
      </c>
      <c r="C243" s="8">
        <v>1.2396694214876099E-2</v>
      </c>
    </row>
    <row r="244" spans="1:3" ht="19.5" hidden="1" x14ac:dyDescent="0.35">
      <c r="A244" s="5">
        <v>2113</v>
      </c>
      <c r="B244" s="6">
        <v>4.8100000000000005</v>
      </c>
      <c r="C244" s="8">
        <v>-1.8367346938775599E-2</v>
      </c>
    </row>
    <row r="245" spans="1:3" ht="19.5" hidden="1" x14ac:dyDescent="0.35">
      <c r="A245" s="5">
        <v>2114</v>
      </c>
      <c r="B245" s="6">
        <v>4.97</v>
      </c>
      <c r="C245" s="8">
        <v>3.3264033264033301E-2</v>
      </c>
    </row>
    <row r="246" spans="1:3" ht="19.5" hidden="1" x14ac:dyDescent="0.35">
      <c r="A246" s="5">
        <v>2115</v>
      </c>
      <c r="B246" s="6">
        <v>4.95</v>
      </c>
      <c r="C246" s="8">
        <v>-4.0241448692152106E-3</v>
      </c>
    </row>
    <row r="247" spans="1:3" ht="19.5" hidden="1" x14ac:dyDescent="0.35">
      <c r="A247" s="5">
        <v>2116</v>
      </c>
      <c r="B247" s="6">
        <v>4.8499999999999996</v>
      </c>
      <c r="C247" s="8">
        <v>-2.0202020202020301E-2</v>
      </c>
    </row>
    <row r="248" spans="1:3" ht="19.5" hidden="1" x14ac:dyDescent="0.35">
      <c r="A248" s="5">
        <v>2117</v>
      </c>
      <c r="B248" s="6">
        <v>4.7699999999999996</v>
      </c>
      <c r="C248" s="8">
        <v>-1.6494845360824798E-2</v>
      </c>
    </row>
    <row r="249" spans="1:3" ht="19.5" hidden="1" x14ac:dyDescent="0.35">
      <c r="A249" s="5">
        <v>2118</v>
      </c>
      <c r="B249" s="6">
        <v>4.93</v>
      </c>
      <c r="C249" s="8">
        <v>3.3542976939203502E-2</v>
      </c>
    </row>
    <row r="250" spans="1:3" ht="19.5" hidden="1" x14ac:dyDescent="0.35">
      <c r="A250" s="5">
        <v>2119</v>
      </c>
      <c r="B250" s="6">
        <v>5.33</v>
      </c>
      <c r="C250" s="8">
        <v>8.1135902636916904E-2</v>
      </c>
    </row>
    <row r="251" spans="1:3" ht="19.5" hidden="1" x14ac:dyDescent="0.35">
      <c r="A251" s="5">
        <v>2120</v>
      </c>
      <c r="B251" s="6">
        <v>5.33</v>
      </c>
      <c r="C251" s="8">
        <v>0</v>
      </c>
    </row>
    <row r="252" spans="1:3" ht="19.5" hidden="1" x14ac:dyDescent="0.35">
      <c r="A252" s="5">
        <v>2121</v>
      </c>
      <c r="B252" s="6">
        <v>5.25</v>
      </c>
      <c r="C252" s="8">
        <v>-1.50093808630394E-2</v>
      </c>
    </row>
    <row r="253" spans="1:3" ht="19.5" hidden="1" x14ac:dyDescent="0.35">
      <c r="A253" s="5">
        <v>2122</v>
      </c>
      <c r="B253" s="6">
        <v>5.41</v>
      </c>
      <c r="C253" s="8">
        <v>3.04761904761905E-2</v>
      </c>
    </row>
    <row r="254" spans="1:3" ht="19.5" hidden="1" x14ac:dyDescent="0.35">
      <c r="A254" s="5">
        <v>2123</v>
      </c>
      <c r="B254" s="6">
        <v>5.51</v>
      </c>
      <c r="C254" s="8">
        <v>1.84842883548983E-2</v>
      </c>
    </row>
    <row r="255" spans="1:3" ht="19.5" hidden="1" x14ac:dyDescent="0.35">
      <c r="A255" s="5">
        <v>2124</v>
      </c>
      <c r="B255" s="6">
        <v>5.52</v>
      </c>
      <c r="C255" s="8">
        <v>1.81488203266778E-3</v>
      </c>
    </row>
    <row r="256" spans="1:3" ht="19.5" hidden="1" x14ac:dyDescent="0.35">
      <c r="A256" s="5">
        <v>2125</v>
      </c>
      <c r="B256" s="6">
        <v>5.58</v>
      </c>
      <c r="C256" s="8">
        <v>1.0869565217391399E-2</v>
      </c>
    </row>
    <row r="257" spans="1:3" ht="19.5" hidden="1" x14ac:dyDescent="0.35">
      <c r="A257" s="5">
        <v>2126</v>
      </c>
      <c r="B257" s="6">
        <v>5.57</v>
      </c>
      <c r="C257" s="8">
        <v>-1.7921146953404602E-3</v>
      </c>
    </row>
    <row r="258" spans="1:3" ht="19.5" hidden="1" x14ac:dyDescent="0.35">
      <c r="A258" s="5">
        <v>2127</v>
      </c>
      <c r="B258" s="6">
        <v>5.57</v>
      </c>
      <c r="C258" s="8">
        <v>0</v>
      </c>
    </row>
    <row r="259" spans="1:3" ht="19.5" hidden="1" x14ac:dyDescent="0.35">
      <c r="A259" s="5">
        <v>2128</v>
      </c>
      <c r="B259" s="6">
        <v>5.54</v>
      </c>
      <c r="C259" s="8">
        <v>-5.3859964093357906E-3</v>
      </c>
    </row>
    <row r="260" spans="1:3" ht="19.5" hidden="1" x14ac:dyDescent="0.35">
      <c r="A260" s="5">
        <v>2129</v>
      </c>
      <c r="B260" s="6">
        <v>5.54</v>
      </c>
      <c r="C260" s="8">
        <v>0</v>
      </c>
    </row>
    <row r="261" spans="1:3" ht="19.5" hidden="1" x14ac:dyDescent="0.35">
      <c r="A261" s="5">
        <v>2130</v>
      </c>
      <c r="B261" s="6">
        <v>5.62</v>
      </c>
      <c r="C261" s="8">
        <v>1.4440433212996399E-2</v>
      </c>
    </row>
    <row r="262" spans="1:3" ht="19.5" hidden="1" x14ac:dyDescent="0.35">
      <c r="A262" s="5">
        <v>2131</v>
      </c>
      <c r="B262" s="6">
        <v>5.48</v>
      </c>
      <c r="C262" s="8">
        <v>-2.4911032028469698E-2</v>
      </c>
    </row>
    <row r="263" spans="1:3" ht="19.5" hidden="1" x14ac:dyDescent="0.35">
      <c r="A263" s="5">
        <v>2132</v>
      </c>
      <c r="B263" s="6">
        <v>5.59</v>
      </c>
      <c r="C263" s="8">
        <v>2.0072992700729899E-2</v>
      </c>
    </row>
    <row r="264" spans="1:3" ht="19.5" hidden="1" x14ac:dyDescent="0.35">
      <c r="A264" s="5">
        <v>2133</v>
      </c>
      <c r="B264" s="6">
        <v>5.57</v>
      </c>
      <c r="C264" s="8">
        <v>-3.5778175313058201E-3</v>
      </c>
    </row>
    <row r="265" spans="1:3" ht="19.5" hidden="1" x14ac:dyDescent="0.35">
      <c r="A265" s="5">
        <v>2134</v>
      </c>
      <c r="B265" s="6">
        <v>5.51</v>
      </c>
      <c r="C265" s="8">
        <v>-1.07719928186716E-2</v>
      </c>
    </row>
    <row r="266" spans="1:3" ht="19.5" hidden="1" x14ac:dyDescent="0.35">
      <c r="A266" s="5">
        <v>2135</v>
      </c>
      <c r="B266" s="6">
        <v>5.61</v>
      </c>
      <c r="C266" s="8">
        <v>1.8148820326678899E-2</v>
      </c>
    </row>
    <row r="267" spans="1:3" ht="19.5" hidden="1" x14ac:dyDescent="0.35">
      <c r="A267" s="5">
        <v>2136</v>
      </c>
      <c r="B267" s="6">
        <v>5.51</v>
      </c>
      <c r="C267" s="8">
        <v>-1.78253119429591E-2</v>
      </c>
    </row>
    <row r="268" spans="1:3" ht="19.5" hidden="1" x14ac:dyDescent="0.35">
      <c r="A268" s="5">
        <v>2137</v>
      </c>
      <c r="B268" s="6">
        <v>5.31</v>
      </c>
      <c r="C268" s="8">
        <v>-3.6297640653357596E-2</v>
      </c>
    </row>
    <row r="269" spans="1:3" ht="19.5" hidden="1" x14ac:dyDescent="0.35">
      <c r="A269" s="5">
        <v>2138</v>
      </c>
      <c r="B269" s="6">
        <v>5.31</v>
      </c>
      <c r="C269" s="8">
        <v>0</v>
      </c>
    </row>
    <row r="270" spans="1:3" ht="19.5" x14ac:dyDescent="0.35">
      <c r="A270" s="5">
        <v>2139</v>
      </c>
      <c r="B270" s="6">
        <v>4.84</v>
      </c>
      <c r="C270" s="8">
        <v>-8.8512241054613902E-2</v>
      </c>
    </row>
    <row r="271" spans="1:3" ht="19.5" hidden="1" x14ac:dyDescent="0.35">
      <c r="A271" s="5">
        <v>2140</v>
      </c>
      <c r="B271" s="6">
        <v>4.6100000000000003</v>
      </c>
      <c r="C271" s="8">
        <v>-4.7520661157024698E-2</v>
      </c>
    </row>
    <row r="272" spans="1:3" ht="19.5" x14ac:dyDescent="0.35">
      <c r="A272" s="5">
        <v>2141</v>
      </c>
      <c r="B272" s="6">
        <v>4.18</v>
      </c>
      <c r="C272" s="8">
        <v>-9.3275488069414395E-2</v>
      </c>
    </row>
    <row r="273" spans="1:3" ht="19.5" hidden="1" x14ac:dyDescent="0.35">
      <c r="A273" s="5">
        <v>2142</v>
      </c>
      <c r="B273" s="6">
        <v>4.08</v>
      </c>
      <c r="C273" s="8">
        <v>-2.3923444976076499E-2</v>
      </c>
    </row>
    <row r="274" spans="1:3" ht="19.5" hidden="1" x14ac:dyDescent="0.35">
      <c r="A274" s="5">
        <v>2143</v>
      </c>
      <c r="B274" s="6">
        <v>4.37</v>
      </c>
      <c r="C274" s="8">
        <v>7.1078431372549003E-2</v>
      </c>
    </row>
    <row r="275" spans="1:3" ht="19.5" hidden="1" x14ac:dyDescent="0.35">
      <c r="A275" s="5">
        <v>2144</v>
      </c>
      <c r="B275" s="6">
        <v>4.5</v>
      </c>
      <c r="C275" s="8">
        <v>2.9748283752860399E-2</v>
      </c>
    </row>
    <row r="276" spans="1:3" ht="19.5" hidden="1" x14ac:dyDescent="0.35">
      <c r="A276" s="5">
        <v>2145</v>
      </c>
      <c r="B276" s="6">
        <v>4.57</v>
      </c>
      <c r="C276" s="8">
        <v>1.55555555555555E-2</v>
      </c>
    </row>
    <row r="277" spans="1:3" ht="19.5" hidden="1" x14ac:dyDescent="0.35">
      <c r="A277" s="5">
        <v>2146</v>
      </c>
      <c r="B277" s="6">
        <v>4.41</v>
      </c>
      <c r="C277" s="8">
        <v>-3.5010940919037198E-2</v>
      </c>
    </row>
    <row r="278" spans="1:3" ht="19.5" hidden="1" x14ac:dyDescent="0.35">
      <c r="A278" s="5">
        <v>2147</v>
      </c>
      <c r="B278" s="6">
        <v>4.32</v>
      </c>
      <c r="C278" s="8">
        <v>-2.0408163265306003E-2</v>
      </c>
    </row>
    <row r="279" spans="1:3" ht="19.5" hidden="1" x14ac:dyDescent="0.35">
      <c r="A279" s="5">
        <v>2148</v>
      </c>
      <c r="B279" s="6">
        <v>4.38</v>
      </c>
      <c r="C279" s="8">
        <v>1.38888888888888E-2</v>
      </c>
    </row>
    <row r="280" spans="1:3" ht="19.5" hidden="1" x14ac:dyDescent="0.35">
      <c r="A280" s="5">
        <v>2149</v>
      </c>
      <c r="B280" s="6">
        <v>4.51</v>
      </c>
      <c r="C280" s="8">
        <v>2.9680365296803599E-2</v>
      </c>
    </row>
    <row r="281" spans="1:3" ht="19.5" hidden="1" x14ac:dyDescent="0.35">
      <c r="A281" s="5">
        <v>2150</v>
      </c>
      <c r="B281" s="6">
        <v>4.57</v>
      </c>
      <c r="C281" s="8">
        <v>1.33037694013305E-2</v>
      </c>
    </row>
    <row r="282" spans="1:3" ht="19.5" hidden="1" x14ac:dyDescent="0.35">
      <c r="A282" s="5">
        <v>2151</v>
      </c>
      <c r="B282" s="6">
        <v>4.4000000000000004</v>
      </c>
      <c r="C282" s="8">
        <v>-3.7199124726477004E-2</v>
      </c>
    </row>
    <row r="283" spans="1:3" ht="19.5" hidden="1" x14ac:dyDescent="0.35">
      <c r="A283" s="5">
        <v>2152</v>
      </c>
      <c r="B283" s="6">
        <v>4.34</v>
      </c>
      <c r="C283" s="8">
        <v>-1.3636363636363801E-2</v>
      </c>
    </row>
    <row r="284" spans="1:3" ht="19.5" hidden="1" x14ac:dyDescent="0.35">
      <c r="A284" s="5">
        <v>2153</v>
      </c>
      <c r="B284" s="6">
        <v>4.25</v>
      </c>
      <c r="C284" s="8">
        <v>-2.07373271889401E-2</v>
      </c>
    </row>
    <row r="285" spans="1:3" ht="19.5" hidden="1" x14ac:dyDescent="0.35">
      <c r="A285" s="5">
        <v>2154</v>
      </c>
      <c r="B285" s="6">
        <v>4.41</v>
      </c>
      <c r="C285" s="8">
        <v>3.7647058823529402E-2</v>
      </c>
    </row>
    <row r="286" spans="1:3" ht="19.5" hidden="1" x14ac:dyDescent="0.35">
      <c r="A286" s="5">
        <v>2155</v>
      </c>
      <c r="B286" s="6">
        <v>4.4800000000000004</v>
      </c>
      <c r="C286" s="8">
        <v>1.5873015873016001E-2</v>
      </c>
    </row>
    <row r="287" spans="1:3" ht="19.5" hidden="1" x14ac:dyDescent="0.35">
      <c r="A287" s="5">
        <v>2156</v>
      </c>
      <c r="B287" s="6">
        <v>4.34</v>
      </c>
      <c r="C287" s="8">
        <v>-3.1250000000000097E-2</v>
      </c>
    </row>
    <row r="288" spans="1:3" ht="19.5" hidden="1" x14ac:dyDescent="0.35">
      <c r="A288" s="5">
        <v>2157</v>
      </c>
      <c r="B288" s="6">
        <v>4.34</v>
      </c>
      <c r="C288" s="8">
        <v>0</v>
      </c>
    </row>
    <row r="289" spans="1:3" ht="19.5" hidden="1" x14ac:dyDescent="0.35">
      <c r="A289" s="5">
        <v>2158</v>
      </c>
      <c r="B289" s="6">
        <v>4.3</v>
      </c>
      <c r="C289" s="8">
        <v>-9.2165898617511104E-3</v>
      </c>
    </row>
    <row r="290" spans="1:3" ht="19.5" hidden="1" x14ac:dyDescent="0.35">
      <c r="A290" s="5">
        <v>2159</v>
      </c>
      <c r="B290" s="6">
        <v>4.25</v>
      </c>
      <c r="C290" s="8">
        <v>-1.1627906976744099E-2</v>
      </c>
    </row>
    <row r="291" spans="1:3" ht="19.5" hidden="1" x14ac:dyDescent="0.35">
      <c r="A291" s="5">
        <v>2160</v>
      </c>
      <c r="B291" s="6">
        <v>4.1900000000000004</v>
      </c>
      <c r="C291" s="8">
        <v>-1.41176470588235E-2</v>
      </c>
    </row>
    <row r="292" spans="1:3" ht="19.5" hidden="1" x14ac:dyDescent="0.35">
      <c r="A292" s="5">
        <v>2161</v>
      </c>
      <c r="B292" s="6">
        <v>4.1900000000000004</v>
      </c>
      <c r="C292" s="8">
        <v>0</v>
      </c>
    </row>
    <row r="293" spans="1:3" ht="19.5" hidden="1" x14ac:dyDescent="0.35">
      <c r="A293" s="5">
        <v>2162</v>
      </c>
      <c r="B293" s="6">
        <v>4.37</v>
      </c>
      <c r="C293" s="8">
        <v>4.2959427207637201E-2</v>
      </c>
    </row>
    <row r="294" spans="1:3" ht="19.5" hidden="1" x14ac:dyDescent="0.35">
      <c r="A294" s="5">
        <v>2163</v>
      </c>
      <c r="B294" s="6">
        <v>4.6100000000000003</v>
      </c>
      <c r="C294" s="8">
        <v>5.4919908466819302E-2</v>
      </c>
    </row>
    <row r="295" spans="1:3" ht="19.5" hidden="1" x14ac:dyDescent="0.35">
      <c r="A295" s="5">
        <v>2164</v>
      </c>
      <c r="B295" s="6">
        <v>4.7</v>
      </c>
      <c r="C295" s="8">
        <v>1.9522776572668002E-2</v>
      </c>
    </row>
    <row r="296" spans="1:3" ht="19.5" hidden="1" x14ac:dyDescent="0.35">
      <c r="A296" s="5">
        <v>2165</v>
      </c>
      <c r="B296" s="6">
        <v>4.72</v>
      </c>
      <c r="C296" s="8">
        <v>4.2553191489360705E-3</v>
      </c>
    </row>
    <row r="297" spans="1:3" ht="19.5" hidden="1" x14ac:dyDescent="0.35">
      <c r="A297" s="5">
        <v>2166</v>
      </c>
      <c r="B297" s="6">
        <v>4.79</v>
      </c>
      <c r="C297" s="8">
        <v>1.4830508474576299E-2</v>
      </c>
    </row>
    <row r="298" spans="1:3" ht="19.5" hidden="1" x14ac:dyDescent="0.35">
      <c r="A298" s="5">
        <v>2167</v>
      </c>
      <c r="B298" s="6">
        <v>4.82</v>
      </c>
      <c r="C298" s="8">
        <v>6.2630480167014104E-3</v>
      </c>
    </row>
    <row r="299" spans="1:3" ht="19.5" hidden="1" x14ac:dyDescent="0.35">
      <c r="A299" s="5">
        <v>2168</v>
      </c>
      <c r="B299" s="6">
        <v>4.75</v>
      </c>
      <c r="C299" s="8">
        <v>-1.45228215767635E-2</v>
      </c>
    </row>
    <row r="300" spans="1:3" ht="19.5" hidden="1" x14ac:dyDescent="0.35">
      <c r="A300" s="5">
        <v>2169</v>
      </c>
      <c r="B300" s="6">
        <v>4.59</v>
      </c>
      <c r="C300" s="8">
        <v>-3.36842105263159E-2</v>
      </c>
    </row>
    <row r="301" spans="1:3" ht="19.5" x14ac:dyDescent="0.35">
      <c r="A301" s="5">
        <v>2170</v>
      </c>
      <c r="B301" s="6">
        <v>4.32</v>
      </c>
      <c r="C301" s="8">
        <v>-5.8823529411764601E-2</v>
      </c>
    </row>
    <row r="302" spans="1:3" ht="19.5" hidden="1" x14ac:dyDescent="0.35">
      <c r="A302" s="5">
        <v>2171</v>
      </c>
      <c r="B302" s="6">
        <v>4.2699999999999996</v>
      </c>
      <c r="C302" s="8">
        <v>-1.1574074074074299E-2</v>
      </c>
    </row>
    <row r="303" spans="1:3" ht="19.5" hidden="1" x14ac:dyDescent="0.35">
      <c r="A303" s="5">
        <v>2172</v>
      </c>
      <c r="B303" s="6">
        <v>4.45</v>
      </c>
      <c r="C303" s="8">
        <v>4.2154566744730698E-2</v>
      </c>
    </row>
    <row r="304" spans="1:3" ht="19.5" hidden="1" x14ac:dyDescent="0.35">
      <c r="A304" s="5">
        <v>2173</v>
      </c>
      <c r="B304" s="6">
        <v>4.38</v>
      </c>
      <c r="C304" s="8">
        <v>-1.5730337078651801E-2</v>
      </c>
    </row>
    <row r="305" spans="1:3" ht="19.5" hidden="1" x14ac:dyDescent="0.35">
      <c r="A305" s="5">
        <v>2174</v>
      </c>
      <c r="B305" s="6">
        <v>4.42</v>
      </c>
      <c r="C305" s="8">
        <v>9.1324200913243114E-3</v>
      </c>
    </row>
    <row r="306" spans="1:3" ht="19.5" hidden="1" x14ac:dyDescent="0.35">
      <c r="A306" s="5">
        <v>2175</v>
      </c>
      <c r="B306" s="6">
        <v>4.4000000000000004</v>
      </c>
      <c r="C306" s="8">
        <v>-4.5248868778279307E-3</v>
      </c>
    </row>
    <row r="307" spans="1:3" ht="19.5" hidden="1" x14ac:dyDescent="0.35">
      <c r="A307" s="5">
        <v>2176</v>
      </c>
      <c r="B307" s="6">
        <v>4.32</v>
      </c>
      <c r="C307" s="8">
        <v>-1.8181818181818198E-2</v>
      </c>
    </row>
    <row r="308" spans="1:3" ht="19.5" x14ac:dyDescent="0.35">
      <c r="A308" s="5">
        <v>2177</v>
      </c>
      <c r="B308" s="6">
        <v>4.04</v>
      </c>
      <c r="C308" s="8">
        <v>-6.4814814814814894E-2</v>
      </c>
    </row>
    <row r="309" spans="1:3" ht="19.5" x14ac:dyDescent="0.35">
      <c r="A309" s="5">
        <v>2178</v>
      </c>
      <c r="B309" s="6">
        <v>3.81</v>
      </c>
      <c r="C309" s="8">
        <v>-5.6930693069307002E-2</v>
      </c>
    </row>
    <row r="310" spans="1:3" ht="19.5" hidden="1" x14ac:dyDescent="0.35">
      <c r="A310" s="5">
        <v>2179</v>
      </c>
      <c r="B310" s="6">
        <v>4.01</v>
      </c>
      <c r="C310" s="8">
        <v>5.24934383202098E-2</v>
      </c>
    </row>
    <row r="311" spans="1:3" ht="19.5" hidden="1" x14ac:dyDescent="0.35">
      <c r="A311" s="5">
        <v>2180</v>
      </c>
      <c r="B311" s="6">
        <v>4.0999999999999996</v>
      </c>
      <c r="C311" s="8">
        <v>2.2443890274314298E-2</v>
      </c>
    </row>
    <row r="312" spans="1:3" ht="19.5" hidden="1" x14ac:dyDescent="0.35">
      <c r="A312" s="5">
        <v>2181</v>
      </c>
      <c r="B312" s="6">
        <v>4.38</v>
      </c>
      <c r="C312" s="8">
        <v>6.8292682926829301E-2</v>
      </c>
    </row>
    <row r="313" spans="1:3" ht="19.5" hidden="1" x14ac:dyDescent="0.35">
      <c r="A313" s="5">
        <v>2182</v>
      </c>
      <c r="B313" s="6">
        <v>4.22</v>
      </c>
      <c r="C313" s="8">
        <v>-3.6529680365296802E-2</v>
      </c>
    </row>
    <row r="314" spans="1:3" ht="19.5" hidden="1" x14ac:dyDescent="0.35">
      <c r="A314" s="5">
        <v>2183</v>
      </c>
      <c r="B314" s="6">
        <v>4.22</v>
      </c>
      <c r="C314" s="8">
        <v>0</v>
      </c>
    </row>
    <row r="315" spans="1:3" ht="19.5" hidden="1" x14ac:dyDescent="0.35">
      <c r="A315" s="5">
        <v>2184</v>
      </c>
      <c r="B315" s="6">
        <v>4.18</v>
      </c>
      <c r="C315" s="8">
        <v>-9.4786729857819808E-3</v>
      </c>
    </row>
    <row r="316" spans="1:3" ht="19.5" hidden="1" x14ac:dyDescent="0.35">
      <c r="A316" s="5">
        <v>2185</v>
      </c>
      <c r="B316" s="6">
        <v>4.1900000000000004</v>
      </c>
      <c r="C316" s="8">
        <v>2.39234449760772E-3</v>
      </c>
    </row>
    <row r="317" spans="1:3" ht="19.5" hidden="1" x14ac:dyDescent="0.35">
      <c r="A317" s="5">
        <v>2186</v>
      </c>
      <c r="B317" s="6">
        <v>4.0599999999999996</v>
      </c>
      <c r="C317" s="8">
        <v>-3.1026252983293798E-2</v>
      </c>
    </row>
    <row r="318" spans="1:3" ht="19.5" hidden="1" x14ac:dyDescent="0.35">
      <c r="A318" s="5">
        <v>2187</v>
      </c>
      <c r="B318" s="6">
        <v>4.08</v>
      </c>
      <c r="C318" s="8">
        <v>4.9261083743843406E-3</v>
      </c>
    </row>
    <row r="319" spans="1:3" ht="19.5" hidden="1" x14ac:dyDescent="0.35">
      <c r="A319" s="5">
        <v>2188</v>
      </c>
      <c r="B319" s="6">
        <v>4.2699999999999996</v>
      </c>
      <c r="C319" s="8">
        <v>4.6568627450980199E-2</v>
      </c>
    </row>
    <row r="320" spans="1:3" ht="19.5" hidden="1" x14ac:dyDescent="0.35">
      <c r="A320" s="5">
        <v>2189</v>
      </c>
      <c r="B320" s="6">
        <v>4.46</v>
      </c>
      <c r="C320" s="8">
        <v>4.4496487119438002E-2</v>
      </c>
    </row>
    <row r="321" spans="1:3" ht="19.5" hidden="1" x14ac:dyDescent="0.35">
      <c r="A321" s="5">
        <v>2190</v>
      </c>
      <c r="B321" s="6">
        <v>4.75</v>
      </c>
      <c r="C321" s="8">
        <v>6.5022421524663795E-2</v>
      </c>
    </row>
    <row r="322" spans="1:3" ht="19.5" hidden="1" x14ac:dyDescent="0.35">
      <c r="A322" s="5">
        <v>2191</v>
      </c>
      <c r="B322" s="6">
        <v>4.9800000000000004</v>
      </c>
      <c r="C322" s="8">
        <v>4.8421052631579101E-2</v>
      </c>
    </row>
    <row r="323" spans="1:3" ht="19.5" hidden="1" x14ac:dyDescent="0.35">
      <c r="A323" s="5">
        <v>2192</v>
      </c>
      <c r="B323" s="6">
        <v>4.82</v>
      </c>
      <c r="C323" s="8">
        <v>-3.2128514056225001E-2</v>
      </c>
    </row>
    <row r="324" spans="1:3" ht="19.5" hidden="1" x14ac:dyDescent="0.35">
      <c r="A324" s="5">
        <v>2193</v>
      </c>
      <c r="B324" s="6">
        <v>4.6500000000000004</v>
      </c>
      <c r="C324" s="8">
        <v>-3.5269709543568402E-2</v>
      </c>
    </row>
    <row r="325" spans="1:3" ht="19.5" hidden="1" x14ac:dyDescent="0.35">
      <c r="A325" s="5">
        <v>2194</v>
      </c>
      <c r="B325" s="6">
        <v>4.75</v>
      </c>
      <c r="C325" s="8">
        <v>2.1505376344086002E-2</v>
      </c>
    </row>
    <row r="326" spans="1:3" ht="19.5" hidden="1" x14ac:dyDescent="0.35">
      <c r="A326" s="5">
        <v>2195</v>
      </c>
      <c r="B326" s="6">
        <v>4.88</v>
      </c>
      <c r="C326" s="8">
        <v>2.73684210526315E-2</v>
      </c>
    </row>
    <row r="327" spans="1:3" ht="19.5" hidden="1" x14ac:dyDescent="0.35">
      <c r="A327" s="5">
        <v>2196</v>
      </c>
      <c r="B327" s="6">
        <v>4.87</v>
      </c>
      <c r="C327" s="8">
        <v>-2.04918032786883E-3</v>
      </c>
    </row>
    <row r="328" spans="1:3" ht="19.5" hidden="1" x14ac:dyDescent="0.35">
      <c r="A328" s="5">
        <v>2197</v>
      </c>
      <c r="B328" s="6">
        <v>4.6500000000000004</v>
      </c>
      <c r="C328" s="8">
        <v>-4.5174537987679696E-2</v>
      </c>
    </row>
    <row r="329" spans="1:3" ht="19.5" hidden="1" x14ac:dyDescent="0.35">
      <c r="A329" s="5">
        <v>2198</v>
      </c>
      <c r="B329" s="6">
        <v>4.57</v>
      </c>
      <c r="C329" s="8">
        <v>-1.72043010752688E-2</v>
      </c>
    </row>
    <row r="330" spans="1:3" ht="19.5" hidden="1" x14ac:dyDescent="0.35">
      <c r="A330" s="5">
        <v>2199</v>
      </c>
      <c r="B330" s="6">
        <v>4.87</v>
      </c>
      <c r="C330" s="8">
        <v>6.5645514223194604E-2</v>
      </c>
    </row>
    <row r="331" spans="1:3" ht="19.5" hidden="1" x14ac:dyDescent="0.35">
      <c r="A331" s="5">
        <v>2200</v>
      </c>
      <c r="B331" s="6">
        <v>5.0599999999999996</v>
      </c>
      <c r="C331" s="8">
        <v>3.9014373716632397E-2</v>
      </c>
    </row>
    <row r="332" spans="1:3" ht="19.5" hidden="1" x14ac:dyDescent="0.35">
      <c r="A332" s="5">
        <v>2201</v>
      </c>
      <c r="B332" s="6">
        <v>5.08</v>
      </c>
      <c r="C332" s="8">
        <v>3.9525691699606701E-3</v>
      </c>
    </row>
    <row r="333" spans="1:3" ht="19.5" hidden="1" x14ac:dyDescent="0.35">
      <c r="A333" s="5">
        <v>2202</v>
      </c>
      <c r="B333" s="6">
        <v>5.27</v>
      </c>
      <c r="C333" s="8">
        <v>3.7401574803149498E-2</v>
      </c>
    </row>
    <row r="334" spans="1:3" ht="19.5" hidden="1" x14ac:dyDescent="0.35">
      <c r="A334" s="5">
        <v>2203</v>
      </c>
      <c r="B334" s="6">
        <v>5.26</v>
      </c>
      <c r="C334" s="8">
        <v>-1.8975332068310602E-3</v>
      </c>
    </row>
    <row r="335" spans="1:3" ht="19.5" hidden="1" x14ac:dyDescent="0.35">
      <c r="A335" s="5">
        <v>2204</v>
      </c>
      <c r="B335" s="6">
        <v>5.15</v>
      </c>
      <c r="C335" s="8">
        <v>-2.0912547528517001E-2</v>
      </c>
    </row>
    <row r="336" spans="1:3" ht="19.5" hidden="1" x14ac:dyDescent="0.35">
      <c r="A336" s="5">
        <v>2205</v>
      </c>
      <c r="B336" s="6">
        <v>5.32</v>
      </c>
      <c r="C336" s="8">
        <v>3.3009708737864005E-2</v>
      </c>
    </row>
    <row r="337" spans="1:3" ht="19.5" hidden="1" x14ac:dyDescent="0.35">
      <c r="A337" s="5">
        <v>2206</v>
      </c>
      <c r="B337" s="6">
        <v>5.65</v>
      </c>
      <c r="C337" s="8">
        <v>6.2030075187969901E-2</v>
      </c>
    </row>
    <row r="338" spans="1:3" ht="19.5" hidden="1" x14ac:dyDescent="0.35">
      <c r="A338" s="5">
        <v>2207</v>
      </c>
      <c r="B338" s="6">
        <v>6.08</v>
      </c>
      <c r="C338" s="8">
        <v>7.61061946902655E-2</v>
      </c>
    </row>
    <row r="339" spans="1:3" ht="19.5" hidden="1" x14ac:dyDescent="0.35">
      <c r="A339" s="5">
        <v>2208</v>
      </c>
      <c r="B339" s="6">
        <v>6.31</v>
      </c>
      <c r="C339" s="8">
        <v>3.7828947368421004E-2</v>
      </c>
    </row>
    <row r="340" spans="1:3" ht="19.5" hidden="1" x14ac:dyDescent="0.35">
      <c r="A340" s="5">
        <v>2209</v>
      </c>
      <c r="B340" s="6">
        <v>6.4</v>
      </c>
      <c r="C340" s="8">
        <v>1.4263074484944599E-2</v>
      </c>
    </row>
    <row r="341" spans="1:3" ht="19.5" hidden="1" x14ac:dyDescent="0.35">
      <c r="A341" s="5">
        <v>2210</v>
      </c>
      <c r="B341" s="6">
        <v>6.48</v>
      </c>
      <c r="C341" s="8">
        <v>1.2500000000000001E-2</v>
      </c>
    </row>
    <row r="342" spans="1:3" ht="19.5" hidden="1" x14ac:dyDescent="0.35">
      <c r="A342" s="5">
        <v>2211</v>
      </c>
      <c r="B342" s="6">
        <v>6.21</v>
      </c>
      <c r="C342" s="8">
        <v>-4.1666666666666699E-2</v>
      </c>
    </row>
    <row r="343" spans="1:3" ht="19.5" hidden="1" x14ac:dyDescent="0.35">
      <c r="A343" s="5">
        <v>2212</v>
      </c>
      <c r="B343" s="6">
        <v>6.07</v>
      </c>
      <c r="C343" s="8">
        <v>-2.25442834138486E-2</v>
      </c>
    </row>
    <row r="344" spans="1:3" ht="19.5" hidden="1" x14ac:dyDescent="0.35">
      <c r="A344" s="5">
        <v>2213</v>
      </c>
      <c r="B344" s="6">
        <v>6.28</v>
      </c>
      <c r="C344" s="8">
        <v>3.4596375617792496E-2</v>
      </c>
    </row>
    <row r="345" spans="1:3" ht="19.5" hidden="1" x14ac:dyDescent="0.35">
      <c r="A345" s="5">
        <v>2214</v>
      </c>
      <c r="B345" s="6">
        <v>6.44</v>
      </c>
      <c r="C345" s="8">
        <v>2.54777070063694E-2</v>
      </c>
    </row>
    <row r="346" spans="1:3" ht="19.5" hidden="1" x14ac:dyDescent="0.35">
      <c r="A346" s="5">
        <v>2215</v>
      </c>
      <c r="B346" s="6">
        <v>6.37</v>
      </c>
      <c r="C346" s="8">
        <v>-1.0869565217391399E-2</v>
      </c>
    </row>
    <row r="347" spans="1:3" ht="19.5" hidden="1" x14ac:dyDescent="0.35">
      <c r="A347" s="5">
        <v>2216</v>
      </c>
      <c r="B347" s="6">
        <v>6.34</v>
      </c>
      <c r="C347" s="8">
        <v>-4.7095761381476002E-3</v>
      </c>
    </row>
    <row r="348" spans="1:3" ht="19.5" hidden="1" x14ac:dyDescent="0.35">
      <c r="A348" s="5">
        <v>2217</v>
      </c>
      <c r="B348" s="6">
        <v>6.46</v>
      </c>
      <c r="C348" s="8">
        <v>1.89274447949528E-2</v>
      </c>
    </row>
    <row r="349" spans="1:3" ht="19.5" x14ac:dyDescent="0.35">
      <c r="A349" s="5">
        <v>2218</v>
      </c>
      <c r="B349" s="6">
        <v>6.02</v>
      </c>
      <c r="C349" s="8">
        <v>-6.8111455108359101E-2</v>
      </c>
    </row>
    <row r="350" spans="1:3" ht="19.5" hidden="1" x14ac:dyDescent="0.35">
      <c r="A350" s="5">
        <v>2219</v>
      </c>
      <c r="B350" s="6">
        <v>6.1</v>
      </c>
      <c r="C350" s="8">
        <v>1.3289036544850599E-2</v>
      </c>
    </row>
    <row r="351" spans="1:3" ht="19.5" hidden="1" x14ac:dyDescent="0.35">
      <c r="A351" s="5">
        <v>2220</v>
      </c>
      <c r="B351" s="6">
        <v>6.21</v>
      </c>
      <c r="C351" s="8">
        <v>1.8032786885245899E-2</v>
      </c>
    </row>
    <row r="352" spans="1:3" ht="19.5" hidden="1" x14ac:dyDescent="0.35">
      <c r="A352" s="5">
        <v>2221</v>
      </c>
      <c r="B352" s="6">
        <v>6.26</v>
      </c>
      <c r="C352" s="8">
        <v>8.0515297906602612E-3</v>
      </c>
    </row>
    <row r="353" spans="1:3" ht="19.5" hidden="1" x14ac:dyDescent="0.35">
      <c r="A353" s="5">
        <v>2222</v>
      </c>
      <c r="B353" s="6">
        <v>6.34</v>
      </c>
      <c r="C353" s="8">
        <v>1.27795527156549E-2</v>
      </c>
    </row>
    <row r="354" spans="1:3" ht="19.5" hidden="1" x14ac:dyDescent="0.35">
      <c r="A354" s="5">
        <v>2223</v>
      </c>
      <c r="B354" s="6">
        <v>6.04</v>
      </c>
      <c r="C354" s="8">
        <v>-4.7318611987381597E-2</v>
      </c>
    </row>
    <row r="355" spans="1:3" ht="19.5" hidden="1" x14ac:dyDescent="0.35">
      <c r="A355" s="5">
        <v>2224</v>
      </c>
      <c r="B355" s="6">
        <v>5.86</v>
      </c>
      <c r="C355" s="8">
        <v>-2.9801324503311199E-2</v>
      </c>
    </row>
    <row r="356" spans="1:3" ht="19.5" hidden="1" x14ac:dyDescent="0.35">
      <c r="A356" s="5">
        <v>2225</v>
      </c>
      <c r="B356" s="6">
        <v>5.86</v>
      </c>
      <c r="C356" s="8">
        <v>0</v>
      </c>
    </row>
    <row r="357" spans="1:3" ht="19.5" hidden="1" x14ac:dyDescent="0.35">
      <c r="A357" s="5">
        <v>2226</v>
      </c>
      <c r="B357" s="6">
        <v>5.94</v>
      </c>
      <c r="C357" s="8">
        <v>1.36518771331058E-2</v>
      </c>
    </row>
    <row r="358" spans="1:3" ht="19.5" hidden="1" x14ac:dyDescent="0.35">
      <c r="A358" s="5">
        <v>2227</v>
      </c>
      <c r="B358" s="6">
        <v>5.8</v>
      </c>
      <c r="C358" s="8">
        <v>-2.3569023569023701E-2</v>
      </c>
    </row>
    <row r="359" spans="1:3" ht="19.5" hidden="1" x14ac:dyDescent="0.35">
      <c r="A359" s="5">
        <v>2228</v>
      </c>
      <c r="B359" s="6">
        <v>6.01</v>
      </c>
      <c r="C359" s="8">
        <v>3.6206896551724196E-2</v>
      </c>
    </row>
    <row r="360" spans="1:3" ht="19.5" hidden="1" x14ac:dyDescent="0.35">
      <c r="A360" s="5">
        <v>2229</v>
      </c>
      <c r="B360" s="6">
        <v>6.48</v>
      </c>
      <c r="C360" s="8">
        <v>7.8202995008319592E-2</v>
      </c>
    </row>
    <row r="361" spans="1:3" ht="19.5" hidden="1" x14ac:dyDescent="0.35">
      <c r="A361" s="5">
        <v>2230</v>
      </c>
      <c r="B361" s="6">
        <v>6.87</v>
      </c>
      <c r="C361" s="8">
        <v>6.0185185185185099E-2</v>
      </c>
    </row>
    <row r="362" spans="1:3" ht="19.5" hidden="1" x14ac:dyDescent="0.35">
      <c r="A362" s="5">
        <v>2231</v>
      </c>
      <c r="B362" s="6">
        <v>7.07</v>
      </c>
      <c r="C362" s="8">
        <v>2.91120815138282E-2</v>
      </c>
    </row>
    <row r="363" spans="1:3" ht="19.5" hidden="1" x14ac:dyDescent="0.35">
      <c r="A363" s="5">
        <v>2232</v>
      </c>
      <c r="B363" s="6">
        <v>7.25</v>
      </c>
      <c r="C363" s="8">
        <v>2.5459688826025399E-2</v>
      </c>
    </row>
    <row r="364" spans="1:3" ht="19.5" hidden="1" x14ac:dyDescent="0.35">
      <c r="A364" s="5">
        <v>2233</v>
      </c>
      <c r="B364" s="6">
        <v>7.51</v>
      </c>
      <c r="C364" s="8">
        <v>3.5862068965517101E-2</v>
      </c>
    </row>
    <row r="365" spans="1:3" ht="19.5" hidden="1" x14ac:dyDescent="0.35">
      <c r="A365" s="5">
        <v>2234</v>
      </c>
      <c r="B365" s="6">
        <v>8.14</v>
      </c>
      <c r="C365" s="8">
        <v>8.3888149134487403E-2</v>
      </c>
    </row>
    <row r="366" spans="1:3" ht="19.5" x14ac:dyDescent="0.35">
      <c r="A366" s="5">
        <v>2235</v>
      </c>
      <c r="B366" s="6">
        <v>7.73</v>
      </c>
      <c r="C366" s="8">
        <v>-5.0368550368550397E-2</v>
      </c>
    </row>
    <row r="367" spans="1:3" ht="19.5" hidden="1" x14ac:dyDescent="0.35">
      <c r="A367" s="5">
        <v>2236</v>
      </c>
      <c r="B367" s="6">
        <v>8.5</v>
      </c>
      <c r="C367" s="8">
        <v>9.9611901681759402E-2</v>
      </c>
    </row>
    <row r="368" spans="1:3" ht="19.5" x14ac:dyDescent="0.35">
      <c r="A368" s="5">
        <v>2237</v>
      </c>
      <c r="B368" s="6">
        <v>7.93</v>
      </c>
      <c r="C368" s="8">
        <v>-6.7058823529411796E-2</v>
      </c>
    </row>
    <row r="369" spans="1:3" ht="19.5" hidden="1" x14ac:dyDescent="0.35">
      <c r="A369" s="5">
        <v>2238</v>
      </c>
      <c r="B369" s="6">
        <v>8.0399999999999991</v>
      </c>
      <c r="C369" s="8">
        <v>1.38713745271122E-2</v>
      </c>
    </row>
    <row r="370" spans="1:3" ht="19.5" hidden="1" x14ac:dyDescent="0.35">
      <c r="A370" s="5">
        <v>2239</v>
      </c>
      <c r="B370" s="6">
        <v>8</v>
      </c>
      <c r="C370" s="8">
        <v>-4.9751243781093199E-3</v>
      </c>
    </row>
    <row r="371" spans="1:3" ht="19.5" hidden="1" x14ac:dyDescent="0.35">
      <c r="A371" s="5">
        <v>2240</v>
      </c>
      <c r="B371" s="6">
        <v>7.91</v>
      </c>
      <c r="C371" s="8">
        <v>-1.1250000000000001E-2</v>
      </c>
    </row>
    <row r="372" spans="1:3" ht="19.5" hidden="1" x14ac:dyDescent="0.35">
      <c r="A372" s="5">
        <v>2241</v>
      </c>
      <c r="B372" s="6">
        <v>8.08</v>
      </c>
      <c r="C372" s="8">
        <v>2.1491782553729501E-2</v>
      </c>
    </row>
    <row r="373" spans="1:3" ht="19.5" hidden="1" x14ac:dyDescent="0.35">
      <c r="A373" s="5">
        <v>2242</v>
      </c>
      <c r="B373" s="6">
        <v>7.95</v>
      </c>
      <c r="C373" s="8">
        <v>-1.60891089108911E-2</v>
      </c>
    </row>
    <row r="374" spans="1:3" ht="19.5" hidden="1" x14ac:dyDescent="0.35">
      <c r="A374" s="5">
        <v>2243</v>
      </c>
      <c r="B374" s="6">
        <v>8.1199999999999992</v>
      </c>
      <c r="C374" s="8">
        <v>2.1383647798741901E-2</v>
      </c>
    </row>
    <row r="375" spans="1:3" ht="19.5" hidden="1" x14ac:dyDescent="0.35">
      <c r="A375" s="5">
        <v>2244</v>
      </c>
      <c r="B375" s="6">
        <v>8.19</v>
      </c>
      <c r="C375" s="8">
        <v>8.6206896551723807E-3</v>
      </c>
    </row>
    <row r="376" spans="1:3" ht="19.5" hidden="1" x14ac:dyDescent="0.35">
      <c r="A376" s="5">
        <v>2245</v>
      </c>
      <c r="B376" s="6">
        <v>8.1999999999999993</v>
      </c>
      <c r="C376" s="8">
        <v>1.2210012210012201E-3</v>
      </c>
    </row>
    <row r="377" spans="1:3" ht="19.5" hidden="1" x14ac:dyDescent="0.35">
      <c r="A377" s="5">
        <v>2246</v>
      </c>
      <c r="B377" s="6">
        <v>8.48</v>
      </c>
      <c r="C377" s="8">
        <v>3.41463414634149E-2</v>
      </c>
    </row>
    <row r="378" spans="1:3" ht="19.5" hidden="1" x14ac:dyDescent="0.35">
      <c r="A378" s="5">
        <v>2247</v>
      </c>
      <c r="B378" s="6">
        <v>8.4600000000000009</v>
      </c>
      <c r="C378" s="8">
        <v>-2.3584905660376503E-3</v>
      </c>
    </row>
    <row r="379" spans="1:3" ht="19.5" hidden="1" x14ac:dyDescent="0.35">
      <c r="A379" s="5">
        <v>2248</v>
      </c>
      <c r="B379" s="6">
        <v>8.41</v>
      </c>
      <c r="C379" s="8">
        <v>-5.9101654846336303E-3</v>
      </c>
    </row>
    <row r="380" spans="1:3" ht="19.5" hidden="1" x14ac:dyDescent="0.35">
      <c r="A380" s="5">
        <v>2249</v>
      </c>
      <c r="B380" s="6">
        <v>8.6</v>
      </c>
      <c r="C380" s="8">
        <v>2.25921521997621E-2</v>
      </c>
    </row>
    <row r="381" spans="1:3" ht="19.5" hidden="1" x14ac:dyDescent="0.35">
      <c r="A381" s="5">
        <v>2250</v>
      </c>
      <c r="B381" s="6">
        <v>8.83</v>
      </c>
      <c r="C381" s="8">
        <v>2.67441860465116E-2</v>
      </c>
    </row>
    <row r="382" spans="1:3" ht="19.5" hidden="1" x14ac:dyDescent="0.35">
      <c r="A382" s="5">
        <v>2251</v>
      </c>
      <c r="B382" s="6">
        <v>8.85</v>
      </c>
      <c r="C382" s="8">
        <v>2.2650056625141998E-3</v>
      </c>
    </row>
    <row r="383" spans="1:3" ht="19.5" hidden="1" x14ac:dyDescent="0.35">
      <c r="A383" s="5">
        <v>2252</v>
      </c>
      <c r="B383" s="6">
        <v>8.57</v>
      </c>
      <c r="C383" s="8">
        <v>-3.1638418079096002E-2</v>
      </c>
    </row>
    <row r="384" spans="1:3" ht="19.5" hidden="1" x14ac:dyDescent="0.35">
      <c r="A384" s="5">
        <v>2253</v>
      </c>
      <c r="B384" s="6">
        <v>8.24</v>
      </c>
      <c r="C384" s="8">
        <v>-3.8506417736289399E-2</v>
      </c>
    </row>
    <row r="385" spans="1:3" ht="19.5" hidden="1" x14ac:dyDescent="0.35">
      <c r="A385" s="5">
        <v>2254</v>
      </c>
      <c r="B385" s="6">
        <v>8.0500000000000007</v>
      </c>
      <c r="C385" s="8">
        <v>-2.30582524271844E-2</v>
      </c>
    </row>
    <row r="386" spans="1:3" ht="19.5" hidden="1" x14ac:dyDescent="0.35">
      <c r="A386" s="5">
        <v>2255</v>
      </c>
      <c r="B386" s="6">
        <v>8.4600000000000009</v>
      </c>
      <c r="C386" s="8">
        <v>5.09316770186337E-2</v>
      </c>
    </row>
    <row r="387" spans="1:3" ht="19.5" hidden="1" x14ac:dyDescent="0.35">
      <c r="A387" s="5">
        <v>2256</v>
      </c>
      <c r="B387" s="6">
        <v>8.41</v>
      </c>
      <c r="C387" s="8">
        <v>-5.9101654846336303E-3</v>
      </c>
    </row>
    <row r="388" spans="1:3" ht="19.5" hidden="1" x14ac:dyDescent="0.35">
      <c r="A388" s="5">
        <v>2257</v>
      </c>
      <c r="B388" s="6">
        <v>8.08</v>
      </c>
      <c r="C388" s="8">
        <v>-3.92390011890607E-2</v>
      </c>
    </row>
    <row r="389" spans="1:3" ht="19.5" hidden="1" x14ac:dyDescent="0.35">
      <c r="A389" s="5">
        <v>2258</v>
      </c>
      <c r="B389" s="6">
        <v>7.75</v>
      </c>
      <c r="C389" s="8">
        <v>-4.0841584158415899E-2</v>
      </c>
    </row>
    <row r="390" spans="1:3" ht="19.5" hidden="1" x14ac:dyDescent="0.35">
      <c r="A390" s="5">
        <v>2259</v>
      </c>
      <c r="B390" s="6">
        <v>7.6</v>
      </c>
      <c r="C390" s="8">
        <v>-1.93548387096775E-2</v>
      </c>
    </row>
    <row r="391" spans="1:3" ht="19.5" x14ac:dyDescent="0.35">
      <c r="A391" s="5">
        <v>2260</v>
      </c>
      <c r="B391" s="6">
        <v>7.18</v>
      </c>
      <c r="C391" s="8">
        <v>-5.5263157894736799E-2</v>
      </c>
    </row>
    <row r="392" spans="1:3" ht="19.5" hidden="1" x14ac:dyDescent="0.35">
      <c r="A392" s="5">
        <v>2261</v>
      </c>
      <c r="B392" s="6">
        <v>6.85</v>
      </c>
      <c r="C392" s="8">
        <v>-4.5961002785515299E-2</v>
      </c>
    </row>
    <row r="393" spans="1:3" ht="19.5" hidden="1" x14ac:dyDescent="0.35">
      <c r="A393" s="5">
        <v>2262</v>
      </c>
      <c r="B393" s="6">
        <v>6.63</v>
      </c>
      <c r="C393" s="8">
        <v>-3.2116788321167801E-2</v>
      </c>
    </row>
    <row r="394" spans="1:3" ht="19.5" hidden="1" x14ac:dyDescent="0.35">
      <c r="A394" s="5">
        <v>2263</v>
      </c>
      <c r="B394" s="6">
        <v>6.47</v>
      </c>
      <c r="C394" s="8">
        <v>-2.4132730015083002E-2</v>
      </c>
    </row>
    <row r="395" spans="1:3" ht="19.5" hidden="1" x14ac:dyDescent="0.35">
      <c r="A395" s="5">
        <v>2264</v>
      </c>
      <c r="B395" s="6">
        <v>6.26</v>
      </c>
      <c r="C395" s="8">
        <v>-3.2457496136012301E-2</v>
      </c>
    </row>
    <row r="396" spans="1:3" ht="19.5" hidden="1" x14ac:dyDescent="0.35">
      <c r="A396" s="5">
        <v>2265</v>
      </c>
      <c r="B396" s="6">
        <v>6.28</v>
      </c>
      <c r="C396" s="8">
        <v>3.1948881789138901E-3</v>
      </c>
    </row>
    <row r="397" spans="1:3" ht="19.5" hidden="1" x14ac:dyDescent="0.35">
      <c r="A397" s="5">
        <v>2266</v>
      </c>
      <c r="B397" s="6">
        <v>6.57</v>
      </c>
      <c r="C397" s="8">
        <v>4.6178343949044597E-2</v>
      </c>
    </row>
    <row r="398" spans="1:3" ht="19.5" hidden="1" x14ac:dyDescent="0.35">
      <c r="A398" s="5">
        <v>2267</v>
      </c>
      <c r="B398" s="6">
        <v>6.68</v>
      </c>
      <c r="C398" s="8">
        <v>1.67427701674276E-2</v>
      </c>
    </row>
    <row r="399" spans="1:3" ht="19.5" hidden="1" x14ac:dyDescent="0.35">
      <c r="A399" s="5">
        <v>2268</v>
      </c>
      <c r="B399" s="6">
        <v>6.5</v>
      </c>
      <c r="C399" s="8">
        <v>-2.69461077844311E-2</v>
      </c>
    </row>
    <row r="400" spans="1:3" ht="19.5" hidden="1" x14ac:dyDescent="0.35">
      <c r="A400" s="5">
        <v>2269</v>
      </c>
      <c r="B400" s="6">
        <v>6.48</v>
      </c>
      <c r="C400" s="8">
        <v>-3.0769230769229802E-3</v>
      </c>
    </row>
    <row r="401" spans="1:3" ht="19.5" hidden="1" x14ac:dyDescent="0.35">
      <c r="A401" s="5">
        <v>2270</v>
      </c>
      <c r="B401" s="6">
        <v>6.64</v>
      </c>
      <c r="C401" s="8">
        <v>2.4691358024691201E-2</v>
      </c>
    </row>
    <row r="402" spans="1:3" ht="19.5" hidden="1" x14ac:dyDescent="0.35">
      <c r="A402" s="5">
        <v>2271</v>
      </c>
      <c r="B402" s="6">
        <v>6.5</v>
      </c>
      <c r="C402" s="8">
        <v>-2.1084337349397499E-2</v>
      </c>
    </row>
    <row r="403" spans="1:3" ht="19.5" hidden="1" x14ac:dyDescent="0.35">
      <c r="A403" s="5">
        <v>2272</v>
      </c>
      <c r="B403" s="6">
        <v>6.51</v>
      </c>
      <c r="C403" s="8">
        <v>1.5384615384614901E-3</v>
      </c>
    </row>
    <row r="404" spans="1:3" ht="19.5" hidden="1" x14ac:dyDescent="0.35">
      <c r="A404" s="5">
        <v>2273</v>
      </c>
      <c r="B404" s="6">
        <v>6.78</v>
      </c>
      <c r="C404" s="8">
        <v>4.1474654377880296E-2</v>
      </c>
    </row>
    <row r="405" spans="1:3" ht="19.5" hidden="1" x14ac:dyDescent="0.35">
      <c r="A405" s="5">
        <v>2274</v>
      </c>
      <c r="B405" s="6">
        <v>7.01</v>
      </c>
      <c r="C405" s="8">
        <v>3.39233038348081E-2</v>
      </c>
    </row>
    <row r="406" spans="1:3" ht="19.5" hidden="1" x14ac:dyDescent="0.35">
      <c r="A406" s="5">
        <v>2275</v>
      </c>
      <c r="B406" s="6">
        <v>7.32</v>
      </c>
      <c r="C406" s="8">
        <v>4.4222539229672002E-2</v>
      </c>
    </row>
    <row r="407" spans="1:3" ht="19.5" hidden="1" x14ac:dyDescent="0.35">
      <c r="A407" s="5">
        <v>2276</v>
      </c>
      <c r="B407" s="6">
        <v>7.75</v>
      </c>
      <c r="C407" s="8">
        <v>5.87431693989071E-2</v>
      </c>
    </row>
    <row r="408" spans="1:3" ht="19.5" hidden="1" x14ac:dyDescent="0.35">
      <c r="A408" s="5">
        <v>2277</v>
      </c>
      <c r="B408" s="6">
        <v>8.17</v>
      </c>
      <c r="C408" s="8">
        <v>5.41935483870968E-2</v>
      </c>
    </row>
    <row r="409" spans="1:3" ht="19.5" hidden="1" x14ac:dyDescent="0.35">
      <c r="A409" s="5">
        <v>2278</v>
      </c>
      <c r="B409" s="6">
        <v>8.25</v>
      </c>
      <c r="C409" s="8">
        <v>9.7919216646267203E-3</v>
      </c>
    </row>
    <row r="410" spans="1:3" ht="19.5" hidden="1" x14ac:dyDescent="0.35">
      <c r="A410" s="5">
        <v>2279</v>
      </c>
      <c r="B410" s="6">
        <v>8.43</v>
      </c>
      <c r="C410" s="8">
        <v>2.1818181818181698E-2</v>
      </c>
    </row>
    <row r="411" spans="1:3" ht="19.5" hidden="1" x14ac:dyDescent="0.35">
      <c r="A411" s="5">
        <v>2280</v>
      </c>
      <c r="B411" s="6">
        <v>8.8000000000000007</v>
      </c>
      <c r="C411" s="8">
        <v>4.38908659549231E-2</v>
      </c>
    </row>
    <row r="412" spans="1:3" ht="19.5" hidden="1" x14ac:dyDescent="0.35">
      <c r="A412" s="5">
        <v>2281</v>
      </c>
      <c r="B412" s="6">
        <v>9.0500000000000007</v>
      </c>
      <c r="C412" s="8">
        <v>2.8409090909090801E-2</v>
      </c>
    </row>
    <row r="413" spans="1:3" ht="19.5" hidden="1" x14ac:dyDescent="0.35">
      <c r="A413" s="5">
        <v>2282</v>
      </c>
      <c r="B413" s="6">
        <v>8.94</v>
      </c>
      <c r="C413" s="8">
        <v>-1.2154696132596799E-2</v>
      </c>
    </row>
    <row r="414" spans="1:3" ht="19.5" hidden="1" x14ac:dyDescent="0.35">
      <c r="A414" s="5">
        <v>2283</v>
      </c>
      <c r="B414" s="6">
        <v>8.5</v>
      </c>
      <c r="C414" s="8">
        <v>-4.9217002237136397E-2</v>
      </c>
    </row>
    <row r="415" spans="1:3" ht="19.5" hidden="1" x14ac:dyDescent="0.35">
      <c r="A415" s="5">
        <v>2284</v>
      </c>
      <c r="B415" s="6">
        <v>8.6</v>
      </c>
      <c r="C415" s="8">
        <v>1.1764705882352899E-2</v>
      </c>
    </row>
    <row r="416" spans="1:3" ht="19.5" hidden="1" x14ac:dyDescent="0.35">
      <c r="A416" s="5">
        <v>2285</v>
      </c>
      <c r="B416" s="6">
        <v>8.8699999999999992</v>
      </c>
      <c r="C416" s="8">
        <v>3.1395348837209201E-2</v>
      </c>
    </row>
    <row r="417" spans="1:3" ht="19.5" hidden="1" x14ac:dyDescent="0.35">
      <c r="A417" s="5">
        <v>2286</v>
      </c>
      <c r="B417" s="6">
        <v>9.1999999999999993</v>
      </c>
      <c r="C417" s="8">
        <v>3.7204058624577201E-2</v>
      </c>
    </row>
    <row r="418" spans="1:3" ht="19.5" hidden="1" x14ac:dyDescent="0.35">
      <c r="A418" s="5">
        <v>2287</v>
      </c>
      <c r="B418" s="6">
        <v>9.23</v>
      </c>
      <c r="C418" s="8">
        <v>3.2608695652174302E-3</v>
      </c>
    </row>
    <row r="419" spans="1:3" ht="19.5" hidden="1" x14ac:dyDescent="0.35">
      <c r="A419" s="5">
        <v>2288</v>
      </c>
      <c r="B419" s="6">
        <v>9.36</v>
      </c>
      <c r="C419" s="8">
        <v>1.4084507042253499E-2</v>
      </c>
    </row>
    <row r="420" spans="1:3" ht="19.5" hidden="1" x14ac:dyDescent="0.35">
      <c r="A420" s="5">
        <v>2289</v>
      </c>
      <c r="B420" s="6">
        <v>9.31</v>
      </c>
      <c r="C420" s="8">
        <v>-5.3418803418802101E-3</v>
      </c>
    </row>
    <row r="421" spans="1:3" ht="19.5" hidden="1" x14ac:dyDescent="0.35">
      <c r="A421" s="5">
        <v>2290</v>
      </c>
      <c r="B421" s="6">
        <v>9.5399999999999991</v>
      </c>
      <c r="C421" s="8">
        <v>2.4704618689581001E-2</v>
      </c>
    </row>
    <row r="422" spans="1:3" ht="19.5" hidden="1" x14ac:dyDescent="0.35">
      <c r="A422" s="5">
        <v>2291</v>
      </c>
      <c r="B422" s="6">
        <v>9.8699999999999992</v>
      </c>
      <c r="C422" s="8">
        <v>3.4591194968553597E-2</v>
      </c>
    </row>
    <row r="423" spans="1:3" ht="19.5" hidden="1" x14ac:dyDescent="0.35">
      <c r="A423" s="5">
        <v>2292</v>
      </c>
      <c r="B423" s="6">
        <v>9.8000000000000007</v>
      </c>
      <c r="C423" s="8">
        <v>-7.0921985815601803E-3</v>
      </c>
    </row>
    <row r="424" spans="1:3" ht="19.5" hidden="1" x14ac:dyDescent="0.35">
      <c r="A424" s="5">
        <v>2293</v>
      </c>
      <c r="B424" s="6">
        <v>9.56</v>
      </c>
      <c r="C424" s="8">
        <v>-2.4489795918367401E-2</v>
      </c>
    </row>
    <row r="425" spans="1:3" ht="19.5" hidden="1" x14ac:dyDescent="0.35">
      <c r="A425" s="5">
        <v>2294</v>
      </c>
      <c r="B425" s="6">
        <v>9.43</v>
      </c>
      <c r="C425" s="8">
        <v>-1.3598326359832699E-2</v>
      </c>
    </row>
    <row r="426" spans="1:3" ht="19.5" hidden="1" x14ac:dyDescent="0.35">
      <c r="A426" s="5">
        <v>2295</v>
      </c>
      <c r="B426" s="6">
        <v>9.18</v>
      </c>
      <c r="C426" s="8">
        <v>-2.6511134676564199E-2</v>
      </c>
    </row>
    <row r="427" spans="1:3" ht="19.5" hidden="1" x14ac:dyDescent="0.35">
      <c r="A427" s="5">
        <v>2296</v>
      </c>
      <c r="B427" s="6">
        <v>9.3000000000000007</v>
      </c>
      <c r="C427" s="8">
        <v>1.3071895424836799E-2</v>
      </c>
    </row>
    <row r="428" spans="1:3" ht="19.5" hidden="1" x14ac:dyDescent="0.35">
      <c r="A428" s="5">
        <v>2297</v>
      </c>
      <c r="B428" s="6">
        <v>9.06</v>
      </c>
      <c r="C428" s="8">
        <v>-2.5806451612903299E-2</v>
      </c>
    </row>
    <row r="429" spans="1:3" ht="19.5" hidden="1" x14ac:dyDescent="0.35">
      <c r="A429" s="5">
        <v>2298</v>
      </c>
      <c r="B429" s="6">
        <v>9.73</v>
      </c>
      <c r="C429" s="8">
        <v>7.3951434878587199E-2</v>
      </c>
    </row>
    <row r="430" spans="1:3" ht="19.5" hidden="1" x14ac:dyDescent="0.35">
      <c r="A430" s="5">
        <v>2299</v>
      </c>
      <c r="B430" s="6">
        <v>10.029999999999999</v>
      </c>
      <c r="C430" s="8">
        <v>3.0832476875642299E-2</v>
      </c>
    </row>
    <row r="431" spans="1:3" ht="19.5" hidden="1" x14ac:dyDescent="0.35">
      <c r="A431" s="5">
        <v>2300</v>
      </c>
      <c r="B431" s="6">
        <v>9.73</v>
      </c>
      <c r="C431" s="8">
        <v>-2.9910269192422699E-2</v>
      </c>
    </row>
    <row r="432" spans="1:3" ht="19.5" hidden="1" x14ac:dyDescent="0.35">
      <c r="A432" s="5">
        <v>2301</v>
      </c>
      <c r="B432" s="6">
        <v>9.93</v>
      </c>
      <c r="C432" s="8">
        <v>2.05549845837616E-2</v>
      </c>
    </row>
    <row r="433" spans="1:3" ht="19.5" hidden="1" x14ac:dyDescent="0.35">
      <c r="A433" s="5">
        <v>2302</v>
      </c>
      <c r="B433" s="6">
        <v>9.84</v>
      </c>
      <c r="C433" s="8">
        <v>-9.0634441087613701E-3</v>
      </c>
    </row>
    <row r="434" spans="1:3" ht="19.5" hidden="1" x14ac:dyDescent="0.35">
      <c r="A434" s="5">
        <v>2303</v>
      </c>
      <c r="B434" s="6">
        <v>9.56</v>
      </c>
      <c r="C434" s="8">
        <v>-2.8455284552845499E-2</v>
      </c>
    </row>
    <row r="435" spans="1:3" ht="19.5" hidden="1" x14ac:dyDescent="0.35">
      <c r="A435" s="5">
        <v>2304</v>
      </c>
      <c r="B435" s="6">
        <v>9.26</v>
      </c>
      <c r="C435" s="8">
        <v>-3.1380753138075403E-2</v>
      </c>
    </row>
    <row r="436" spans="1:3" ht="19.5" x14ac:dyDescent="0.35">
      <c r="A436" s="5">
        <v>2305</v>
      </c>
      <c r="B436" s="6">
        <v>8.35</v>
      </c>
      <c r="C436" s="8">
        <v>-9.8272138228941694E-2</v>
      </c>
    </row>
    <row r="437" spans="1:3" ht="19.5" hidden="1" x14ac:dyDescent="0.35">
      <c r="A437" s="5">
        <v>2306</v>
      </c>
      <c r="B437" s="6">
        <v>8.39</v>
      </c>
      <c r="C437" s="8">
        <v>4.7904191616767707E-3</v>
      </c>
    </row>
    <row r="438" spans="1:3" ht="19.5" hidden="1" x14ac:dyDescent="0.35">
      <c r="A438" s="5">
        <v>2307</v>
      </c>
      <c r="B438" s="6">
        <v>8.1</v>
      </c>
      <c r="C438" s="8">
        <v>-3.45649582836711E-2</v>
      </c>
    </row>
    <row r="439" spans="1:3" ht="19.5" hidden="1" x14ac:dyDescent="0.35">
      <c r="A439" s="5">
        <v>2308</v>
      </c>
      <c r="B439" s="6">
        <v>7.84</v>
      </c>
      <c r="C439" s="8">
        <v>-3.2098765432098803E-2</v>
      </c>
    </row>
    <row r="440" spans="1:3" ht="19.5" hidden="1" x14ac:dyDescent="0.35">
      <c r="A440" s="5">
        <v>2309</v>
      </c>
      <c r="B440" s="6">
        <v>8.14</v>
      </c>
      <c r="C440" s="8">
        <v>3.8265306122449202E-2</v>
      </c>
    </row>
    <row r="441" spans="1:3" ht="19.5" x14ac:dyDescent="0.35">
      <c r="A441" s="5">
        <v>2310</v>
      </c>
      <c r="B441" s="6">
        <v>7.53</v>
      </c>
      <c r="C441" s="8">
        <v>-7.4938574938574892E-2</v>
      </c>
    </row>
    <row r="442" spans="1:3" ht="19.5" hidden="1" x14ac:dyDescent="0.35">
      <c r="A442" s="5">
        <v>2311</v>
      </c>
      <c r="B442" s="6">
        <v>7.45</v>
      </c>
      <c r="C442" s="8">
        <v>-1.0624169986719801E-2</v>
      </c>
    </row>
    <row r="443" spans="1:3" ht="19.5" x14ac:dyDescent="0.35">
      <c r="A443" s="5">
        <v>2312</v>
      </c>
      <c r="B443" s="6">
        <v>6.64</v>
      </c>
      <c r="C443" s="8">
        <v>-0.108724832214765</v>
      </c>
    </row>
    <row r="444" spans="1:3" ht="19.5" x14ac:dyDescent="0.35">
      <c r="A444" s="5">
        <v>2313</v>
      </c>
      <c r="B444" s="6">
        <v>6.25</v>
      </c>
      <c r="C444" s="8">
        <v>-5.8734939759036098E-2</v>
      </c>
    </row>
    <row r="445" spans="1:3" ht="19.5" hidden="1" x14ac:dyDescent="0.35">
      <c r="A445" s="5">
        <v>2314</v>
      </c>
      <c r="B445" s="6">
        <v>6.57</v>
      </c>
      <c r="C445" s="8">
        <v>5.12000000000001E-2</v>
      </c>
    </row>
    <row r="446" spans="1:3" ht="19.5" hidden="1" x14ac:dyDescent="0.35">
      <c r="A446" s="5">
        <v>2315</v>
      </c>
      <c r="B446" s="6">
        <v>6.85</v>
      </c>
      <c r="C446" s="8">
        <v>4.2617960426179602E-2</v>
      </c>
    </row>
    <row r="447" spans="1:3" ht="19.5" hidden="1" x14ac:dyDescent="0.35">
      <c r="A447" s="5">
        <v>2316</v>
      </c>
      <c r="B447" s="6">
        <v>6.6</v>
      </c>
      <c r="C447" s="8">
        <v>-3.6496350364963501E-2</v>
      </c>
    </row>
    <row r="448" spans="1:3" ht="19.5" hidden="1" x14ac:dyDescent="0.35">
      <c r="A448" s="5">
        <v>2317</v>
      </c>
      <c r="B448" s="6">
        <v>6.87</v>
      </c>
      <c r="C448" s="8">
        <v>4.0909090909091006E-2</v>
      </c>
    </row>
    <row r="449" spans="1:3" ht="19.5" hidden="1" x14ac:dyDescent="0.35">
      <c r="A449" s="5">
        <v>2318</v>
      </c>
      <c r="B449" s="6">
        <v>7.24</v>
      </c>
      <c r="C449" s="8">
        <v>5.3857350800582196E-2</v>
      </c>
    </row>
    <row r="450" spans="1:3" ht="19.5" hidden="1" x14ac:dyDescent="0.35">
      <c r="A450" s="5">
        <v>2319</v>
      </c>
      <c r="B450" s="6">
        <v>7.63</v>
      </c>
      <c r="C450" s="8">
        <v>5.3867403314917101E-2</v>
      </c>
    </row>
    <row r="451" spans="1:3" ht="19.5" hidden="1" x14ac:dyDescent="0.35">
      <c r="A451" s="5">
        <v>2320</v>
      </c>
      <c r="B451" s="6">
        <v>7.64</v>
      </c>
      <c r="C451" s="8">
        <v>1.3106159895151001E-3</v>
      </c>
    </row>
    <row r="452" spans="1:3" ht="19.5" hidden="1" x14ac:dyDescent="0.35">
      <c r="A452" s="5">
        <v>2321</v>
      </c>
      <c r="B452" s="6">
        <v>7.92</v>
      </c>
      <c r="C452" s="8">
        <v>3.6649214659686E-2</v>
      </c>
    </row>
    <row r="453" spans="1:3" ht="19.5" hidden="1" x14ac:dyDescent="0.35">
      <c r="A453" s="5">
        <v>2322</v>
      </c>
      <c r="B453" s="6">
        <v>8.26</v>
      </c>
      <c r="C453" s="8">
        <v>4.2929292929292796E-2</v>
      </c>
    </row>
    <row r="454" spans="1:3" ht="19.5" hidden="1" x14ac:dyDescent="0.35">
      <c r="A454" s="5">
        <v>2323</v>
      </c>
      <c r="B454" s="6">
        <v>8.17</v>
      </c>
      <c r="C454" s="8">
        <v>-1.08958837772397E-2</v>
      </c>
    </row>
    <row r="455" spans="1:3" ht="19.5" hidden="1" x14ac:dyDescent="0.35">
      <c r="A455" s="5">
        <v>2324</v>
      </c>
      <c r="B455" s="6">
        <v>8.27</v>
      </c>
      <c r="C455" s="8">
        <v>1.2239902080783301E-2</v>
      </c>
    </row>
    <row r="456" spans="1:3" ht="19.5" hidden="1" x14ac:dyDescent="0.35">
      <c r="A456" s="5">
        <v>2325</v>
      </c>
      <c r="B456" s="6">
        <v>8.83</v>
      </c>
      <c r="C456" s="8">
        <v>6.7714631197098002E-2</v>
      </c>
    </row>
    <row r="457" spans="1:3" ht="19.5" hidden="1" x14ac:dyDescent="0.35">
      <c r="A457" s="5">
        <v>2326</v>
      </c>
      <c r="B457" s="6">
        <v>9.0299999999999994</v>
      </c>
      <c r="C457" s="8">
        <v>2.2650056625141499E-2</v>
      </c>
    </row>
    <row r="458" spans="1:3" ht="19.5" hidden="1" x14ac:dyDescent="0.35">
      <c r="A458" s="5">
        <v>2327</v>
      </c>
      <c r="B458" s="6">
        <v>9.06</v>
      </c>
      <c r="C458" s="8">
        <v>3.3222591362127604E-3</v>
      </c>
    </row>
    <row r="459" spans="1:3" ht="19.5" hidden="1" x14ac:dyDescent="0.35">
      <c r="A459" s="5">
        <v>2328</v>
      </c>
      <c r="B459" s="6">
        <v>8.8000000000000007</v>
      </c>
      <c r="C459" s="8">
        <v>-2.8697571743929298E-2</v>
      </c>
    </row>
    <row r="460" spans="1:3" ht="19.5" hidden="1" x14ac:dyDescent="0.35">
      <c r="A460" s="5">
        <v>2329</v>
      </c>
      <c r="B460" s="6">
        <v>8.92</v>
      </c>
      <c r="C460" s="8">
        <v>1.36363636363634E-2</v>
      </c>
    </row>
    <row r="461" spans="1:3" ht="19.5" hidden="1" x14ac:dyDescent="0.35">
      <c r="A461" s="5">
        <v>2330</v>
      </c>
      <c r="B461" s="6">
        <v>9.32</v>
      </c>
      <c r="C461" s="8">
        <v>4.4843049327354396E-2</v>
      </c>
    </row>
    <row r="462" spans="1:3" ht="19.5" hidden="1" x14ac:dyDescent="0.35">
      <c r="A462" s="5">
        <v>2331</v>
      </c>
      <c r="B462" s="6">
        <v>9.6300000000000008</v>
      </c>
      <c r="C462" s="8">
        <v>3.3261802575107198E-2</v>
      </c>
    </row>
    <row r="463" spans="1:3" ht="19.5" hidden="1" x14ac:dyDescent="0.35">
      <c r="A463" s="5">
        <v>2332</v>
      </c>
      <c r="B463" s="6">
        <v>9.8000000000000007</v>
      </c>
      <c r="C463" s="8">
        <v>1.7653167185877498E-2</v>
      </c>
    </row>
    <row r="464" spans="1:3" ht="19.5" hidden="1" x14ac:dyDescent="0.35">
      <c r="A464" s="5">
        <v>2333</v>
      </c>
      <c r="B464" s="6">
        <v>9.94</v>
      </c>
      <c r="C464" s="8">
        <v>1.42857142857142E-2</v>
      </c>
    </row>
    <row r="465" spans="1:3" ht="19.5" hidden="1" x14ac:dyDescent="0.35">
      <c r="A465" s="5">
        <v>2334</v>
      </c>
      <c r="B465" s="6">
        <v>10.18</v>
      </c>
      <c r="C465" s="8">
        <v>2.41448692152917E-2</v>
      </c>
    </row>
    <row r="466" spans="1:3" ht="19.5" hidden="1" x14ac:dyDescent="0.35">
      <c r="A466" s="5">
        <v>2335</v>
      </c>
      <c r="B466" s="6">
        <v>10.19</v>
      </c>
      <c r="C466" s="8">
        <v>9.8231827111972003E-4</v>
      </c>
    </row>
    <row r="467" spans="1:3" ht="19.5" hidden="1" x14ac:dyDescent="0.35">
      <c r="A467" s="5">
        <v>2336</v>
      </c>
      <c r="B467" s="6">
        <v>10.23</v>
      </c>
      <c r="C467" s="8">
        <v>3.9254170755642602E-3</v>
      </c>
    </row>
    <row r="468" spans="1:3" ht="19.5" hidden="1" x14ac:dyDescent="0.35">
      <c r="A468" s="5">
        <v>2337</v>
      </c>
      <c r="B468" s="6">
        <v>10.18</v>
      </c>
      <c r="C468" s="8">
        <v>-4.8875855327469306E-3</v>
      </c>
    </row>
    <row r="469" spans="1:3" ht="19.5" hidden="1" x14ac:dyDescent="0.35">
      <c r="A469" s="5">
        <v>2338</v>
      </c>
      <c r="B469" s="6">
        <v>10.3</v>
      </c>
      <c r="C469" s="8">
        <v>1.1787819253438199E-2</v>
      </c>
    </row>
    <row r="470" spans="1:3" ht="19.5" hidden="1" x14ac:dyDescent="0.35">
      <c r="A470" s="5">
        <v>2339</v>
      </c>
      <c r="B470" s="6">
        <v>10.08</v>
      </c>
      <c r="C470" s="8">
        <v>-2.1359223300971002E-2</v>
      </c>
    </row>
    <row r="471" spans="1:3" ht="19.5" hidden="1" x14ac:dyDescent="0.35">
      <c r="A471" s="5">
        <v>2340</v>
      </c>
      <c r="B471" s="6">
        <v>9.7200000000000006</v>
      </c>
      <c r="C471" s="8">
        <v>-3.5714285714285698E-2</v>
      </c>
    </row>
    <row r="472" spans="1:3" ht="19.5" hidden="1" x14ac:dyDescent="0.35">
      <c r="A472" s="5">
        <v>2341</v>
      </c>
      <c r="B472" s="6">
        <v>9.9600000000000009</v>
      </c>
      <c r="C472" s="8">
        <v>2.4691358024691499E-2</v>
      </c>
    </row>
    <row r="473" spans="1:3" ht="19.5" hidden="1" x14ac:dyDescent="0.35">
      <c r="A473" s="5">
        <v>2342</v>
      </c>
      <c r="B473" s="6">
        <v>9.7200000000000006</v>
      </c>
      <c r="C473" s="8">
        <v>-2.40963855421686E-2</v>
      </c>
    </row>
    <row r="474" spans="1:3" ht="19.5" hidden="1" x14ac:dyDescent="0.35">
      <c r="A474" s="5">
        <v>2343</v>
      </c>
      <c r="B474" s="6">
        <v>9.56</v>
      </c>
      <c r="C474" s="8">
        <v>-1.6460905349794299E-2</v>
      </c>
    </row>
    <row r="475" spans="1:3" ht="19.5" hidden="1" x14ac:dyDescent="0.35">
      <c r="A475" s="5">
        <v>2344</v>
      </c>
      <c r="B475" s="6">
        <v>9.1</v>
      </c>
      <c r="C475" s="8">
        <v>-4.8117154811715496E-2</v>
      </c>
    </row>
    <row r="476" spans="1:3" ht="19.5" x14ac:dyDescent="0.35">
      <c r="A476" s="5">
        <v>2345</v>
      </c>
      <c r="B476" s="6">
        <v>8.64</v>
      </c>
      <c r="C476" s="8">
        <v>-5.0549450549450502E-2</v>
      </c>
    </row>
    <row r="477" spans="1:3" ht="19.5" hidden="1" x14ac:dyDescent="0.35">
      <c r="A477" s="5">
        <v>2346</v>
      </c>
      <c r="B477" s="6">
        <v>8.85</v>
      </c>
      <c r="C477" s="8">
        <v>2.43055555555554E-2</v>
      </c>
    </row>
    <row r="478" spans="1:3" ht="19.5" hidden="1" x14ac:dyDescent="0.35">
      <c r="A478" s="5">
        <v>2347</v>
      </c>
      <c r="B478" s="6">
        <v>8.91</v>
      </c>
      <c r="C478" s="8">
        <v>6.7796610169492703E-3</v>
      </c>
    </row>
    <row r="479" spans="1:3" ht="19.5" hidden="1" x14ac:dyDescent="0.35">
      <c r="A479" s="5">
        <v>2348</v>
      </c>
      <c r="B479" s="6">
        <v>9.32</v>
      </c>
      <c r="C479" s="8">
        <v>4.60157126823795E-2</v>
      </c>
    </row>
    <row r="480" spans="1:3" ht="19.5" hidden="1" x14ac:dyDescent="0.35">
      <c r="A480" s="5">
        <v>2349</v>
      </c>
      <c r="B480" s="6">
        <v>9.31</v>
      </c>
      <c r="C480" s="8">
        <v>-1.07296137339052E-3</v>
      </c>
    </row>
    <row r="481" spans="1:3" ht="19.5" hidden="1" x14ac:dyDescent="0.35">
      <c r="A481" s="5">
        <v>2350</v>
      </c>
      <c r="B481" s="6">
        <v>9.0500000000000007</v>
      </c>
      <c r="C481" s="8">
        <v>-2.7926960257787299E-2</v>
      </c>
    </row>
    <row r="482" spans="1:3" ht="19.5" hidden="1" x14ac:dyDescent="0.35">
      <c r="A482" s="5">
        <v>2351</v>
      </c>
      <c r="B482" s="6">
        <v>9.27</v>
      </c>
      <c r="C482" s="8">
        <v>2.4309392265193401E-2</v>
      </c>
    </row>
    <row r="483" spans="1:3" ht="19.5" hidden="1" x14ac:dyDescent="0.35">
      <c r="A483" s="5">
        <v>2352</v>
      </c>
      <c r="B483" s="6">
        <v>9.43</v>
      </c>
      <c r="C483" s="8">
        <v>1.7259978425026901E-2</v>
      </c>
    </row>
    <row r="484" spans="1:3" ht="19.5" hidden="1" x14ac:dyDescent="0.35">
      <c r="A484" s="5">
        <v>2353</v>
      </c>
      <c r="B484" s="6">
        <v>9.32</v>
      </c>
      <c r="C484" s="8">
        <v>-1.16648992576882E-2</v>
      </c>
    </row>
    <row r="485" spans="1:3" ht="19.5" hidden="1" x14ac:dyDescent="0.35">
      <c r="A485" s="5">
        <v>2354</v>
      </c>
      <c r="B485" s="6">
        <v>9.2799999999999994</v>
      </c>
      <c r="C485" s="8">
        <v>-4.2918454935623202E-3</v>
      </c>
    </row>
    <row r="486" spans="1:3" ht="19.5" hidden="1" x14ac:dyDescent="0.35">
      <c r="A486" s="5">
        <v>2355</v>
      </c>
      <c r="B486" s="6">
        <v>9.48</v>
      </c>
      <c r="C486" s="8">
        <v>2.1551724137931001E-2</v>
      </c>
    </row>
    <row r="487" spans="1:3" ht="19.5" hidden="1" x14ac:dyDescent="0.35">
      <c r="A487" s="5">
        <v>2356</v>
      </c>
      <c r="B487" s="6">
        <v>9.67</v>
      </c>
      <c r="C487" s="8">
        <v>2.0042194092827002E-2</v>
      </c>
    </row>
    <row r="488" spans="1:3" ht="19.5" hidden="1" x14ac:dyDescent="0.35">
      <c r="A488" s="5">
        <v>2357</v>
      </c>
      <c r="B488" s="6">
        <v>9.6300000000000008</v>
      </c>
      <c r="C488" s="8">
        <v>-4.1365046535676306E-3</v>
      </c>
    </row>
    <row r="489" spans="1:3" ht="19.5" hidden="1" x14ac:dyDescent="0.35">
      <c r="A489" s="5">
        <v>2358</v>
      </c>
      <c r="B489" s="6">
        <v>9.17</v>
      </c>
      <c r="C489" s="8">
        <v>-4.7767393561786199E-2</v>
      </c>
    </row>
    <row r="490" spans="1:3" ht="19.5" x14ac:dyDescent="0.35">
      <c r="A490" s="5">
        <v>2359</v>
      </c>
      <c r="B490" s="6">
        <v>8.67</v>
      </c>
      <c r="C490" s="8">
        <v>-5.4525627044711006E-2</v>
      </c>
    </row>
    <row r="491" spans="1:3" ht="19.5" hidden="1" x14ac:dyDescent="0.35">
      <c r="A491" s="5">
        <v>2360</v>
      </c>
      <c r="B491" s="6">
        <v>8.7200000000000006</v>
      </c>
      <c r="C491" s="8">
        <v>5.7670126874280808E-3</v>
      </c>
    </row>
    <row r="492" spans="1:3" ht="19.5" hidden="1" x14ac:dyDescent="0.35">
      <c r="A492" s="5">
        <v>2361</v>
      </c>
      <c r="B492" s="6">
        <v>9.07</v>
      </c>
      <c r="C492" s="8">
        <v>4.0137614678899002E-2</v>
      </c>
    </row>
    <row r="493" spans="1:3" ht="19.5" hidden="1" x14ac:dyDescent="0.35">
      <c r="A493" s="5">
        <v>2362</v>
      </c>
      <c r="B493" s="6">
        <v>9.11</v>
      </c>
      <c r="C493" s="8">
        <v>4.4101433296581706E-3</v>
      </c>
    </row>
    <row r="494" spans="1:3" ht="19.5" hidden="1" x14ac:dyDescent="0.35">
      <c r="A494" s="5">
        <v>2363</v>
      </c>
      <c r="B494" s="6">
        <v>9.1199999999999992</v>
      </c>
      <c r="C494" s="8">
        <v>1.0976948408343301E-3</v>
      </c>
    </row>
    <row r="495" spans="1:3" ht="19.5" hidden="1" x14ac:dyDescent="0.35">
      <c r="A495" s="5">
        <v>2364</v>
      </c>
      <c r="B495" s="6">
        <v>9.0399999999999991</v>
      </c>
      <c r="C495" s="8">
        <v>-8.7719298245614308E-3</v>
      </c>
    </row>
    <row r="496" spans="1:3" ht="19.5" hidden="1" x14ac:dyDescent="0.35">
      <c r="A496" s="5">
        <v>2365</v>
      </c>
      <c r="B496" s="6">
        <v>9.3000000000000007</v>
      </c>
      <c r="C496" s="8">
        <v>2.87610619469028E-2</v>
      </c>
    </row>
    <row r="497" spans="1:3" ht="19.5" hidden="1" x14ac:dyDescent="0.35">
      <c r="A497" s="5">
        <v>2366</v>
      </c>
      <c r="B497" s="6">
        <v>9.59</v>
      </c>
      <c r="C497" s="8">
        <v>3.1182795698924598E-2</v>
      </c>
    </row>
    <row r="498" spans="1:3" ht="19.5" hidden="1" x14ac:dyDescent="0.35">
      <c r="A498" s="5">
        <v>2367</v>
      </c>
      <c r="B498" s="6">
        <v>9.58</v>
      </c>
      <c r="C498" s="8">
        <v>-1.04275286757038E-3</v>
      </c>
    </row>
    <row r="499" spans="1:3" ht="19.5" hidden="1" x14ac:dyDescent="0.35">
      <c r="A499" s="5">
        <v>2368</v>
      </c>
      <c r="B499" s="6">
        <v>9.58</v>
      </c>
      <c r="C499" s="8">
        <v>0</v>
      </c>
    </row>
    <row r="500" spans="1:3" ht="19.5" hidden="1" x14ac:dyDescent="0.35">
      <c r="A500" s="5">
        <v>2369</v>
      </c>
      <c r="B500" s="6">
        <v>9.59</v>
      </c>
      <c r="C500" s="8">
        <v>1.0438413361168999E-3</v>
      </c>
    </row>
    <row r="501" spans="1:3" ht="19.5" hidden="1" x14ac:dyDescent="0.35">
      <c r="A501" s="5">
        <v>2370</v>
      </c>
      <c r="B501" s="6">
        <v>9.81</v>
      </c>
      <c r="C501" s="8">
        <v>2.2940563086548498E-2</v>
      </c>
    </row>
    <row r="502" spans="1:3" ht="19.5" hidden="1" x14ac:dyDescent="0.35">
      <c r="A502" s="5">
        <v>2371</v>
      </c>
      <c r="B502" s="6">
        <v>9.86</v>
      </c>
      <c r="C502" s="8">
        <v>5.0968399592252701E-3</v>
      </c>
    </row>
    <row r="503" spans="1:3" ht="19.5" hidden="1" x14ac:dyDescent="0.35">
      <c r="A503" s="5">
        <v>2372</v>
      </c>
      <c r="B503" s="6">
        <v>9.84</v>
      </c>
      <c r="C503" s="8">
        <v>-2.0283975659228801E-3</v>
      </c>
    </row>
    <row r="504" spans="1:3" ht="19.5" hidden="1" x14ac:dyDescent="0.35">
      <c r="A504" s="5">
        <v>2373</v>
      </c>
      <c r="B504" s="6">
        <v>9.73</v>
      </c>
      <c r="C504" s="8">
        <v>-1.11788617886178E-2</v>
      </c>
    </row>
    <row r="505" spans="1:3" ht="19.5" hidden="1" x14ac:dyDescent="0.35">
      <c r="A505" s="5">
        <v>2374</v>
      </c>
      <c r="B505" s="6">
        <v>9.3800000000000008</v>
      </c>
      <c r="C505" s="8">
        <v>-3.5971223021582698E-2</v>
      </c>
    </row>
    <row r="506" spans="1:3" ht="19.5" hidden="1" x14ac:dyDescent="0.35">
      <c r="A506" s="5">
        <v>2375</v>
      </c>
      <c r="B506" s="6">
        <v>9.3000000000000007</v>
      </c>
      <c r="C506" s="8">
        <v>-8.5287846481876314E-3</v>
      </c>
    </row>
    <row r="507" spans="1:3" ht="19.5" hidden="1" x14ac:dyDescent="0.35">
      <c r="A507" s="5">
        <v>2376</v>
      </c>
      <c r="B507" s="6">
        <v>8.9700000000000006</v>
      </c>
      <c r="C507" s="8">
        <v>-3.5483870967742005E-2</v>
      </c>
    </row>
    <row r="508" spans="1:3" ht="19.5" hidden="1" x14ac:dyDescent="0.35">
      <c r="A508" s="5">
        <v>2377</v>
      </c>
      <c r="B508" s="6">
        <v>8.8000000000000007</v>
      </c>
      <c r="C508" s="8">
        <v>-1.89520624303233E-2</v>
      </c>
    </row>
    <row r="509" spans="1:3" ht="19.5" hidden="1" x14ac:dyDescent="0.35">
      <c r="A509" s="5">
        <v>2378</v>
      </c>
      <c r="B509" s="6">
        <v>8.7899999999999991</v>
      </c>
      <c r="C509" s="8">
        <v>-1.1363636363638202E-3</v>
      </c>
    </row>
    <row r="510" spans="1:3" ht="19.5" hidden="1" x14ac:dyDescent="0.35">
      <c r="A510" s="5">
        <v>2379</v>
      </c>
      <c r="B510" s="6">
        <v>8.5500000000000007</v>
      </c>
      <c r="C510" s="8">
        <v>-2.73037542662115E-2</v>
      </c>
    </row>
    <row r="511" spans="1:3" ht="19.5" x14ac:dyDescent="0.35">
      <c r="A511" s="5">
        <v>2380</v>
      </c>
      <c r="B511" s="6">
        <v>8.1199999999999992</v>
      </c>
      <c r="C511" s="8">
        <v>-5.0292397660818798E-2</v>
      </c>
    </row>
    <row r="512" spans="1:3" ht="19.5" hidden="1" x14ac:dyDescent="0.35">
      <c r="A512" s="5">
        <v>2381</v>
      </c>
      <c r="B512" s="6">
        <v>8.23</v>
      </c>
      <c r="C512" s="8">
        <v>1.35467980295567E-2</v>
      </c>
    </row>
    <row r="513" spans="1:3" ht="19.5" hidden="1" x14ac:dyDescent="0.35">
      <c r="A513" s="5">
        <v>2382</v>
      </c>
      <c r="B513" s="6">
        <v>8.4499999999999993</v>
      </c>
      <c r="C513" s="8">
        <v>2.6731470230862499E-2</v>
      </c>
    </row>
    <row r="514" spans="1:3" ht="19.5" hidden="1" x14ac:dyDescent="0.35">
      <c r="A514" s="5">
        <v>2383</v>
      </c>
      <c r="B514" s="6">
        <v>8.5299999999999994</v>
      </c>
      <c r="C514" s="8">
        <v>9.4674556213016903E-3</v>
      </c>
    </row>
    <row r="515" spans="1:3" ht="19.5" hidden="1" x14ac:dyDescent="0.35">
      <c r="A515" s="5">
        <v>2384</v>
      </c>
      <c r="B515" s="6">
        <v>8.26</v>
      </c>
      <c r="C515" s="8">
        <v>-3.16529894490035E-2</v>
      </c>
    </row>
    <row r="516" spans="1:3" ht="19.5" hidden="1" x14ac:dyDescent="0.35">
      <c r="A516" s="5">
        <v>2385</v>
      </c>
      <c r="B516" s="6">
        <v>8.0500000000000007</v>
      </c>
      <c r="C516" s="8">
        <v>-2.5423728813559299E-2</v>
      </c>
    </row>
    <row r="517" spans="1:3" ht="19.5" hidden="1" x14ac:dyDescent="0.35">
      <c r="A517" s="5">
        <v>2386</v>
      </c>
      <c r="B517" s="6">
        <v>8.0399999999999991</v>
      </c>
      <c r="C517" s="8">
        <v>-1.2422360248449701E-3</v>
      </c>
    </row>
    <row r="518" spans="1:3" ht="19.5" hidden="1" x14ac:dyDescent="0.35">
      <c r="A518" s="5">
        <v>2387</v>
      </c>
      <c r="B518" s="6">
        <v>8.3699999999999992</v>
      </c>
      <c r="C518" s="8">
        <v>4.1044776119403097E-2</v>
      </c>
    </row>
    <row r="519" spans="1:3" ht="19.5" hidden="1" x14ac:dyDescent="0.35">
      <c r="A519" s="5">
        <v>2388</v>
      </c>
      <c r="B519" s="6">
        <v>8.48</v>
      </c>
      <c r="C519" s="8">
        <v>1.31421744324971E-2</v>
      </c>
    </row>
    <row r="520" spans="1:3" ht="19.5" hidden="1" x14ac:dyDescent="0.35">
      <c r="A520" s="5">
        <v>2389</v>
      </c>
      <c r="B520" s="6">
        <v>8.32</v>
      </c>
      <c r="C520" s="8">
        <v>-1.88679245283019E-2</v>
      </c>
    </row>
    <row r="521" spans="1:3" ht="19.5" hidden="1" x14ac:dyDescent="0.35">
      <c r="A521" s="5">
        <v>2390</v>
      </c>
      <c r="B521" s="6">
        <v>8.1199999999999992</v>
      </c>
      <c r="C521" s="8">
        <v>-2.4038461538461699E-2</v>
      </c>
    </row>
    <row r="522" spans="1:3" ht="19.5" hidden="1" x14ac:dyDescent="0.35">
      <c r="A522" s="5">
        <v>2391</v>
      </c>
      <c r="B522" s="6">
        <v>8.17</v>
      </c>
      <c r="C522" s="8">
        <v>6.1576354679804303E-3</v>
      </c>
    </row>
    <row r="523" spans="1:3" ht="19.5" hidden="1" x14ac:dyDescent="0.35">
      <c r="A523" s="5">
        <v>2392</v>
      </c>
      <c r="B523" s="6">
        <v>8.1300000000000008</v>
      </c>
      <c r="C523" s="8">
        <v>-4.89596083231325E-3</v>
      </c>
    </row>
    <row r="524" spans="1:3" ht="19.5" x14ac:dyDescent="0.35">
      <c r="A524" s="5">
        <v>2393</v>
      </c>
      <c r="B524" s="6">
        <v>7.68</v>
      </c>
      <c r="C524" s="8">
        <v>-5.5350553505535201E-2</v>
      </c>
    </row>
    <row r="525" spans="1:3" ht="19.5" hidden="1" x14ac:dyDescent="0.35">
      <c r="A525" s="5">
        <v>2394</v>
      </c>
      <c r="B525" s="6">
        <v>7.68</v>
      </c>
      <c r="C525" s="8">
        <v>0</v>
      </c>
    </row>
    <row r="526" spans="1:3" ht="19.5" hidden="1" x14ac:dyDescent="0.35">
      <c r="A526" s="5">
        <v>2395</v>
      </c>
      <c r="B526" s="6">
        <v>7.68</v>
      </c>
      <c r="C526" s="8">
        <v>0</v>
      </c>
    </row>
    <row r="527" spans="1:3" ht="19.5" hidden="1" x14ac:dyDescent="0.35">
      <c r="A527" s="5">
        <v>2396</v>
      </c>
      <c r="B527" s="6">
        <v>7.68</v>
      </c>
      <c r="C527" s="8">
        <v>0</v>
      </c>
    </row>
    <row r="528" spans="1:3" ht="19.5" hidden="1" x14ac:dyDescent="0.35">
      <c r="A528" s="5">
        <v>2397</v>
      </c>
      <c r="B528" s="6">
        <v>7.68</v>
      </c>
      <c r="C528" s="8">
        <v>0</v>
      </c>
    </row>
    <row r="529" spans="1:3" ht="19.5" hidden="1" x14ac:dyDescent="0.35">
      <c r="A529" s="5">
        <v>2398</v>
      </c>
      <c r="B529" s="6">
        <v>7.35</v>
      </c>
      <c r="C529" s="8">
        <v>-4.296875E-2</v>
      </c>
    </row>
    <row r="530" spans="1:3" ht="19.5" hidden="1" x14ac:dyDescent="0.35">
      <c r="A530" s="5">
        <v>2399</v>
      </c>
      <c r="B530" s="6">
        <v>7.48</v>
      </c>
      <c r="C530" s="8">
        <v>1.7687074829932002E-2</v>
      </c>
    </row>
    <row r="531" spans="1:3" ht="19.5" hidden="1" x14ac:dyDescent="0.35">
      <c r="A531" s="5">
        <v>2400</v>
      </c>
      <c r="B531" s="6">
        <v>7.38</v>
      </c>
      <c r="C531" s="8">
        <v>-1.33689839572193E-2</v>
      </c>
    </row>
    <row r="532" spans="1:3" ht="19.5" hidden="1" x14ac:dyDescent="0.35">
      <c r="A532" s="5">
        <v>2401</v>
      </c>
      <c r="B532" s="6">
        <v>7.57</v>
      </c>
      <c r="C532" s="8">
        <v>2.5745257452574499E-2</v>
      </c>
    </row>
    <row r="533" spans="1:3" ht="19.5" hidden="1" x14ac:dyDescent="0.35">
      <c r="A533" s="5">
        <v>2402</v>
      </c>
      <c r="B533" s="6">
        <v>8.14</v>
      </c>
      <c r="C533" s="8">
        <v>7.5297225891677796E-2</v>
      </c>
    </row>
    <row r="534" spans="1:3" ht="19.5" hidden="1" x14ac:dyDescent="0.35">
      <c r="A534" s="5">
        <v>2403</v>
      </c>
      <c r="B534" s="6">
        <v>7.95</v>
      </c>
      <c r="C534" s="8">
        <v>-2.3341523341523399E-2</v>
      </c>
    </row>
    <row r="535" spans="1:3" ht="19.5" hidden="1" x14ac:dyDescent="0.35">
      <c r="A535" s="5">
        <v>2404</v>
      </c>
      <c r="B535" s="6">
        <v>8.0399999999999991</v>
      </c>
      <c r="C535" s="8">
        <v>1.1320754716980901E-2</v>
      </c>
    </row>
    <row r="536" spans="1:3" ht="19.5" hidden="1" x14ac:dyDescent="0.35">
      <c r="A536" s="5">
        <v>2405</v>
      </c>
      <c r="B536" s="6">
        <v>8.01</v>
      </c>
      <c r="C536" s="8">
        <v>-3.7313432835820405E-3</v>
      </c>
    </row>
    <row r="537" spans="1:3" ht="19.5" hidden="1" x14ac:dyDescent="0.35">
      <c r="A537" s="5">
        <v>2406</v>
      </c>
      <c r="B537" s="6">
        <v>8.35</v>
      </c>
      <c r="C537" s="8">
        <v>4.2446941323345699E-2</v>
      </c>
    </row>
    <row r="538" spans="1:3" ht="19.5" hidden="1" x14ac:dyDescent="0.35">
      <c r="A538" s="5">
        <v>2407</v>
      </c>
      <c r="B538" s="6">
        <v>8.66</v>
      </c>
      <c r="C538" s="8">
        <v>3.7125748502994098E-2</v>
      </c>
    </row>
    <row r="539" spans="1:3" ht="19.5" hidden="1" x14ac:dyDescent="0.35">
      <c r="A539" s="5">
        <v>2408</v>
      </c>
      <c r="B539" s="6">
        <v>9.14</v>
      </c>
      <c r="C539" s="8">
        <v>5.5427251732101696E-2</v>
      </c>
    </row>
    <row r="540" spans="1:3" ht="19.5" hidden="1" x14ac:dyDescent="0.35">
      <c r="A540" s="5">
        <v>2409</v>
      </c>
      <c r="B540" s="6">
        <v>9.4600000000000009</v>
      </c>
      <c r="C540" s="8">
        <v>3.5010940919037302E-2</v>
      </c>
    </row>
    <row r="541" spans="1:3" ht="19.5" hidden="1" x14ac:dyDescent="0.35">
      <c r="A541" s="5">
        <v>2410</v>
      </c>
      <c r="B541" s="6">
        <v>9.48</v>
      </c>
      <c r="C541" s="8">
        <v>2.1141649048625998E-3</v>
      </c>
    </row>
    <row r="542" spans="1:3" ht="19.5" hidden="1" x14ac:dyDescent="0.35">
      <c r="A542" s="5">
        <v>2411</v>
      </c>
      <c r="B542" s="6">
        <v>9.33</v>
      </c>
      <c r="C542" s="8">
        <v>-1.5822784810126701E-2</v>
      </c>
    </row>
    <row r="543" spans="1:3" ht="19.5" hidden="1" x14ac:dyDescent="0.35">
      <c r="A543" s="5">
        <v>2412</v>
      </c>
      <c r="B543" s="6">
        <v>9.1999999999999993</v>
      </c>
      <c r="C543" s="8">
        <v>-1.39335476956056E-2</v>
      </c>
    </row>
    <row r="544" spans="1:3" ht="19.5" hidden="1" x14ac:dyDescent="0.35">
      <c r="A544" s="5">
        <v>2413</v>
      </c>
      <c r="B544" s="6">
        <v>9.17</v>
      </c>
      <c r="C544" s="8">
        <v>-3.2608695652173204E-3</v>
      </c>
    </row>
    <row r="545" spans="1:3" ht="19.5" hidden="1" x14ac:dyDescent="0.35">
      <c r="A545" s="5">
        <v>2414</v>
      </c>
      <c r="B545" s="6">
        <v>9.07</v>
      </c>
      <c r="C545" s="8">
        <v>-1.0905125408942199E-2</v>
      </c>
    </row>
    <row r="546" spans="1:3" ht="19.5" hidden="1" x14ac:dyDescent="0.35">
      <c r="A546" s="5">
        <v>2415</v>
      </c>
      <c r="B546" s="6">
        <v>9.27</v>
      </c>
      <c r="C546" s="8">
        <v>2.2050716648291099E-2</v>
      </c>
    </row>
    <row r="547" spans="1:3" ht="19.5" hidden="1" x14ac:dyDescent="0.35">
      <c r="A547" s="5">
        <v>2416</v>
      </c>
      <c r="B547" s="6">
        <v>9.36</v>
      </c>
      <c r="C547" s="8">
        <v>9.7087378640776708E-3</v>
      </c>
    </row>
    <row r="548" spans="1:3" ht="19.5" hidden="1" x14ac:dyDescent="0.35">
      <c r="A548" s="5">
        <v>2417</v>
      </c>
      <c r="B548" s="6">
        <v>9.23</v>
      </c>
      <c r="C548" s="8">
        <v>-1.3888888888888699E-2</v>
      </c>
    </row>
    <row r="549" spans="1:3" ht="19.5" hidden="1" x14ac:dyDescent="0.35">
      <c r="A549" s="5">
        <v>2418</v>
      </c>
      <c r="B549" s="6">
        <v>9.3000000000000007</v>
      </c>
      <c r="C549" s="8">
        <v>7.5839653304441406E-3</v>
      </c>
    </row>
    <row r="550" spans="1:3" ht="19.5" hidden="1" x14ac:dyDescent="0.35">
      <c r="A550" s="5">
        <v>2419</v>
      </c>
      <c r="B550" s="6">
        <v>9.68</v>
      </c>
      <c r="C550" s="8">
        <v>4.0860215053763402E-2</v>
      </c>
    </row>
    <row r="551" spans="1:3" ht="19.5" hidden="1" x14ac:dyDescent="0.35">
      <c r="A551" s="5">
        <v>2420</v>
      </c>
      <c r="B551" s="6">
        <v>9.98</v>
      </c>
      <c r="C551" s="8">
        <v>3.0991735537190299E-2</v>
      </c>
    </row>
    <row r="552" spans="1:3" ht="19.5" hidden="1" x14ac:dyDescent="0.35">
      <c r="A552" s="5">
        <v>2421</v>
      </c>
      <c r="B552" s="6">
        <v>10.210000000000001</v>
      </c>
      <c r="C552" s="8">
        <v>2.3046092184368698E-2</v>
      </c>
    </row>
    <row r="553" spans="1:3" ht="19.5" hidden="1" x14ac:dyDescent="0.35">
      <c r="A553" s="5">
        <v>2422</v>
      </c>
      <c r="B553" s="6">
        <v>9.8000000000000007</v>
      </c>
      <c r="C553" s="8">
        <v>-4.0156709108716902E-2</v>
      </c>
    </row>
    <row r="554" spans="1:3" ht="19.5" hidden="1" x14ac:dyDescent="0.35">
      <c r="A554" s="5">
        <v>2423</v>
      </c>
      <c r="B554" s="6">
        <v>9.57</v>
      </c>
      <c r="C554" s="8">
        <v>-2.34693877551021E-2</v>
      </c>
    </row>
    <row r="555" spans="1:3" ht="19.5" x14ac:dyDescent="0.35">
      <c r="A555" s="5">
        <v>2424</v>
      </c>
      <c r="B555" s="6">
        <v>9.0299999999999994</v>
      </c>
      <c r="C555" s="8">
        <v>-5.6426332288401299E-2</v>
      </c>
    </row>
    <row r="556" spans="1:3" ht="19.5" hidden="1" x14ac:dyDescent="0.35">
      <c r="A556" s="5">
        <v>2425</v>
      </c>
      <c r="B556" s="6">
        <v>9.31</v>
      </c>
      <c r="C556" s="8">
        <v>3.10077519379846E-2</v>
      </c>
    </row>
    <row r="557" spans="1:3" ht="19.5" hidden="1" x14ac:dyDescent="0.35">
      <c r="A557" s="5">
        <v>2426</v>
      </c>
      <c r="B557" s="6">
        <v>9.17</v>
      </c>
      <c r="C557" s="8">
        <v>-1.5037593984962499E-2</v>
      </c>
    </row>
    <row r="558" spans="1:3" ht="19.5" hidden="1" x14ac:dyDescent="0.35">
      <c r="A558" s="5">
        <v>2427</v>
      </c>
      <c r="B558" s="6">
        <v>8.86</v>
      </c>
      <c r="C558" s="8">
        <v>-3.3805888767720796E-2</v>
      </c>
    </row>
    <row r="559" spans="1:3" ht="19.5" hidden="1" x14ac:dyDescent="0.35">
      <c r="A559" s="5">
        <v>2428</v>
      </c>
      <c r="B559" s="6">
        <v>9.0399999999999991</v>
      </c>
      <c r="C559" s="8">
        <v>2.0316027088036002E-2</v>
      </c>
    </row>
    <row r="560" spans="1:3" ht="19.5" hidden="1" x14ac:dyDescent="0.35">
      <c r="A560" s="5">
        <v>2429</v>
      </c>
      <c r="B560" s="6">
        <v>8.7899999999999991</v>
      </c>
      <c r="C560" s="8">
        <v>-2.76548672566371E-2</v>
      </c>
    </row>
    <row r="561" spans="1:3" ht="19.5" hidden="1" x14ac:dyDescent="0.35">
      <c r="A561" s="5">
        <v>2430</v>
      </c>
      <c r="B561" s="6">
        <v>8.5299999999999994</v>
      </c>
      <c r="C561" s="8">
        <v>-2.95790671217292E-2</v>
      </c>
    </row>
    <row r="562" spans="1:3" ht="19.5" hidden="1" x14ac:dyDescent="0.35">
      <c r="A562" s="5">
        <v>2431</v>
      </c>
      <c r="B562" s="6">
        <v>8.1199999999999992</v>
      </c>
      <c r="C562" s="8">
        <v>-4.80656506447832E-2</v>
      </c>
    </row>
    <row r="563" spans="1:3" ht="19.5" x14ac:dyDescent="0.35">
      <c r="A563" s="5">
        <v>2432</v>
      </c>
      <c r="B563" s="6">
        <v>7.68</v>
      </c>
      <c r="C563" s="8">
        <v>-5.41871921182265E-2</v>
      </c>
    </row>
    <row r="564" spans="1:3" ht="19.5" x14ac:dyDescent="0.35">
      <c r="A564" s="5">
        <v>2433</v>
      </c>
      <c r="B564" s="6">
        <v>7.04</v>
      </c>
      <c r="C564" s="8">
        <v>-8.3333333333333301E-2</v>
      </c>
    </row>
    <row r="565" spans="1:3" ht="19.5" hidden="1" x14ac:dyDescent="0.35">
      <c r="A565" s="5">
        <v>2434</v>
      </c>
      <c r="B565" s="6">
        <v>6.8</v>
      </c>
      <c r="C565" s="8">
        <v>-3.4090909090909199E-2</v>
      </c>
    </row>
    <row r="566" spans="1:3" ht="19.5" hidden="1" x14ac:dyDescent="0.35">
      <c r="A566" s="5">
        <v>2435</v>
      </c>
      <c r="B566" s="6">
        <v>7.21</v>
      </c>
      <c r="C566" s="8">
        <v>6.0294117647058797E-2</v>
      </c>
    </row>
    <row r="567" spans="1:3" ht="19.5" hidden="1" x14ac:dyDescent="0.35">
      <c r="A567" s="5">
        <v>2436</v>
      </c>
      <c r="B567" s="6">
        <v>7.43</v>
      </c>
      <c r="C567" s="8">
        <v>3.0513176144244099E-2</v>
      </c>
    </row>
    <row r="568" spans="1:3" ht="19.5" hidden="1" x14ac:dyDescent="0.35">
      <c r="A568" s="5">
        <v>2437</v>
      </c>
      <c r="B568" s="6">
        <v>7.28</v>
      </c>
      <c r="C568" s="8">
        <v>-2.0188425302826298E-2</v>
      </c>
    </row>
    <row r="569" spans="1:3" ht="19.5" hidden="1" x14ac:dyDescent="0.35">
      <c r="A569" s="5">
        <v>2438</v>
      </c>
      <c r="B569" s="6">
        <v>7.21</v>
      </c>
      <c r="C569" s="8">
        <v>-9.6153846153846905E-3</v>
      </c>
    </row>
    <row r="570" spans="1:3" ht="19.5" hidden="1" x14ac:dyDescent="0.35">
      <c r="A570" s="5">
        <v>2439</v>
      </c>
      <c r="B570" s="6">
        <v>7.44</v>
      </c>
      <c r="C570" s="8">
        <v>3.1900138696255201E-2</v>
      </c>
    </row>
    <row r="571" spans="1:3" ht="19.5" hidden="1" x14ac:dyDescent="0.35">
      <c r="A571" s="5">
        <v>2440</v>
      </c>
      <c r="B571" s="6">
        <v>7.45</v>
      </c>
      <c r="C571" s="8">
        <v>1.34408602150526E-3</v>
      </c>
    </row>
    <row r="572" spans="1:3" ht="19.5" hidden="1" x14ac:dyDescent="0.35">
      <c r="A572" s="5">
        <v>2441</v>
      </c>
      <c r="B572" s="6">
        <v>7.51</v>
      </c>
      <c r="C572" s="8">
        <v>8.0536912751676404E-3</v>
      </c>
    </row>
    <row r="573" spans="1:3" ht="19.5" hidden="1" x14ac:dyDescent="0.35">
      <c r="A573" s="5">
        <v>2442</v>
      </c>
      <c r="B573" s="6">
        <v>7.58</v>
      </c>
      <c r="C573" s="8">
        <v>9.3209054593874612E-3</v>
      </c>
    </row>
    <row r="574" spans="1:3" ht="19.5" hidden="1" x14ac:dyDescent="0.35">
      <c r="A574" s="5">
        <v>2443</v>
      </c>
      <c r="B574" s="6">
        <v>7.54</v>
      </c>
      <c r="C574" s="8">
        <v>-5.2770448548812307E-3</v>
      </c>
    </row>
    <row r="575" spans="1:3" ht="19.5" hidden="1" x14ac:dyDescent="0.35">
      <c r="A575" s="5">
        <v>2444</v>
      </c>
      <c r="B575" s="6">
        <v>7.86</v>
      </c>
      <c r="C575" s="8">
        <v>4.2440318302387398E-2</v>
      </c>
    </row>
    <row r="576" spans="1:3" ht="19.5" hidden="1" x14ac:dyDescent="0.35">
      <c r="A576" s="5">
        <v>2445</v>
      </c>
      <c r="B576" s="6">
        <v>8.06</v>
      </c>
      <c r="C576" s="8">
        <v>2.5445292620865298E-2</v>
      </c>
    </row>
    <row r="577" spans="1:3" ht="19.5" hidden="1" x14ac:dyDescent="0.35">
      <c r="A577" s="5">
        <v>2446</v>
      </c>
      <c r="B577" s="6">
        <v>7.9</v>
      </c>
      <c r="C577" s="8">
        <v>-1.9851116625310101E-2</v>
      </c>
    </row>
    <row r="578" spans="1:3" ht="19.5" hidden="1" x14ac:dyDescent="0.35">
      <c r="A578" s="5">
        <v>2447</v>
      </c>
      <c r="B578" s="6">
        <v>7.85</v>
      </c>
      <c r="C578" s="8">
        <v>-6.3291139240507803E-3</v>
      </c>
    </row>
    <row r="579" spans="1:3" ht="19.5" hidden="1" x14ac:dyDescent="0.35">
      <c r="A579" s="5">
        <v>2448</v>
      </c>
      <c r="B579" s="6">
        <v>7.88</v>
      </c>
      <c r="C579" s="8">
        <v>3.8216560509554101E-3</v>
      </c>
    </row>
    <row r="580" spans="1:3" ht="19.5" hidden="1" x14ac:dyDescent="0.35">
      <c r="A580" s="5">
        <v>2449</v>
      </c>
      <c r="B580" s="6">
        <v>8.1199999999999992</v>
      </c>
      <c r="C580" s="8">
        <v>3.0456852791878004E-2</v>
      </c>
    </row>
    <row r="581" spans="1:3" ht="19.5" hidden="1" x14ac:dyDescent="0.35">
      <c r="A581" s="5">
        <v>2450</v>
      </c>
      <c r="B581" s="6">
        <v>8.39</v>
      </c>
      <c r="C581" s="8">
        <v>3.3251231527093902E-2</v>
      </c>
    </row>
    <row r="582" spans="1:3" ht="19.5" hidden="1" x14ac:dyDescent="0.35">
      <c r="A582" s="5">
        <v>2451</v>
      </c>
      <c r="B582" s="6">
        <v>8.9700000000000006</v>
      </c>
      <c r="C582" s="8">
        <v>6.9129916567342006E-2</v>
      </c>
    </row>
    <row r="583" spans="1:3" ht="19.5" hidden="1" x14ac:dyDescent="0.35">
      <c r="A583" s="5">
        <v>2452</v>
      </c>
      <c r="B583" s="6">
        <v>9.2100000000000009</v>
      </c>
      <c r="C583" s="8">
        <v>2.6755852842809298E-2</v>
      </c>
    </row>
    <row r="584" spans="1:3" ht="19.5" hidden="1" x14ac:dyDescent="0.35">
      <c r="A584" s="5">
        <v>2453</v>
      </c>
      <c r="B584" s="6">
        <v>9.51</v>
      </c>
      <c r="C584" s="8">
        <v>3.2573289902279902E-2</v>
      </c>
    </row>
    <row r="585" spans="1:3" ht="19.5" x14ac:dyDescent="0.35">
      <c r="A585" s="5">
        <v>2454</v>
      </c>
      <c r="B585" s="6">
        <v>8.8699999999999992</v>
      </c>
      <c r="C585" s="8">
        <v>-6.7297581493165101E-2</v>
      </c>
    </row>
    <row r="586" spans="1:3" ht="19.5" hidden="1" x14ac:dyDescent="0.35">
      <c r="A586" s="5">
        <v>2455</v>
      </c>
      <c r="B586" s="6">
        <v>9.01</v>
      </c>
      <c r="C586" s="8">
        <v>1.57835400225479E-2</v>
      </c>
    </row>
    <row r="587" spans="1:3" ht="19.5" hidden="1" x14ac:dyDescent="0.35">
      <c r="A587" s="5">
        <v>2456</v>
      </c>
      <c r="B587" s="6">
        <v>9.4700000000000006</v>
      </c>
      <c r="C587" s="8">
        <v>5.1054384017758199E-2</v>
      </c>
    </row>
    <row r="588" spans="1:3" ht="19.5" hidden="1" x14ac:dyDescent="0.35">
      <c r="A588" s="5">
        <v>2457</v>
      </c>
      <c r="B588" s="6">
        <v>9.19</v>
      </c>
      <c r="C588" s="8">
        <v>-2.9567053854276798E-2</v>
      </c>
    </row>
    <row r="589" spans="1:3" ht="19.5" hidden="1" x14ac:dyDescent="0.35">
      <c r="A589" s="5">
        <v>2458</v>
      </c>
      <c r="B589" s="6">
        <v>8.92</v>
      </c>
      <c r="C589" s="8">
        <v>-2.9379760609358003E-2</v>
      </c>
    </row>
    <row r="590" spans="1:3" ht="19.5" hidden="1" x14ac:dyDescent="0.35">
      <c r="A590" s="5">
        <v>2459</v>
      </c>
      <c r="B590" s="6">
        <v>8.83</v>
      </c>
      <c r="C590" s="8">
        <v>-1.0089686098654699E-2</v>
      </c>
    </row>
    <row r="591" spans="1:3" ht="19.5" x14ac:dyDescent="0.35">
      <c r="A591" s="5">
        <v>2460</v>
      </c>
      <c r="B591" s="6">
        <v>8.1</v>
      </c>
      <c r="C591" s="8">
        <v>-8.2672706681766794E-2</v>
      </c>
    </row>
    <row r="592" spans="1:3" ht="19.5" hidden="1" x14ac:dyDescent="0.35">
      <c r="A592" s="5">
        <v>2461</v>
      </c>
      <c r="B592" s="6">
        <v>8.67</v>
      </c>
      <c r="C592" s="8">
        <v>7.0370370370370403E-2</v>
      </c>
    </row>
    <row r="593" spans="1:3" ht="19.5" hidden="1" x14ac:dyDescent="0.35">
      <c r="A593" s="5">
        <v>2462</v>
      </c>
      <c r="B593" s="6">
        <v>8.6</v>
      </c>
      <c r="C593" s="8">
        <v>-8.0738177623991304E-3</v>
      </c>
    </row>
    <row r="594" spans="1:3" ht="19.5" x14ac:dyDescent="0.35">
      <c r="A594" s="5">
        <v>2463</v>
      </c>
      <c r="B594" s="6">
        <v>8.06</v>
      </c>
      <c r="C594" s="8">
        <v>-6.27906976744185E-2</v>
      </c>
    </row>
    <row r="595" spans="1:3" ht="19.5" hidden="1" x14ac:dyDescent="0.35">
      <c r="A595" s="5">
        <v>2464</v>
      </c>
      <c r="B595" s="6">
        <v>7.92</v>
      </c>
      <c r="C595" s="8">
        <v>-1.73697270471465E-2</v>
      </c>
    </row>
    <row r="596" spans="1:3" ht="19.5" hidden="1" x14ac:dyDescent="0.35">
      <c r="A596" s="5">
        <v>2465</v>
      </c>
      <c r="B596" s="6">
        <v>7.91</v>
      </c>
      <c r="C596" s="8">
        <v>-1.2626262626261901E-3</v>
      </c>
    </row>
    <row r="597" spans="1:3" ht="19.5" hidden="1" x14ac:dyDescent="0.35">
      <c r="A597" s="5">
        <v>2466</v>
      </c>
      <c r="B597" s="6">
        <v>7.6</v>
      </c>
      <c r="C597" s="8">
        <v>-3.9190897597977302E-2</v>
      </c>
    </row>
    <row r="598" spans="1:3" ht="19.5" hidden="1" x14ac:dyDescent="0.35">
      <c r="A598" s="5">
        <v>2467</v>
      </c>
      <c r="B598" s="6">
        <v>7.87</v>
      </c>
      <c r="C598" s="8">
        <v>3.5526315789473802E-2</v>
      </c>
    </row>
    <row r="599" spans="1:3" ht="19.5" hidden="1" x14ac:dyDescent="0.35">
      <c r="A599" s="5">
        <v>2468</v>
      </c>
      <c r="B599" s="6">
        <v>7.88</v>
      </c>
      <c r="C599" s="8">
        <v>1.2706480304955901E-3</v>
      </c>
    </row>
    <row r="600" spans="1:3" ht="19.5" x14ac:dyDescent="0.35">
      <c r="A600" s="5">
        <v>2469</v>
      </c>
      <c r="B600" s="6">
        <v>7.48</v>
      </c>
      <c r="C600" s="8">
        <v>-5.0761421319796898E-2</v>
      </c>
    </row>
    <row r="601" spans="1:3" ht="19.5" x14ac:dyDescent="0.35">
      <c r="A601" s="5">
        <v>2470</v>
      </c>
      <c r="B601" s="6">
        <v>6.81</v>
      </c>
      <c r="C601" s="8">
        <v>-8.9572192513369092E-2</v>
      </c>
    </row>
    <row r="602" spans="1:3" ht="19.5" hidden="1" x14ac:dyDescent="0.35">
      <c r="A602" s="5">
        <v>2471</v>
      </c>
      <c r="B602" s="6">
        <v>7.11</v>
      </c>
      <c r="C602" s="8">
        <v>4.4052863436123496E-2</v>
      </c>
    </row>
    <row r="603" spans="1:3" ht="19.5" hidden="1" x14ac:dyDescent="0.35">
      <c r="A603" s="5">
        <v>2472</v>
      </c>
      <c r="B603" s="6">
        <v>7.06</v>
      </c>
      <c r="C603" s="8">
        <v>-7.0323488045007706E-3</v>
      </c>
    </row>
    <row r="604" spans="1:3" ht="19.5" hidden="1" x14ac:dyDescent="0.35">
      <c r="A604" s="5">
        <v>2473</v>
      </c>
      <c r="B604" s="6">
        <v>6.88</v>
      </c>
      <c r="C604" s="8">
        <v>-2.54957507082153E-2</v>
      </c>
    </row>
    <row r="605" spans="1:3" ht="19.5" hidden="1" x14ac:dyDescent="0.35">
      <c r="A605" s="5">
        <v>2474</v>
      </c>
      <c r="B605" s="6">
        <v>6.91</v>
      </c>
      <c r="C605" s="8">
        <v>4.3604651162791903E-3</v>
      </c>
    </row>
    <row r="606" spans="1:3" ht="19.5" hidden="1" x14ac:dyDescent="0.35">
      <c r="A606" s="5">
        <v>2475</v>
      </c>
      <c r="B606" s="6">
        <v>7.12</v>
      </c>
      <c r="C606" s="8">
        <v>3.0390738060781498E-2</v>
      </c>
    </row>
    <row r="607" spans="1:3" ht="19.5" x14ac:dyDescent="0.35">
      <c r="A607" s="5">
        <v>2476</v>
      </c>
      <c r="B607" s="6">
        <v>6.55</v>
      </c>
      <c r="C607" s="8">
        <v>-8.00561797752809E-2</v>
      </c>
    </row>
    <row r="608" spans="1:3" ht="19.5" hidden="1" x14ac:dyDescent="0.35">
      <c r="A608" s="5">
        <v>2477</v>
      </c>
      <c r="B608" s="6">
        <v>6.53</v>
      </c>
      <c r="C608" s="8">
        <v>-3.05343511450373E-3</v>
      </c>
    </row>
    <row r="609" spans="1:3" ht="19.5" hidden="1" x14ac:dyDescent="0.35">
      <c r="A609" s="5">
        <v>2478</v>
      </c>
      <c r="B609" s="6">
        <v>6.45</v>
      </c>
      <c r="C609" s="8">
        <v>-1.2251148545176199E-2</v>
      </c>
    </row>
    <row r="610" spans="1:3" ht="19.5" hidden="1" x14ac:dyDescent="0.35">
      <c r="A610" s="5">
        <v>2479</v>
      </c>
      <c r="B610" s="6">
        <v>6.61</v>
      </c>
      <c r="C610" s="8">
        <v>2.48062015503876E-2</v>
      </c>
    </row>
    <row r="611" spans="1:3" ht="19.5" hidden="1" x14ac:dyDescent="0.35">
      <c r="A611" s="5">
        <v>2480</v>
      </c>
      <c r="B611" s="6">
        <v>6.7</v>
      </c>
      <c r="C611" s="8">
        <v>1.3615733736762399E-2</v>
      </c>
    </row>
    <row r="612" spans="1:3" ht="19.5" hidden="1" x14ac:dyDescent="0.35">
      <c r="A612" s="5">
        <v>2481</v>
      </c>
      <c r="B612" s="6">
        <v>7.06</v>
      </c>
      <c r="C612" s="8">
        <v>5.3731343283582006E-2</v>
      </c>
    </row>
    <row r="613" spans="1:3" ht="19.5" hidden="1" x14ac:dyDescent="0.35">
      <c r="A613" s="5">
        <v>2482</v>
      </c>
      <c r="B613" s="6">
        <v>7.31</v>
      </c>
      <c r="C613" s="8">
        <v>3.5410764872521303E-2</v>
      </c>
    </row>
    <row r="614" spans="1:3" ht="19.5" hidden="1" x14ac:dyDescent="0.35">
      <c r="A614" s="5">
        <v>2483</v>
      </c>
      <c r="B614" s="6">
        <v>7.3</v>
      </c>
      <c r="C614" s="8">
        <v>-1.3679890560874802E-3</v>
      </c>
    </row>
    <row r="615" spans="1:3" ht="19.5" hidden="1" x14ac:dyDescent="0.35">
      <c r="A615" s="5">
        <v>2484</v>
      </c>
      <c r="B615" s="6">
        <v>7.46</v>
      </c>
      <c r="C615" s="8">
        <v>2.1917808219178003E-2</v>
      </c>
    </row>
    <row r="616" spans="1:3" ht="19.5" hidden="1" x14ac:dyDescent="0.35">
      <c r="A616" s="5">
        <v>2485</v>
      </c>
      <c r="B616" s="6">
        <v>7.74</v>
      </c>
      <c r="C616" s="8">
        <v>3.7533512064343202E-2</v>
      </c>
    </row>
    <row r="617" spans="1:3" ht="19.5" hidden="1" x14ac:dyDescent="0.35">
      <c r="A617" s="5">
        <v>2486</v>
      </c>
      <c r="B617" s="6">
        <v>8.2100000000000009</v>
      </c>
      <c r="C617" s="8">
        <v>6.0723514211886501E-2</v>
      </c>
    </row>
    <row r="618" spans="1:3" ht="19.5" hidden="1" x14ac:dyDescent="0.35">
      <c r="A618" s="5">
        <v>2487</v>
      </c>
      <c r="B618" s="6">
        <v>8.5299999999999994</v>
      </c>
      <c r="C618" s="8">
        <v>3.89768574908647E-2</v>
      </c>
    </row>
    <row r="619" spans="1:3" ht="19.5" hidden="1" x14ac:dyDescent="0.35">
      <c r="A619" s="5">
        <v>2488</v>
      </c>
      <c r="B619" s="6">
        <v>8.4499999999999993</v>
      </c>
      <c r="C619" s="8">
        <v>-9.3786635404454807E-3</v>
      </c>
    </row>
    <row r="620" spans="1:3" ht="19.5" hidden="1" x14ac:dyDescent="0.35">
      <c r="A620" s="5">
        <v>2489</v>
      </c>
      <c r="B620" s="6">
        <v>8.51</v>
      </c>
      <c r="C620" s="8">
        <v>7.1005917159763206E-3</v>
      </c>
    </row>
    <row r="621" spans="1:3" ht="19.5" hidden="1" x14ac:dyDescent="0.35">
      <c r="A621" s="5">
        <v>2490</v>
      </c>
      <c r="B621" s="6">
        <v>8.83</v>
      </c>
      <c r="C621" s="8">
        <v>3.7602820211516001E-2</v>
      </c>
    </row>
    <row r="622" spans="1:3" ht="19.5" hidden="1" x14ac:dyDescent="0.35">
      <c r="A622" s="5">
        <v>2491</v>
      </c>
      <c r="B622" s="6">
        <v>9.06</v>
      </c>
      <c r="C622" s="8">
        <v>2.6047565118912899E-2</v>
      </c>
    </row>
    <row r="623" spans="1:3" ht="19.5" hidden="1" x14ac:dyDescent="0.35">
      <c r="A623" s="5">
        <v>2492</v>
      </c>
      <c r="B623" s="6">
        <v>9.26</v>
      </c>
      <c r="C623" s="8">
        <v>2.2075055187637898E-2</v>
      </c>
    </row>
    <row r="624" spans="1:3" ht="19.5" hidden="1" x14ac:dyDescent="0.35">
      <c r="A624" s="5">
        <v>2493</v>
      </c>
      <c r="B624" s="6">
        <v>8.8000000000000007</v>
      </c>
      <c r="C624" s="8">
        <v>-4.96760259179264E-2</v>
      </c>
    </row>
    <row r="625" spans="1:3" ht="19.5" hidden="1" x14ac:dyDescent="0.35">
      <c r="A625" s="5">
        <v>2494</v>
      </c>
      <c r="B625" s="6">
        <v>8.7799999999999994</v>
      </c>
      <c r="C625" s="8">
        <v>-2.27272727272743E-3</v>
      </c>
    </row>
    <row r="626" spans="1:3" ht="19.5" hidden="1" x14ac:dyDescent="0.35">
      <c r="A626" s="5">
        <v>2495</v>
      </c>
      <c r="B626" s="6">
        <v>8.9</v>
      </c>
      <c r="C626" s="8">
        <v>1.3667425968109499E-2</v>
      </c>
    </row>
    <row r="627" spans="1:3" ht="19.5" hidden="1" x14ac:dyDescent="0.35">
      <c r="A627" s="5">
        <v>2496</v>
      </c>
      <c r="B627" s="6">
        <v>9.2799999999999994</v>
      </c>
      <c r="C627" s="8">
        <v>4.2696629213482898E-2</v>
      </c>
    </row>
    <row r="628" spans="1:3" ht="19.5" hidden="1" x14ac:dyDescent="0.35">
      <c r="A628" s="5">
        <v>2497</v>
      </c>
      <c r="B628" s="6">
        <v>9.43</v>
      </c>
      <c r="C628" s="8">
        <v>1.6163793103448398E-2</v>
      </c>
    </row>
    <row r="629" spans="1:3" ht="19.5" hidden="1" x14ac:dyDescent="0.35">
      <c r="A629" s="5">
        <v>2498</v>
      </c>
      <c r="B629" s="6">
        <v>9.1</v>
      </c>
      <c r="C629" s="8">
        <v>-3.4994697773064701E-2</v>
      </c>
    </row>
    <row r="630" spans="1:3" ht="19.5" hidden="1" x14ac:dyDescent="0.35">
      <c r="A630" s="5">
        <v>2499</v>
      </c>
      <c r="B630" s="6">
        <v>8.67</v>
      </c>
      <c r="C630" s="8">
        <v>-4.7252747252747196E-2</v>
      </c>
    </row>
    <row r="631" spans="1:3" ht="19.5" hidden="1" x14ac:dyDescent="0.35">
      <c r="A631" s="5">
        <v>2500</v>
      </c>
      <c r="B631" s="6">
        <v>8.34</v>
      </c>
      <c r="C631" s="8">
        <v>-3.8062283737024201E-2</v>
      </c>
    </row>
    <row r="632" spans="1:3" ht="19.5" hidden="1" x14ac:dyDescent="0.35">
      <c r="A632" s="5">
        <v>2501</v>
      </c>
      <c r="B632" s="6">
        <v>8.06</v>
      </c>
      <c r="C632" s="8">
        <v>-3.3573141486810502E-2</v>
      </c>
    </row>
    <row r="633" spans="1:3" ht="19.5" hidden="1" x14ac:dyDescent="0.35">
      <c r="A633" s="5">
        <v>2502</v>
      </c>
      <c r="B633" s="6">
        <v>8.1</v>
      </c>
      <c r="C633" s="8">
        <v>4.9627791563273699E-3</v>
      </c>
    </row>
    <row r="634" spans="1:3" ht="19.5" hidden="1" x14ac:dyDescent="0.35">
      <c r="A634" s="5">
        <v>2503</v>
      </c>
      <c r="B634" s="6">
        <v>8.15</v>
      </c>
      <c r="C634" s="8">
        <v>6.1728395061728704E-3</v>
      </c>
    </row>
    <row r="635" spans="1:3" ht="19.5" hidden="1" x14ac:dyDescent="0.35">
      <c r="A635" s="5">
        <v>2504</v>
      </c>
      <c r="B635" s="6">
        <v>8.0299999999999994</v>
      </c>
      <c r="C635" s="8">
        <v>-1.4723926380368201E-2</v>
      </c>
    </row>
    <row r="636" spans="1:3" ht="19.5" hidden="1" x14ac:dyDescent="0.35">
      <c r="A636" s="5">
        <v>2505</v>
      </c>
      <c r="B636" s="6">
        <v>8.27</v>
      </c>
      <c r="C636" s="8">
        <v>2.9887920298879298E-2</v>
      </c>
    </row>
    <row r="637" spans="1:3" ht="19.5" hidden="1" x14ac:dyDescent="0.35">
      <c r="A637" s="5">
        <v>2506</v>
      </c>
      <c r="B637" s="6">
        <v>8.5500000000000007</v>
      </c>
      <c r="C637" s="8">
        <v>3.3857315598549098E-2</v>
      </c>
    </row>
    <row r="638" spans="1:3" ht="19.5" hidden="1" x14ac:dyDescent="0.35">
      <c r="A638" s="5">
        <v>2507</v>
      </c>
      <c r="B638" s="6">
        <v>8.83</v>
      </c>
      <c r="C638" s="8">
        <v>3.2748538011695902E-2</v>
      </c>
    </row>
    <row r="639" spans="1:3" ht="19.5" hidden="1" x14ac:dyDescent="0.35">
      <c r="A639" s="5">
        <v>2508</v>
      </c>
      <c r="B639" s="6">
        <v>8.8699999999999992</v>
      </c>
      <c r="C639" s="8">
        <v>4.5300113250281706E-3</v>
      </c>
    </row>
    <row r="640" spans="1:3" ht="19.5" hidden="1" x14ac:dyDescent="0.35">
      <c r="A640" s="5">
        <v>2509</v>
      </c>
      <c r="B640" s="6">
        <v>8.6999999999999993</v>
      </c>
      <c r="C640" s="8">
        <v>-1.9165727170236801E-2</v>
      </c>
    </row>
    <row r="641" spans="1:3" ht="19.5" hidden="1" x14ac:dyDescent="0.35">
      <c r="A641" s="5">
        <v>2510</v>
      </c>
      <c r="B641" s="6">
        <v>8.5</v>
      </c>
      <c r="C641" s="8">
        <v>-2.2988505747126398E-2</v>
      </c>
    </row>
    <row r="642" spans="1:3" ht="19.5" hidden="1" x14ac:dyDescent="0.35">
      <c r="A642" s="5">
        <v>2511</v>
      </c>
      <c r="B642" s="6">
        <v>8.4700000000000006</v>
      </c>
      <c r="C642" s="8">
        <v>-3.5294117647057801E-3</v>
      </c>
    </row>
    <row r="643" spans="1:3" ht="19.5" hidden="1" x14ac:dyDescent="0.35">
      <c r="A643" s="5">
        <v>2512</v>
      </c>
      <c r="B643" s="6">
        <v>8.6300000000000008</v>
      </c>
      <c r="C643" s="8">
        <v>1.8890200708382401E-2</v>
      </c>
    </row>
    <row r="644" spans="1:3" ht="19.5" hidden="1" x14ac:dyDescent="0.35">
      <c r="A644" s="5">
        <v>2513</v>
      </c>
      <c r="B644" s="6">
        <v>9.0299999999999994</v>
      </c>
      <c r="C644" s="8">
        <v>4.6349942062572196E-2</v>
      </c>
    </row>
    <row r="645" spans="1:3" ht="19.5" hidden="1" x14ac:dyDescent="0.35">
      <c r="A645" s="5">
        <v>2514</v>
      </c>
      <c r="B645" s="6">
        <v>9.34</v>
      </c>
      <c r="C645" s="8">
        <v>3.43300110741971E-2</v>
      </c>
    </row>
    <row r="646" spans="1:3" ht="19.5" hidden="1" x14ac:dyDescent="0.35">
      <c r="A646" s="5">
        <v>2515</v>
      </c>
      <c r="B646" s="6">
        <v>9.25</v>
      </c>
      <c r="C646" s="8">
        <v>-9.6359743040684807E-3</v>
      </c>
    </row>
    <row r="647" spans="1:3" ht="19.5" hidden="1" x14ac:dyDescent="0.35">
      <c r="A647" s="5">
        <v>2516</v>
      </c>
      <c r="B647" s="6">
        <v>9.1300000000000008</v>
      </c>
      <c r="C647" s="8">
        <v>-1.2972972972972801E-2</v>
      </c>
    </row>
    <row r="648" spans="1:3" ht="19.5" hidden="1" x14ac:dyDescent="0.35">
      <c r="A648" s="5">
        <v>2517</v>
      </c>
      <c r="B648" s="6">
        <v>9.64</v>
      </c>
      <c r="C648" s="8">
        <v>5.5859802847754596E-2</v>
      </c>
    </row>
    <row r="649" spans="1:3" ht="19.5" hidden="1" x14ac:dyDescent="0.35">
      <c r="A649" s="5">
        <v>2518</v>
      </c>
      <c r="B649" s="6">
        <v>10.16</v>
      </c>
      <c r="C649" s="8">
        <v>5.3941908713693004E-2</v>
      </c>
    </row>
    <row r="650" spans="1:3" ht="19.5" hidden="1" x14ac:dyDescent="0.35">
      <c r="A650" s="5">
        <v>2519</v>
      </c>
      <c r="B650" s="6">
        <v>10.58</v>
      </c>
      <c r="C650" s="8">
        <v>4.1338582677165302E-2</v>
      </c>
    </row>
    <row r="651" spans="1:3" ht="19.5" hidden="1" x14ac:dyDescent="0.35">
      <c r="A651" s="5">
        <v>2520</v>
      </c>
      <c r="B651" s="6">
        <v>10.67</v>
      </c>
      <c r="C651" s="8">
        <v>8.5066162570888205E-3</v>
      </c>
    </row>
    <row r="652" spans="1:3" ht="19.5" hidden="1" x14ac:dyDescent="0.35">
      <c r="A652" s="5">
        <v>2521</v>
      </c>
      <c r="B652" s="6">
        <v>10.39</v>
      </c>
      <c r="C652" s="8">
        <v>-2.6241799437675701E-2</v>
      </c>
    </row>
    <row r="653" spans="1:3" ht="19.5" hidden="1" x14ac:dyDescent="0.35">
      <c r="A653" s="5">
        <v>2522</v>
      </c>
      <c r="B653" s="6">
        <v>10.28</v>
      </c>
      <c r="C653" s="8">
        <v>-1.05871029836382E-2</v>
      </c>
    </row>
    <row r="654" spans="1:3" ht="19.5" hidden="1" x14ac:dyDescent="0.35">
      <c r="A654" s="5">
        <v>2523</v>
      </c>
      <c r="B654" s="6">
        <v>10.61</v>
      </c>
      <c r="C654" s="8">
        <v>3.2101167315175198E-2</v>
      </c>
    </row>
    <row r="655" spans="1:3" ht="19.5" hidden="1" x14ac:dyDescent="0.35">
      <c r="A655" s="5">
        <v>2524</v>
      </c>
      <c r="B655" s="6">
        <v>10.8</v>
      </c>
      <c r="C655" s="8">
        <v>1.7907634307257499E-2</v>
      </c>
    </row>
    <row r="656" spans="1:3" ht="19.5" hidden="1" x14ac:dyDescent="0.35">
      <c r="A656" s="5">
        <v>2525</v>
      </c>
      <c r="B656" s="6">
        <v>11.1</v>
      </c>
      <c r="C656" s="8">
        <v>2.77777777777777E-2</v>
      </c>
    </row>
    <row r="657" spans="1:3" ht="19.5" hidden="1" x14ac:dyDescent="0.35">
      <c r="A657" s="5">
        <v>2526</v>
      </c>
      <c r="B657" s="6">
        <v>11.25</v>
      </c>
      <c r="C657" s="8">
        <v>1.3513513513513599E-2</v>
      </c>
    </row>
    <row r="658" spans="1:3" ht="19.5" hidden="1" x14ac:dyDescent="0.35">
      <c r="A658" s="5">
        <v>2527</v>
      </c>
      <c r="B658" s="6">
        <v>11.51</v>
      </c>
      <c r="C658" s="8">
        <v>2.31111111111111E-2</v>
      </c>
    </row>
    <row r="659" spans="1:3" ht="19.5" hidden="1" x14ac:dyDescent="0.35">
      <c r="A659" s="5">
        <v>2528</v>
      </c>
      <c r="B659" s="6">
        <v>11.89</v>
      </c>
      <c r="C659" s="8">
        <v>3.3014769765421496E-2</v>
      </c>
    </row>
    <row r="660" spans="1:3" ht="19.5" hidden="1" x14ac:dyDescent="0.35">
      <c r="A660" s="5">
        <v>2529</v>
      </c>
      <c r="B660" s="6">
        <v>12.26</v>
      </c>
      <c r="C660" s="8">
        <v>3.1118587047939298E-2</v>
      </c>
    </row>
    <row r="661" spans="1:3" ht="19.5" hidden="1" x14ac:dyDescent="0.35">
      <c r="A661" s="5">
        <v>2530</v>
      </c>
      <c r="B661" s="6">
        <v>12.46</v>
      </c>
      <c r="C661" s="8">
        <v>1.63132137030997E-2</v>
      </c>
    </row>
    <row r="662" spans="1:3" ht="19.5" hidden="1" x14ac:dyDescent="0.35">
      <c r="A662" s="5">
        <v>2531</v>
      </c>
      <c r="B662" s="6">
        <v>12.65</v>
      </c>
      <c r="C662" s="8">
        <v>1.52487961476726E-2</v>
      </c>
    </row>
    <row r="663" spans="1:3" ht="19.5" hidden="1" x14ac:dyDescent="0.35">
      <c r="A663" s="5">
        <v>2532</v>
      </c>
      <c r="B663" s="6">
        <v>12.67</v>
      </c>
      <c r="C663" s="8">
        <v>1.5810276679841802E-3</v>
      </c>
    </row>
    <row r="664" spans="1:3" ht="19.5" x14ac:dyDescent="0.35">
      <c r="A664" s="5">
        <v>2533</v>
      </c>
      <c r="B664" s="6">
        <v>11.81</v>
      </c>
      <c r="C664" s="8">
        <v>-6.7876874506708804E-2</v>
      </c>
    </row>
    <row r="665" spans="1:3" ht="19.5" hidden="1" x14ac:dyDescent="0.35">
      <c r="A665" s="5">
        <v>2534</v>
      </c>
      <c r="B665" s="6">
        <v>11.48</v>
      </c>
      <c r="C665" s="8">
        <v>-2.7942421676545301E-2</v>
      </c>
    </row>
    <row r="666" spans="1:3" ht="19.5" hidden="1" x14ac:dyDescent="0.35">
      <c r="A666" s="5">
        <v>2535</v>
      </c>
      <c r="B666" s="6">
        <v>11.56</v>
      </c>
      <c r="C666" s="8">
        <v>6.9686411149825203E-3</v>
      </c>
    </row>
    <row r="667" spans="1:3" ht="19.5" hidden="1" x14ac:dyDescent="0.35">
      <c r="A667" s="5">
        <v>2536</v>
      </c>
      <c r="B667" s="6">
        <v>12.11</v>
      </c>
      <c r="C667" s="8">
        <v>4.7577854671280201E-2</v>
      </c>
    </row>
    <row r="668" spans="1:3" ht="19.5" hidden="1" x14ac:dyDescent="0.35">
      <c r="A668" s="5">
        <v>2537</v>
      </c>
      <c r="B668" s="6">
        <v>12.62</v>
      </c>
      <c r="C668" s="8">
        <v>4.2113955408753102E-2</v>
      </c>
    </row>
    <row r="669" spans="1:3" ht="19.5" hidden="1" x14ac:dyDescent="0.35">
      <c r="A669" s="5">
        <v>2538</v>
      </c>
      <c r="B669" s="6">
        <v>13.12</v>
      </c>
      <c r="C669" s="8">
        <v>3.9619651347068102E-2</v>
      </c>
    </row>
    <row r="670" spans="1:3" ht="19.5" hidden="1" x14ac:dyDescent="0.35">
      <c r="A670" s="5">
        <v>2539</v>
      </c>
      <c r="B670" s="6">
        <v>13.32</v>
      </c>
      <c r="C670" s="8">
        <v>1.5243902439024499E-2</v>
      </c>
    </row>
    <row r="671" spans="1:3" ht="19.5" hidden="1" x14ac:dyDescent="0.35">
      <c r="A671" s="5">
        <v>2540</v>
      </c>
      <c r="B671" s="6">
        <v>13.02</v>
      </c>
      <c r="C671" s="8">
        <v>-2.2522522522522601E-2</v>
      </c>
    </row>
    <row r="672" spans="1:3" ht="19.5" hidden="1" x14ac:dyDescent="0.35">
      <c r="A672" s="5">
        <v>2541</v>
      </c>
      <c r="B672" s="6">
        <v>13.19</v>
      </c>
      <c r="C672" s="8">
        <v>1.3056835637480699E-2</v>
      </c>
    </row>
    <row r="673" spans="1:3" ht="19.5" hidden="1" x14ac:dyDescent="0.35">
      <c r="A673" s="5">
        <v>2542</v>
      </c>
      <c r="B673" s="6">
        <v>13.49</v>
      </c>
      <c r="C673" s="8">
        <v>2.2744503411675599E-2</v>
      </c>
    </row>
    <row r="674" spans="1:3" ht="19.5" hidden="1" x14ac:dyDescent="0.35">
      <c r="A674" s="5">
        <v>2543</v>
      </c>
      <c r="B674" s="6">
        <v>13.4</v>
      </c>
      <c r="C674" s="8">
        <v>-6.6716085989622104E-3</v>
      </c>
    </row>
    <row r="675" spans="1:3" ht="19.5" hidden="1" x14ac:dyDescent="0.35">
      <c r="A675" s="5">
        <v>2544</v>
      </c>
      <c r="B675" s="6">
        <v>13.66</v>
      </c>
      <c r="C675" s="8">
        <v>1.9402985074626899E-2</v>
      </c>
    </row>
    <row r="676" spans="1:3" ht="19.5" hidden="1" x14ac:dyDescent="0.35">
      <c r="A676" s="5">
        <v>2545</v>
      </c>
      <c r="B676" s="6">
        <v>13.87</v>
      </c>
      <c r="C676" s="8">
        <v>1.53733528550513E-2</v>
      </c>
    </row>
    <row r="677" spans="1:3" ht="19.5" hidden="1" x14ac:dyDescent="0.35">
      <c r="A677" s="5">
        <v>2546</v>
      </c>
      <c r="B677" s="6">
        <v>14.21</v>
      </c>
      <c r="C677" s="8">
        <v>2.4513338139870298E-2</v>
      </c>
    </row>
    <row r="678" spans="1:3" ht="19.5" hidden="1" x14ac:dyDescent="0.35">
      <c r="A678" s="5">
        <v>2547</v>
      </c>
      <c r="B678" s="6">
        <v>14.7</v>
      </c>
      <c r="C678" s="8">
        <v>3.4482758620689502E-2</v>
      </c>
    </row>
    <row r="679" spans="1:3" ht="19.5" hidden="1" x14ac:dyDescent="0.35">
      <c r="A679" s="5">
        <v>2548</v>
      </c>
      <c r="B679" s="6">
        <v>14.89</v>
      </c>
      <c r="C679" s="8">
        <v>1.2925170068027301E-2</v>
      </c>
    </row>
    <row r="680" spans="1:3" ht="19.5" hidden="1" x14ac:dyDescent="0.35">
      <c r="A680" s="5">
        <v>2549</v>
      </c>
      <c r="B680" s="6">
        <v>15.22</v>
      </c>
      <c r="C680" s="8">
        <v>2.2162525184687799E-2</v>
      </c>
    </row>
    <row r="681" spans="1:3" ht="19.5" hidden="1" x14ac:dyDescent="0.35">
      <c r="A681" s="5">
        <v>2550</v>
      </c>
      <c r="B681" s="6">
        <v>16.03</v>
      </c>
      <c r="C681" s="8">
        <v>5.3219448094612397E-2</v>
      </c>
    </row>
    <row r="682" spans="1:3" ht="19.5" hidden="1" x14ac:dyDescent="0.35">
      <c r="A682" s="5">
        <v>2551</v>
      </c>
      <c r="B682" s="6">
        <v>16.940000000000001</v>
      </c>
      <c r="C682" s="8">
        <v>5.6768558951965101E-2</v>
      </c>
    </row>
    <row r="683" spans="1:3" ht="19.5" hidden="1" x14ac:dyDescent="0.35">
      <c r="A683" s="5">
        <v>2552</v>
      </c>
      <c r="B683" s="6">
        <v>16.68</v>
      </c>
      <c r="C683" s="8">
        <v>-1.5348288075560899E-2</v>
      </c>
    </row>
    <row r="684" spans="1:3" ht="19.5" hidden="1" x14ac:dyDescent="0.35">
      <c r="A684" s="5">
        <v>2553</v>
      </c>
      <c r="B684" s="6">
        <v>17.059999999999999</v>
      </c>
      <c r="C684" s="8">
        <v>2.27817745803356E-2</v>
      </c>
    </row>
    <row r="685" spans="1:3" ht="19.5" hidden="1" x14ac:dyDescent="0.35">
      <c r="A685" s="5">
        <v>2554</v>
      </c>
      <c r="B685" s="6">
        <v>17.46</v>
      </c>
      <c r="C685" s="8">
        <v>2.3446658851113699E-2</v>
      </c>
    </row>
    <row r="686" spans="1:3" ht="19.5" hidden="1" x14ac:dyDescent="0.35">
      <c r="A686" s="5">
        <v>2555</v>
      </c>
      <c r="B686" s="6">
        <v>17.53</v>
      </c>
      <c r="C686" s="8">
        <v>4.00916380297822E-3</v>
      </c>
    </row>
    <row r="687" spans="1:3" ht="19.5" hidden="1" x14ac:dyDescent="0.35">
      <c r="A687" s="5">
        <v>2556</v>
      </c>
      <c r="B687" s="6">
        <v>17.32</v>
      </c>
      <c r="C687" s="8">
        <v>-1.19794637763834E-2</v>
      </c>
    </row>
    <row r="688" spans="1:3" ht="19.5" hidden="1" x14ac:dyDescent="0.35">
      <c r="A688" s="5">
        <v>2557</v>
      </c>
      <c r="B688" s="6">
        <v>18.25</v>
      </c>
      <c r="C688" s="8">
        <v>5.3695150115473399E-2</v>
      </c>
    </row>
    <row r="689" spans="1:3" ht="19.5" hidden="1" x14ac:dyDescent="0.35">
      <c r="A689" s="5">
        <v>2558</v>
      </c>
      <c r="B689" s="6">
        <v>19.399999999999999</v>
      </c>
      <c r="C689" s="8">
        <v>6.3013698630136797E-2</v>
      </c>
    </row>
    <row r="690" spans="1:3" ht="19.5" hidden="1" x14ac:dyDescent="0.35">
      <c r="A690" s="5">
        <v>2559</v>
      </c>
      <c r="B690" s="6">
        <v>20</v>
      </c>
      <c r="C690" s="8">
        <v>3.09278350515465E-2</v>
      </c>
    </row>
    <row r="691" spans="1:3" ht="19.5" hidden="1" x14ac:dyDescent="0.35">
      <c r="A691" s="5">
        <v>2560</v>
      </c>
      <c r="B691" s="6">
        <v>19.02</v>
      </c>
      <c r="C691" s="8">
        <v>-4.9000000000000002E-2</v>
      </c>
    </row>
    <row r="692" spans="1:3" ht="19.5" hidden="1" x14ac:dyDescent="0.35">
      <c r="A692" s="5">
        <v>2561</v>
      </c>
      <c r="B692" s="6">
        <v>19.16</v>
      </c>
      <c r="C692" s="8">
        <v>7.3606729758148902E-3</v>
      </c>
    </row>
    <row r="693" spans="1:3" ht="19.5" hidden="1" x14ac:dyDescent="0.35">
      <c r="A693" s="5">
        <v>2562</v>
      </c>
      <c r="B693" s="6">
        <v>19.78</v>
      </c>
      <c r="C693" s="8">
        <v>3.2359081419624201E-2</v>
      </c>
    </row>
    <row r="694" spans="1:3" ht="19.5" hidden="1" x14ac:dyDescent="0.35">
      <c r="A694" s="5">
        <v>2563</v>
      </c>
      <c r="B694" s="6">
        <v>21.17</v>
      </c>
      <c r="C694" s="8">
        <v>7.0273003033367101E-2</v>
      </c>
    </row>
    <row r="695" spans="1:3" ht="19.5" hidden="1" x14ac:dyDescent="0.35">
      <c r="A695" s="5">
        <v>2564</v>
      </c>
      <c r="B695" s="6">
        <v>21.6</v>
      </c>
      <c r="C695" s="8">
        <v>2.0311761927255499E-2</v>
      </c>
    </row>
    <row r="696" spans="1:3" ht="19.5" hidden="1" x14ac:dyDescent="0.35">
      <c r="A696" s="5">
        <v>2565</v>
      </c>
      <c r="B696" s="6">
        <v>23.06</v>
      </c>
      <c r="C696" s="8">
        <v>6.7592592592592399E-2</v>
      </c>
    </row>
    <row r="697" spans="1:3" ht="19.5" hidden="1" x14ac:dyDescent="0.35">
      <c r="A697" s="5">
        <v>2566</v>
      </c>
      <c r="B697" s="6">
        <v>23.15</v>
      </c>
      <c r="C697" s="8">
        <v>3.9028620988725803E-3</v>
      </c>
    </row>
    <row r="698" spans="1:3" ht="19.5" hidden="1" x14ac:dyDescent="0.35">
      <c r="A698" s="5">
        <v>2567</v>
      </c>
      <c r="B698" s="6">
        <v>24.86</v>
      </c>
      <c r="C698" s="8">
        <v>7.3866090712743096E-2</v>
      </c>
    </row>
    <row r="699" spans="1:3" ht="19.5" hidden="1" x14ac:dyDescent="0.35">
      <c r="A699" s="5">
        <v>2568</v>
      </c>
      <c r="B699" s="6">
        <v>24.99</v>
      </c>
      <c r="C699" s="8">
        <v>5.22928399034583E-3</v>
      </c>
    </row>
    <row r="700" spans="1:3" ht="19.5" hidden="1" x14ac:dyDescent="0.35">
      <c r="A700" s="5">
        <v>2569</v>
      </c>
      <c r="B700" s="6">
        <v>25.43</v>
      </c>
      <c r="C700" s="8">
        <v>1.7607042817126901E-2</v>
      </c>
    </row>
    <row r="701" spans="1:3" ht="19.5" hidden="1" x14ac:dyDescent="0.35">
      <c r="A701" s="5">
        <v>2570</v>
      </c>
      <c r="B701" s="6">
        <v>25.28</v>
      </c>
      <c r="C701" s="8">
        <v>-5.8985450255603106E-3</v>
      </c>
    </row>
    <row r="702" spans="1:3" ht="19.5" hidden="1" x14ac:dyDescent="0.35">
      <c r="A702" s="5">
        <v>2571</v>
      </c>
      <c r="B702" s="6">
        <v>25.66</v>
      </c>
      <c r="C702" s="8">
        <v>1.50316455696202E-2</v>
      </c>
    </row>
    <row r="703" spans="1:3" ht="19.5" hidden="1" x14ac:dyDescent="0.35">
      <c r="A703" s="5">
        <v>2572</v>
      </c>
      <c r="B703" s="6">
        <v>26.15</v>
      </c>
      <c r="C703" s="8">
        <v>1.9095869056897901E-2</v>
      </c>
    </row>
    <row r="704" spans="1:3" ht="19.5" hidden="1" x14ac:dyDescent="0.35">
      <c r="A704" s="5">
        <v>2573</v>
      </c>
      <c r="B704" s="6">
        <v>28.48</v>
      </c>
      <c r="C704" s="8">
        <v>8.9101338432122396E-2</v>
      </c>
    </row>
    <row r="705" spans="1:3" ht="19.5" hidden="1" x14ac:dyDescent="0.35">
      <c r="A705" s="5">
        <v>2574</v>
      </c>
      <c r="B705" s="6">
        <v>30.1</v>
      </c>
      <c r="C705" s="8">
        <v>5.6882022471910196E-2</v>
      </c>
    </row>
    <row r="706" spans="1:3" ht="19.5" hidden="1" x14ac:dyDescent="0.35">
      <c r="A706" s="5">
        <v>2575</v>
      </c>
      <c r="B706" s="6">
        <v>31.3</v>
      </c>
      <c r="C706" s="8">
        <v>3.9867109634551499E-2</v>
      </c>
    </row>
    <row r="707" spans="1:3" ht="19.5" x14ac:dyDescent="0.35">
      <c r="A707" s="5">
        <v>2576</v>
      </c>
      <c r="B707" s="6">
        <v>27.99</v>
      </c>
      <c r="C707" s="8">
        <v>-0.10575079872204501</v>
      </c>
    </row>
    <row r="708" spans="1:3" ht="19.5" x14ac:dyDescent="0.35">
      <c r="A708" s="5">
        <v>2577</v>
      </c>
      <c r="B708" s="6">
        <v>20.58</v>
      </c>
      <c r="C708" s="8">
        <v>-0.26473740621650604</v>
      </c>
    </row>
    <row r="709" spans="1:3" ht="19.5" hidden="1" x14ac:dyDescent="0.35">
      <c r="A709" s="5">
        <v>2578</v>
      </c>
      <c r="B709" s="6">
        <v>21.4</v>
      </c>
      <c r="C709" s="8">
        <v>3.9844509232264298E-2</v>
      </c>
    </row>
    <row r="710" spans="1:3" ht="19.5" hidden="1" x14ac:dyDescent="0.35">
      <c r="A710" s="5">
        <v>2579</v>
      </c>
      <c r="B710" s="6">
        <v>21.71</v>
      </c>
      <c r="C710" s="8">
        <v>1.44859813084113E-2</v>
      </c>
    </row>
    <row r="711" spans="1:3" ht="19.5" hidden="1" x14ac:dyDescent="0.35">
      <c r="A711" s="5">
        <v>2580</v>
      </c>
      <c r="B711" s="6">
        <v>23.07</v>
      </c>
      <c r="C711" s="8">
        <v>6.2643942883463796E-2</v>
      </c>
    </row>
    <row r="712" spans="1:3" ht="19.5" hidden="1" x14ac:dyDescent="0.35">
      <c r="A712" s="5">
        <v>2581</v>
      </c>
      <c r="B712" s="6">
        <v>23.94</v>
      </c>
      <c r="C712" s="8">
        <v>3.77113133940183E-2</v>
      </c>
    </row>
    <row r="713" spans="1:3" ht="19.5" hidden="1" x14ac:dyDescent="0.35">
      <c r="A713" s="5">
        <v>2582</v>
      </c>
      <c r="B713" s="6">
        <v>25.46</v>
      </c>
      <c r="C713" s="8">
        <v>6.3492063492063502E-2</v>
      </c>
    </row>
    <row r="714" spans="1:3" ht="19.5" x14ac:dyDescent="0.35">
      <c r="A714" s="5">
        <v>2583</v>
      </c>
      <c r="B714" s="6">
        <v>23.94</v>
      </c>
      <c r="C714" s="8">
        <v>-5.9701492537313397E-2</v>
      </c>
    </row>
    <row r="715" spans="1:3" ht="19.5" x14ac:dyDescent="0.35">
      <c r="A715" s="5">
        <v>2584</v>
      </c>
      <c r="B715" s="6">
        <v>21.52</v>
      </c>
      <c r="C715" s="8">
        <v>-0.10108604845447</v>
      </c>
    </row>
    <row r="716" spans="1:3" ht="19.5" hidden="1" x14ac:dyDescent="0.35">
      <c r="A716" s="5">
        <v>2585</v>
      </c>
      <c r="B716" s="6">
        <v>21.06</v>
      </c>
      <c r="C716" s="8">
        <v>-2.1375464684014901E-2</v>
      </c>
    </row>
    <row r="717" spans="1:3" ht="19.5" hidden="1" x14ac:dyDescent="0.35">
      <c r="A717" s="5">
        <v>2586</v>
      </c>
      <c r="B717" s="6">
        <v>20.79</v>
      </c>
      <c r="C717" s="8">
        <v>-1.2820512820512799E-2</v>
      </c>
    </row>
    <row r="718" spans="1:3" ht="19.5" hidden="1" x14ac:dyDescent="0.35">
      <c r="A718" s="5">
        <v>2587</v>
      </c>
      <c r="B718" s="6">
        <v>20.78</v>
      </c>
      <c r="C718" s="8">
        <v>-4.8100048100041504E-4</v>
      </c>
    </row>
    <row r="719" spans="1:3" ht="19.5" x14ac:dyDescent="0.35">
      <c r="A719" s="5">
        <v>2588</v>
      </c>
      <c r="B719" s="6">
        <v>17.920000000000002</v>
      </c>
      <c r="C719" s="8">
        <v>-0.137632338787295</v>
      </c>
    </row>
    <row r="720" spans="1:3" ht="19.5" x14ac:dyDescent="0.35">
      <c r="A720" s="5">
        <v>2589</v>
      </c>
      <c r="B720" s="6">
        <v>16.62</v>
      </c>
      <c r="C720" s="8">
        <v>-7.2544642857142905E-2</v>
      </c>
    </row>
    <row r="721" spans="1:3" ht="19.5" x14ac:dyDescent="0.35">
      <c r="A721" s="5">
        <v>2590</v>
      </c>
      <c r="B721" s="6">
        <v>15.51</v>
      </c>
      <c r="C721" s="8">
        <v>-6.6787003610108392E-2</v>
      </c>
    </row>
    <row r="722" spans="1:3" ht="19.5" hidden="1" x14ac:dyDescent="0.35">
      <c r="A722" s="5">
        <v>2591</v>
      </c>
      <c r="B722" s="6">
        <v>15.98</v>
      </c>
      <c r="C722" s="8">
        <v>3.03030303030303E-2</v>
      </c>
    </row>
    <row r="723" spans="1:3" ht="19.5" hidden="1" x14ac:dyDescent="0.35">
      <c r="A723" s="5">
        <v>2592</v>
      </c>
      <c r="B723" s="6">
        <v>17.2</v>
      </c>
      <c r="C723" s="8">
        <v>7.6345431789737198E-2</v>
      </c>
    </row>
    <row r="724" spans="1:3" ht="19.5" hidden="1" x14ac:dyDescent="0.35">
      <c r="A724" s="5">
        <v>2593</v>
      </c>
      <c r="B724" s="6">
        <v>17.53</v>
      </c>
      <c r="C724" s="8">
        <v>1.9186046511628002E-2</v>
      </c>
    </row>
    <row r="725" spans="1:3" ht="19.5" x14ac:dyDescent="0.35">
      <c r="A725" s="5">
        <v>2594</v>
      </c>
      <c r="B725" s="6">
        <v>15.86</v>
      </c>
      <c r="C725" s="8">
        <v>-9.5265259555048595E-2</v>
      </c>
    </row>
    <row r="726" spans="1:3" ht="19.5" x14ac:dyDescent="0.35">
      <c r="A726" s="5">
        <v>2595</v>
      </c>
      <c r="B726" s="6">
        <v>14.33</v>
      </c>
      <c r="C726" s="8">
        <v>-9.6469104665825894E-2</v>
      </c>
    </row>
    <row r="727" spans="1:3" ht="19.5" hidden="1" x14ac:dyDescent="0.35">
      <c r="A727" s="5">
        <v>2596</v>
      </c>
      <c r="B727" s="6">
        <v>13.87</v>
      </c>
      <c r="C727" s="8">
        <v>-3.2100488485694398E-2</v>
      </c>
    </row>
    <row r="728" spans="1:3" ht="19.5" hidden="1" x14ac:dyDescent="0.35">
      <c r="A728" s="5">
        <v>2597</v>
      </c>
      <c r="B728" s="6">
        <v>14.33</v>
      </c>
      <c r="C728" s="8">
        <v>3.3165104542177498E-2</v>
      </c>
    </row>
    <row r="729" spans="1:3" ht="19.5" hidden="1" x14ac:dyDescent="0.35">
      <c r="A729" s="5">
        <v>2598</v>
      </c>
      <c r="B729" s="6">
        <v>13.9</v>
      </c>
      <c r="C729" s="8">
        <v>-3.00069783670621E-2</v>
      </c>
    </row>
    <row r="730" spans="1:3" ht="19.5" x14ac:dyDescent="0.35">
      <c r="A730" s="5">
        <v>2599</v>
      </c>
      <c r="B730" s="6">
        <v>11.83</v>
      </c>
      <c r="C730" s="8">
        <v>-0.148920863309353</v>
      </c>
    </row>
    <row r="731" spans="1:3" ht="19.5" x14ac:dyDescent="0.35">
      <c r="A731" s="5">
        <v>2600</v>
      </c>
      <c r="B731" s="6">
        <v>10.25</v>
      </c>
      <c r="C731" s="8">
        <v>-0.133558748943364</v>
      </c>
    </row>
    <row r="732" spans="1:3" ht="19.5" hidden="1" x14ac:dyDescent="0.35">
      <c r="A732" s="5">
        <v>2601</v>
      </c>
      <c r="B732" s="6">
        <v>10.39</v>
      </c>
      <c r="C732" s="8">
        <v>1.36585365853659E-2</v>
      </c>
    </row>
    <row r="733" spans="1:3" ht="19.5" x14ac:dyDescent="0.35">
      <c r="A733" s="5">
        <v>2602</v>
      </c>
      <c r="B733" s="6">
        <v>8.44</v>
      </c>
      <c r="C733" s="8">
        <v>-0.18768046198267602</v>
      </c>
    </row>
    <row r="734" spans="1:3" ht="19.5" hidden="1" x14ac:dyDescent="0.35">
      <c r="A734" s="5">
        <v>2603</v>
      </c>
      <c r="B734" s="6">
        <v>8.3000000000000007</v>
      </c>
      <c r="C734" s="8">
        <v>-1.6587677725118398E-2</v>
      </c>
    </row>
    <row r="735" spans="1:3" ht="19.5" hidden="1" x14ac:dyDescent="0.35">
      <c r="A735" s="5">
        <v>2604</v>
      </c>
      <c r="B735" s="6">
        <v>8.23</v>
      </c>
      <c r="C735" s="8">
        <v>-8.4337349397590709E-3</v>
      </c>
    </row>
    <row r="736" spans="1:3" ht="19.5" hidden="1" x14ac:dyDescent="0.35">
      <c r="A736" s="5">
        <v>2605</v>
      </c>
      <c r="B736" s="6">
        <v>8.26</v>
      </c>
      <c r="C736" s="8">
        <v>3.6452004860265705E-3</v>
      </c>
    </row>
    <row r="737" spans="1:3" ht="19.5" x14ac:dyDescent="0.35">
      <c r="A737" s="5">
        <v>2606</v>
      </c>
      <c r="B737" s="6">
        <v>6.28</v>
      </c>
      <c r="C737" s="8">
        <v>-0.23970944309927403</v>
      </c>
    </row>
    <row r="738" spans="1:3" ht="19.5" x14ac:dyDescent="0.35">
      <c r="A738" s="5">
        <v>2607</v>
      </c>
      <c r="B738" s="6">
        <v>5.51</v>
      </c>
      <c r="C738" s="8">
        <v>-0.12261146496815301</v>
      </c>
    </row>
    <row r="739" spans="1:3" ht="19.5" x14ac:dyDescent="0.35">
      <c r="A739" s="5">
        <v>2608</v>
      </c>
      <c r="B739" s="6">
        <v>4.7699999999999996</v>
      </c>
      <c r="C739" s="8">
        <v>-0.13430127041742301</v>
      </c>
    </row>
    <row r="740" spans="1:3" ht="19.5" hidden="1" x14ac:dyDescent="0.35">
      <c r="A740" s="5">
        <v>2609</v>
      </c>
      <c r="B740" s="6">
        <v>5.01</v>
      </c>
      <c r="C740" s="8">
        <v>5.0314465408805006E-2</v>
      </c>
    </row>
    <row r="741" spans="1:3" ht="19.5" hidden="1" x14ac:dyDescent="0.35">
      <c r="A741" s="5">
        <v>2610</v>
      </c>
      <c r="B741" s="6">
        <v>7.53</v>
      </c>
      <c r="C741" s="8">
        <v>0.50299401197604809</v>
      </c>
    </row>
    <row r="742" spans="1:3" ht="19.5" hidden="1" x14ac:dyDescent="0.35">
      <c r="A742" s="5">
        <v>2611</v>
      </c>
      <c r="B742" s="6">
        <v>8.26</v>
      </c>
      <c r="C742" s="8">
        <v>9.6945551128818003E-2</v>
      </c>
    </row>
    <row r="743" spans="1:3" ht="19.5" x14ac:dyDescent="0.35">
      <c r="A743" s="5">
        <v>2612</v>
      </c>
      <c r="B743" s="6">
        <v>7.12</v>
      </c>
      <c r="C743" s="8">
        <v>-0.13801452784503601</v>
      </c>
    </row>
    <row r="744" spans="1:3" ht="19.5" hidden="1" x14ac:dyDescent="0.35">
      <c r="A744" s="5">
        <v>2613</v>
      </c>
      <c r="B744" s="6">
        <v>7.05</v>
      </c>
      <c r="C744" s="8">
        <v>-9.8314606741572996E-3</v>
      </c>
    </row>
    <row r="745" spans="1:3" ht="19.5" hidden="1" x14ac:dyDescent="0.35">
      <c r="A745" s="5">
        <v>2614</v>
      </c>
      <c r="B745" s="6">
        <v>6.82</v>
      </c>
      <c r="C745" s="8">
        <v>-3.2624113475177199E-2</v>
      </c>
    </row>
    <row r="746" spans="1:3" ht="19.5" hidden="1" x14ac:dyDescent="0.35">
      <c r="A746" s="5">
        <v>2615</v>
      </c>
      <c r="B746" s="6">
        <v>7.09</v>
      </c>
      <c r="C746" s="8">
        <v>3.9589442815249197E-2</v>
      </c>
    </row>
    <row r="747" spans="1:3" ht="19.5" x14ac:dyDescent="0.35">
      <c r="A747" s="5">
        <v>2616</v>
      </c>
      <c r="B747" s="6">
        <v>6.25</v>
      </c>
      <c r="C747" s="8">
        <v>-0.11847672778561301</v>
      </c>
    </row>
    <row r="748" spans="1:3" ht="19.5" hidden="1" x14ac:dyDescent="0.35">
      <c r="A748" s="5">
        <v>2617</v>
      </c>
      <c r="B748" s="6">
        <v>6.23</v>
      </c>
      <c r="C748" s="8">
        <v>-3.1999999999999802E-3</v>
      </c>
    </row>
    <row r="749" spans="1:3" ht="19.5" hidden="1" x14ac:dyDescent="0.35">
      <c r="A749" s="5">
        <v>2618</v>
      </c>
      <c r="B749" s="6">
        <v>6.89</v>
      </c>
      <c r="C749" s="8">
        <v>0.10593900481540901</v>
      </c>
    </row>
    <row r="750" spans="1:3" ht="19.5" hidden="1" x14ac:dyDescent="0.35">
      <c r="A750" s="5">
        <v>2619</v>
      </c>
      <c r="B750" s="6">
        <v>8.8699999999999992</v>
      </c>
      <c r="C750" s="8">
        <v>0.28737300435413604</v>
      </c>
    </row>
    <row r="751" spans="1:3" ht="19.5" hidden="1" x14ac:dyDescent="0.35">
      <c r="A751" s="5">
        <v>2620</v>
      </c>
      <c r="B751" s="6">
        <v>10.39</v>
      </c>
      <c r="C751" s="8">
        <v>0.17136414881623502</v>
      </c>
    </row>
    <row r="752" spans="1:3" ht="19.5" hidden="1" x14ac:dyDescent="0.35">
      <c r="A752" s="5">
        <v>2621</v>
      </c>
      <c r="B752" s="6">
        <v>11.23</v>
      </c>
      <c r="C752" s="8">
        <v>8.0846968238691003E-2</v>
      </c>
    </row>
    <row r="753" spans="1:3" ht="19.5" hidden="1" x14ac:dyDescent="0.35">
      <c r="A753" s="5">
        <v>2622</v>
      </c>
      <c r="B753" s="6">
        <v>10.67</v>
      </c>
      <c r="C753" s="8">
        <v>-4.9866429207480002E-2</v>
      </c>
    </row>
    <row r="754" spans="1:3" ht="19.5" hidden="1" x14ac:dyDescent="0.35">
      <c r="A754" s="5">
        <v>2623</v>
      </c>
      <c r="B754" s="6">
        <v>10.58</v>
      </c>
      <c r="C754" s="8">
        <v>-8.4348641049671914E-3</v>
      </c>
    </row>
    <row r="755" spans="1:3" ht="19.5" x14ac:dyDescent="0.35">
      <c r="A755" s="5">
        <v>2624</v>
      </c>
      <c r="B755" s="6">
        <v>9.5500000000000007</v>
      </c>
      <c r="C755" s="8">
        <v>-9.7353497164461192E-2</v>
      </c>
    </row>
    <row r="756" spans="1:3" ht="19.5" hidden="1" x14ac:dyDescent="0.35">
      <c r="A756" s="5">
        <v>2625</v>
      </c>
      <c r="B756" s="6">
        <v>9.7799999999999994</v>
      </c>
      <c r="C756" s="8">
        <v>2.4083769633507699E-2</v>
      </c>
    </row>
    <row r="757" spans="1:3" ht="19.5" hidden="1" x14ac:dyDescent="0.35">
      <c r="A757" s="5">
        <v>2626</v>
      </c>
      <c r="B757" s="6">
        <v>9.9700000000000006</v>
      </c>
      <c r="C757" s="8">
        <v>1.94274028629857E-2</v>
      </c>
    </row>
    <row r="758" spans="1:3" ht="19.5" hidden="1" x14ac:dyDescent="0.35">
      <c r="A758" s="5">
        <v>2627</v>
      </c>
      <c r="B758" s="6">
        <v>10.54</v>
      </c>
      <c r="C758" s="8">
        <v>5.7171514543630696E-2</v>
      </c>
    </row>
    <row r="759" spans="1:3" ht="19.5" hidden="1" x14ac:dyDescent="0.35">
      <c r="A759" s="5">
        <v>2628</v>
      </c>
      <c r="B759" s="6">
        <v>11.32</v>
      </c>
      <c r="C759" s="8">
        <v>7.4003795066413899E-2</v>
      </c>
    </row>
    <row r="760" spans="1:3" ht="19.5" x14ac:dyDescent="0.35">
      <c r="A760" s="5">
        <v>2629</v>
      </c>
      <c r="B760" s="6">
        <v>10.74</v>
      </c>
      <c r="C760" s="8">
        <v>-5.1236749116607798E-2</v>
      </c>
    </row>
    <row r="761" spans="1:3" ht="19.5" hidden="1" x14ac:dyDescent="0.35">
      <c r="A761" s="5">
        <v>2630</v>
      </c>
      <c r="B761" s="6">
        <v>10.92</v>
      </c>
      <c r="C761" s="8">
        <v>1.67597765363128E-2</v>
      </c>
    </row>
    <row r="762" spans="1:3" ht="19.5" x14ac:dyDescent="0.35">
      <c r="A762" s="5">
        <v>2631</v>
      </c>
      <c r="B762" s="6">
        <v>9.81</v>
      </c>
      <c r="C762" s="8">
        <v>-0.10164835164835201</v>
      </c>
    </row>
    <row r="763" spans="1:3" ht="19.5" hidden="1" x14ac:dyDescent="0.35">
      <c r="A763" s="5">
        <v>2632</v>
      </c>
      <c r="B763" s="6">
        <v>9.94</v>
      </c>
      <c r="C763" s="8">
        <v>1.32517838939856E-2</v>
      </c>
    </row>
    <row r="764" spans="1:3" ht="19.5" hidden="1" x14ac:dyDescent="0.35">
      <c r="A764" s="5">
        <v>2633</v>
      </c>
      <c r="B764" s="6">
        <v>9.4700000000000006</v>
      </c>
      <c r="C764" s="8">
        <v>-4.7283702213279599E-2</v>
      </c>
    </row>
    <row r="765" spans="1:3" ht="19.5" hidden="1" x14ac:dyDescent="0.35">
      <c r="A765" s="5">
        <v>2634</v>
      </c>
      <c r="B765" s="6">
        <v>9.1</v>
      </c>
      <c r="C765" s="8">
        <v>-3.9070749736008499E-2</v>
      </c>
    </row>
    <row r="766" spans="1:3" ht="19.5" hidden="1" x14ac:dyDescent="0.35">
      <c r="A766" s="5">
        <v>2635</v>
      </c>
      <c r="B766" s="6">
        <v>8.8800000000000008</v>
      </c>
      <c r="C766" s="8">
        <v>-2.41758241758241E-2</v>
      </c>
    </row>
    <row r="767" spans="1:3" ht="19.5" hidden="1" x14ac:dyDescent="0.35">
      <c r="A767" s="5">
        <v>2636</v>
      </c>
      <c r="B767" s="6">
        <v>8.9499999999999993</v>
      </c>
      <c r="C767" s="8">
        <v>7.8828828828827503E-3</v>
      </c>
    </row>
    <row r="768" spans="1:3" ht="19.5" hidden="1" x14ac:dyDescent="0.35">
      <c r="A768" s="5">
        <v>2637</v>
      </c>
      <c r="B768" s="6">
        <v>9.1999999999999993</v>
      </c>
      <c r="C768" s="8">
        <v>2.7932960893854799E-2</v>
      </c>
    </row>
    <row r="769" spans="1:3" ht="19.5" hidden="1" x14ac:dyDescent="0.35">
      <c r="A769" s="5">
        <v>2638</v>
      </c>
      <c r="B769" s="6">
        <v>9.26</v>
      </c>
      <c r="C769" s="8">
        <v>6.5217391304348603E-3</v>
      </c>
    </row>
    <row r="770" spans="1:3" ht="19.5" hidden="1" x14ac:dyDescent="0.35">
      <c r="A770" s="5">
        <v>2639</v>
      </c>
      <c r="B770" s="6">
        <v>9.26</v>
      </c>
      <c r="C770" s="8">
        <v>0</v>
      </c>
    </row>
    <row r="771" spans="1:3" ht="19.5" hidden="1" x14ac:dyDescent="0.35">
      <c r="A771" s="5">
        <v>2640</v>
      </c>
      <c r="B771" s="6">
        <v>8.98</v>
      </c>
      <c r="C771" s="8">
        <v>-3.0237580993520499E-2</v>
      </c>
    </row>
    <row r="772" spans="1:3" ht="19.5" x14ac:dyDescent="0.35">
      <c r="A772" s="5">
        <v>2641</v>
      </c>
      <c r="B772" s="6">
        <v>8.41</v>
      </c>
      <c r="C772" s="8">
        <v>-6.3474387527839599E-2</v>
      </c>
    </row>
    <row r="773" spans="1:3" ht="19.5" hidden="1" x14ac:dyDescent="0.35">
      <c r="A773" s="5">
        <v>2642</v>
      </c>
      <c r="B773" s="6">
        <v>9.0399999999999991</v>
      </c>
      <c r="C773" s="8">
        <v>7.4910820451842899E-2</v>
      </c>
    </row>
    <row r="774" spans="1:3" ht="19.5" hidden="1" x14ac:dyDescent="0.35">
      <c r="A774" s="5">
        <v>2643</v>
      </c>
      <c r="B774" s="6">
        <v>9.75</v>
      </c>
      <c r="C774" s="8">
        <v>7.8539823008849693E-2</v>
      </c>
    </row>
    <row r="775" spans="1:3" ht="19.5" hidden="1" x14ac:dyDescent="0.35">
      <c r="A775" s="5">
        <v>2644</v>
      </c>
      <c r="B775" s="6">
        <v>10.119999999999999</v>
      </c>
      <c r="C775" s="8">
        <v>3.7948717948717896E-2</v>
      </c>
    </row>
    <row r="776" spans="1:3" ht="19.5" hidden="1" x14ac:dyDescent="0.35">
      <c r="A776" s="5">
        <v>2645</v>
      </c>
      <c r="B776" s="6">
        <v>10.65</v>
      </c>
      <c r="C776" s="8">
        <v>5.2371541501976301E-2</v>
      </c>
    </row>
    <row r="777" spans="1:3" ht="19.5" hidden="1" x14ac:dyDescent="0.35">
      <c r="A777" s="5">
        <v>2646</v>
      </c>
      <c r="B777" s="6">
        <v>11.37</v>
      </c>
      <c r="C777" s="8">
        <v>6.7605633802816797E-2</v>
      </c>
    </row>
    <row r="778" spans="1:3" ht="19.5" hidden="1" x14ac:dyDescent="0.35">
      <c r="A778" s="5">
        <v>2647</v>
      </c>
      <c r="B778" s="6">
        <v>11.61</v>
      </c>
      <c r="C778" s="8">
        <v>2.11081794195251E-2</v>
      </c>
    </row>
    <row r="779" spans="1:3" ht="19.5" hidden="1" x14ac:dyDescent="0.35">
      <c r="A779" s="5">
        <v>2648</v>
      </c>
      <c r="B779" s="6">
        <v>11.92</v>
      </c>
      <c r="C779" s="8">
        <v>2.67011197243756E-2</v>
      </c>
    </row>
    <row r="780" spans="1:3" ht="19.5" hidden="1" x14ac:dyDescent="0.35">
      <c r="A780" s="5">
        <v>2649</v>
      </c>
      <c r="B780" s="6">
        <v>13.04</v>
      </c>
      <c r="C780" s="8">
        <v>9.3959731543624012E-2</v>
      </c>
    </row>
    <row r="781" spans="1:3" ht="19.5" hidden="1" x14ac:dyDescent="0.35">
      <c r="A781" s="5">
        <v>2650</v>
      </c>
      <c r="B781" s="6">
        <v>13.04</v>
      </c>
      <c r="C781" s="8">
        <v>0</v>
      </c>
    </row>
    <row r="782" spans="1:3" ht="19.5" hidden="1" x14ac:dyDescent="0.35">
      <c r="A782" s="5">
        <v>2651</v>
      </c>
      <c r="B782" s="6">
        <v>13.76</v>
      </c>
      <c r="C782" s="8">
        <v>5.52147239263805E-2</v>
      </c>
    </row>
    <row r="783" spans="1:3" ht="19.5" hidden="1" x14ac:dyDescent="0.35">
      <c r="A783" s="5">
        <v>2652</v>
      </c>
      <c r="B783" s="6">
        <v>14.55</v>
      </c>
      <c r="C783" s="8">
        <v>5.74127906976745E-2</v>
      </c>
    </row>
    <row r="784" spans="1:3" ht="19.5" hidden="1" x14ac:dyDescent="0.35">
      <c r="A784" s="5">
        <v>2653</v>
      </c>
      <c r="B784" s="6">
        <v>14.86</v>
      </c>
      <c r="C784" s="8">
        <v>2.1305841924398501E-2</v>
      </c>
    </row>
    <row r="785" spans="1:3" ht="19.5" hidden="1" x14ac:dyDescent="0.35">
      <c r="A785" s="5">
        <v>2654</v>
      </c>
      <c r="B785" s="6">
        <v>14.88</v>
      </c>
      <c r="C785" s="8">
        <v>1.3458950201885602E-3</v>
      </c>
    </row>
    <row r="786" spans="1:3" ht="19.5" x14ac:dyDescent="0.35">
      <c r="A786" s="5">
        <v>2655</v>
      </c>
      <c r="B786" s="6">
        <v>14.09</v>
      </c>
      <c r="C786" s="8">
        <v>-5.3091397849462402E-2</v>
      </c>
    </row>
    <row r="787" spans="1:3" ht="19.5" hidden="1" x14ac:dyDescent="0.35">
      <c r="A787" s="5">
        <v>2656</v>
      </c>
      <c r="B787" s="6">
        <v>14.69</v>
      </c>
      <c r="C787" s="8">
        <v>4.25833924769339E-2</v>
      </c>
    </row>
    <row r="788" spans="1:3" ht="19.5" hidden="1" x14ac:dyDescent="0.35">
      <c r="A788" s="5">
        <v>2657</v>
      </c>
      <c r="B788" s="6">
        <v>15.56</v>
      </c>
      <c r="C788" s="8">
        <v>5.92239618788293E-2</v>
      </c>
    </row>
    <row r="789" spans="1:3" ht="19.5" hidden="1" x14ac:dyDescent="0.35">
      <c r="A789" s="5">
        <v>2658</v>
      </c>
      <c r="B789" s="6">
        <v>15.87</v>
      </c>
      <c r="C789" s="8">
        <v>1.9922879177377801E-2</v>
      </c>
    </row>
    <row r="790" spans="1:3" ht="19.5" hidden="1" x14ac:dyDescent="0.35">
      <c r="A790" s="5">
        <v>2659</v>
      </c>
      <c r="B790" s="6">
        <v>16.05</v>
      </c>
      <c r="C790" s="8">
        <v>1.1342155009451899E-2</v>
      </c>
    </row>
    <row r="791" spans="1:3" ht="19.5" hidden="1" x14ac:dyDescent="0.35">
      <c r="A791" s="5">
        <v>2660</v>
      </c>
      <c r="B791" s="6">
        <v>16.89</v>
      </c>
      <c r="C791" s="8">
        <v>5.2336448598130796E-2</v>
      </c>
    </row>
    <row r="792" spans="1:3" ht="19.5" hidden="1" x14ac:dyDescent="0.35">
      <c r="A792" s="5">
        <v>2661</v>
      </c>
      <c r="B792" s="6">
        <v>17.36</v>
      </c>
      <c r="C792" s="8">
        <v>2.7827116637063401E-2</v>
      </c>
    </row>
    <row r="793" spans="1:3" ht="19.5" hidden="1" x14ac:dyDescent="0.35">
      <c r="A793" s="5">
        <v>2662</v>
      </c>
      <c r="B793" s="6">
        <v>17.059999999999999</v>
      </c>
      <c r="C793" s="8">
        <v>-1.7281105990783498E-2</v>
      </c>
    </row>
    <row r="794" spans="1:3" ht="19.5" hidden="1" x14ac:dyDescent="0.35">
      <c r="A794" s="5">
        <v>2663</v>
      </c>
      <c r="B794" s="6">
        <v>17.59</v>
      </c>
      <c r="C794" s="8">
        <v>3.1066822977725801E-2</v>
      </c>
    </row>
    <row r="795" spans="1:3" ht="19.5" hidden="1" x14ac:dyDescent="0.35">
      <c r="A795" s="5">
        <v>2664</v>
      </c>
      <c r="B795" s="6">
        <v>18.11</v>
      </c>
      <c r="C795" s="8">
        <v>2.9562251279135799E-2</v>
      </c>
    </row>
    <row r="796" spans="1:3" ht="19.5" hidden="1" x14ac:dyDescent="0.35">
      <c r="A796" s="5">
        <v>2665</v>
      </c>
      <c r="B796" s="6">
        <v>18.09</v>
      </c>
      <c r="C796" s="8">
        <v>-1.1043622308116701E-3</v>
      </c>
    </row>
    <row r="797" spans="1:3" ht="19.5" x14ac:dyDescent="0.35">
      <c r="A797" s="5">
        <v>2666</v>
      </c>
      <c r="B797" s="6">
        <v>17.010000000000002</v>
      </c>
      <c r="C797" s="8">
        <v>-5.9701492537313397E-2</v>
      </c>
    </row>
    <row r="798" spans="1:3" ht="19.5" hidden="1" x14ac:dyDescent="0.35">
      <c r="A798" s="5">
        <v>2667</v>
      </c>
      <c r="B798" s="6">
        <v>16.25</v>
      </c>
      <c r="C798" s="8">
        <v>-4.4679600235155797E-2</v>
      </c>
    </row>
    <row r="799" spans="1:3" ht="19.5" hidden="1" x14ac:dyDescent="0.35">
      <c r="A799" s="5">
        <v>2668</v>
      </c>
      <c r="B799" s="6">
        <v>15.64</v>
      </c>
      <c r="C799" s="8">
        <v>-3.75384615384615E-2</v>
      </c>
    </row>
    <row r="800" spans="1:3" ht="19.5" hidden="1" x14ac:dyDescent="0.35">
      <c r="A800" s="5">
        <v>2669</v>
      </c>
      <c r="B800" s="6">
        <v>16.57</v>
      </c>
      <c r="C800" s="8">
        <v>5.9462915601022896E-2</v>
      </c>
    </row>
    <row r="801" spans="1:3" ht="19.5" hidden="1" x14ac:dyDescent="0.35">
      <c r="A801" s="5">
        <v>2670</v>
      </c>
      <c r="B801" s="6">
        <v>16.739999999999998</v>
      </c>
      <c r="C801" s="8">
        <v>1.0259505129752499E-2</v>
      </c>
    </row>
    <row r="802" spans="1:3" ht="19.5" x14ac:dyDescent="0.35">
      <c r="A802" s="5">
        <v>2671</v>
      </c>
      <c r="B802" s="6">
        <v>14.37</v>
      </c>
      <c r="C802" s="8">
        <v>-0.14157706093190001</v>
      </c>
    </row>
    <row r="803" spans="1:3" ht="19.5" x14ac:dyDescent="0.35">
      <c r="A803" s="5">
        <v>2672</v>
      </c>
      <c r="B803" s="6">
        <v>12.28</v>
      </c>
      <c r="C803" s="8">
        <v>-0.145441892832289</v>
      </c>
    </row>
    <row r="804" spans="1:3" ht="19.5" x14ac:dyDescent="0.35">
      <c r="A804" s="5">
        <v>2673</v>
      </c>
      <c r="B804" s="6">
        <v>11.2</v>
      </c>
      <c r="C804" s="8">
        <v>-8.7947882736156405E-2</v>
      </c>
    </row>
    <row r="805" spans="1:3" ht="19.5" hidden="1" x14ac:dyDescent="0.35">
      <c r="A805" s="5">
        <v>2674</v>
      </c>
      <c r="B805" s="6">
        <v>11.02</v>
      </c>
      <c r="C805" s="8">
        <v>-1.60714285714285E-2</v>
      </c>
    </row>
    <row r="806" spans="1:3" ht="19.5" hidden="1" x14ac:dyDescent="0.35">
      <c r="A806" s="5">
        <v>2675</v>
      </c>
      <c r="B806" s="6">
        <v>11.31</v>
      </c>
      <c r="C806" s="8">
        <v>2.6315789473684299E-2</v>
      </c>
    </row>
    <row r="807" spans="1:3" ht="19.5" hidden="1" x14ac:dyDescent="0.35">
      <c r="A807" s="5">
        <v>2676</v>
      </c>
      <c r="B807" s="6">
        <v>11.04</v>
      </c>
      <c r="C807" s="8">
        <v>-2.3872679045092899E-2</v>
      </c>
    </row>
    <row r="808" spans="1:3" ht="19.5" x14ac:dyDescent="0.35">
      <c r="A808" s="5">
        <v>2677</v>
      </c>
      <c r="B808" s="6">
        <v>10.31</v>
      </c>
      <c r="C808" s="8">
        <v>-6.6123188405797007E-2</v>
      </c>
    </row>
    <row r="809" spans="1:3" ht="19.5" hidden="1" x14ac:dyDescent="0.35">
      <c r="A809" s="5">
        <v>2678</v>
      </c>
      <c r="B809" s="6">
        <v>9.89</v>
      </c>
      <c r="C809" s="8">
        <v>-4.0737148399612101E-2</v>
      </c>
    </row>
    <row r="810" spans="1:3" ht="19.5" hidden="1" x14ac:dyDescent="0.35">
      <c r="A810" s="5">
        <v>2679</v>
      </c>
      <c r="B810" s="6">
        <v>9.98</v>
      </c>
      <c r="C810" s="8">
        <v>9.100101112234471E-3</v>
      </c>
    </row>
    <row r="811" spans="1:3" ht="19.5" hidden="1" x14ac:dyDescent="0.35">
      <c r="A811" s="5">
        <v>2680</v>
      </c>
      <c r="B811" s="6">
        <v>10.210000000000001</v>
      </c>
      <c r="C811" s="8">
        <v>2.3046092184368698E-2</v>
      </c>
    </row>
    <row r="812" spans="1:3" ht="19.5" hidden="1" x14ac:dyDescent="0.35">
      <c r="A812" s="5">
        <v>2681</v>
      </c>
      <c r="B812" s="6">
        <v>12.24</v>
      </c>
      <c r="C812" s="8">
        <v>0.19882468168462303</v>
      </c>
    </row>
    <row r="813" spans="1:3" ht="19.5" hidden="1" x14ac:dyDescent="0.35">
      <c r="A813" s="5">
        <v>2682</v>
      </c>
      <c r="B813" s="6">
        <v>12.31</v>
      </c>
      <c r="C813" s="8">
        <v>5.7189542483659902E-3</v>
      </c>
    </row>
    <row r="814" spans="1:3" ht="19.5" hidden="1" x14ac:dyDescent="0.35">
      <c r="A814" s="5">
        <v>2683</v>
      </c>
      <c r="B814" s="6">
        <v>11.75</v>
      </c>
      <c r="C814" s="8">
        <v>-4.5491470349309601E-2</v>
      </c>
    </row>
    <row r="815" spans="1:3" ht="19.5" hidden="1" x14ac:dyDescent="0.35">
      <c r="A815" s="5">
        <v>2684</v>
      </c>
      <c r="B815" s="6">
        <v>13.06</v>
      </c>
      <c r="C815" s="8">
        <v>0.111489361702128</v>
      </c>
    </row>
    <row r="816" spans="1:3" ht="19.5" hidden="1" x14ac:dyDescent="0.35">
      <c r="A816" s="5">
        <v>2685</v>
      </c>
      <c r="B816" s="6">
        <v>13.07</v>
      </c>
      <c r="C816" s="8">
        <v>7.656967840734551E-4</v>
      </c>
    </row>
    <row r="817" spans="1:3" ht="19.5" hidden="1" x14ac:dyDescent="0.35">
      <c r="A817" s="5">
        <v>2686</v>
      </c>
      <c r="B817" s="6">
        <v>12.69</v>
      </c>
      <c r="C817" s="8">
        <v>-2.90742157612854E-2</v>
      </c>
    </row>
    <row r="818" spans="1:3" ht="19.5" hidden="1" x14ac:dyDescent="0.35">
      <c r="A818" s="5">
        <v>2687</v>
      </c>
      <c r="B818" s="6">
        <v>12.5</v>
      </c>
      <c r="C818" s="8">
        <v>-1.4972419227738299E-2</v>
      </c>
    </row>
    <row r="819" spans="1:3" ht="19.5" hidden="1" x14ac:dyDescent="0.35">
      <c r="A819" s="5">
        <v>2688</v>
      </c>
      <c r="B819" s="6">
        <v>12.4</v>
      </c>
      <c r="C819" s="8">
        <v>-8.0000000000000106E-3</v>
      </c>
    </row>
    <row r="820" spans="1:3" ht="19.5" hidden="1" x14ac:dyDescent="0.35">
      <c r="A820" s="5">
        <v>2689</v>
      </c>
      <c r="B820" s="6">
        <v>12.39</v>
      </c>
      <c r="C820" s="8">
        <v>-8.0645161290315902E-4</v>
      </c>
    </row>
    <row r="821" spans="1:3" ht="19.5" x14ac:dyDescent="0.35">
      <c r="A821" s="5">
        <v>2690</v>
      </c>
      <c r="B821" s="6">
        <v>10.83</v>
      </c>
      <c r="C821" s="8">
        <v>-0.12590799031477001</v>
      </c>
    </row>
    <row r="822" spans="1:3" ht="19.5" hidden="1" x14ac:dyDescent="0.35">
      <c r="A822" s="5">
        <v>2691</v>
      </c>
      <c r="B822" s="6">
        <v>11.23</v>
      </c>
      <c r="C822" s="8">
        <v>3.6934441366574401E-2</v>
      </c>
    </row>
    <row r="823" spans="1:3" ht="19.5" hidden="1" x14ac:dyDescent="0.35">
      <c r="A823" s="5">
        <v>2692</v>
      </c>
      <c r="B823" s="6">
        <v>11.43</v>
      </c>
      <c r="C823" s="8">
        <v>1.7809439002671301E-2</v>
      </c>
    </row>
    <row r="824" spans="1:3" ht="19.5" hidden="1" x14ac:dyDescent="0.35">
      <c r="A824" s="5">
        <v>2693</v>
      </c>
      <c r="B824" s="6">
        <v>11.71</v>
      </c>
      <c r="C824" s="8">
        <v>2.4496937882764899E-2</v>
      </c>
    </row>
    <row r="825" spans="1:3" ht="19.5" hidden="1" x14ac:dyDescent="0.35">
      <c r="A825" s="5">
        <v>2694</v>
      </c>
      <c r="B825" s="6">
        <v>11.54</v>
      </c>
      <c r="C825" s="8">
        <v>-1.4517506404782299E-2</v>
      </c>
    </row>
    <row r="826" spans="1:3" ht="19.5" hidden="1" x14ac:dyDescent="0.35">
      <c r="A826" s="5">
        <v>2695</v>
      </c>
      <c r="B826" s="6">
        <v>12.77</v>
      </c>
      <c r="C826" s="8">
        <v>0.10658578856152501</v>
      </c>
    </row>
    <row r="827" spans="1:3" ht="19.5" hidden="1" x14ac:dyDescent="0.35">
      <c r="A827" s="5">
        <v>2696</v>
      </c>
      <c r="B827" s="6">
        <v>12.9</v>
      </c>
      <c r="C827" s="8">
        <v>1.0180109631950001E-2</v>
      </c>
    </row>
    <row r="828" spans="1:3" ht="19.5" hidden="1" x14ac:dyDescent="0.35">
      <c r="A828" s="5">
        <v>2697</v>
      </c>
      <c r="B828" s="6">
        <v>12.67</v>
      </c>
      <c r="C828" s="8">
        <v>-1.78294573643412E-2</v>
      </c>
    </row>
    <row r="829" spans="1:3" ht="19.5" hidden="1" x14ac:dyDescent="0.35">
      <c r="A829" s="5">
        <v>2698</v>
      </c>
      <c r="B829" s="6">
        <v>12.37</v>
      </c>
      <c r="C829" s="8">
        <v>-2.36779794790845E-2</v>
      </c>
    </row>
    <row r="830" spans="1:3" ht="19.5" hidden="1" x14ac:dyDescent="0.35">
      <c r="A830" s="5">
        <v>2699</v>
      </c>
      <c r="B830" s="6">
        <v>12.3</v>
      </c>
      <c r="C830" s="8">
        <v>-5.6588520614387905E-3</v>
      </c>
    </row>
    <row r="831" spans="1:3" ht="19.5" hidden="1" x14ac:dyDescent="0.35">
      <c r="A831" s="5">
        <v>2700</v>
      </c>
      <c r="B831" s="6">
        <v>12.22</v>
      </c>
      <c r="C831" s="8">
        <v>-6.5040650406503805E-3</v>
      </c>
    </row>
    <row r="832" spans="1:3" ht="19.5" hidden="1" x14ac:dyDescent="0.35">
      <c r="A832" s="5">
        <v>2701</v>
      </c>
      <c r="B832" s="6">
        <v>12.15</v>
      </c>
      <c r="C832" s="8">
        <v>-5.7283142389525903E-3</v>
      </c>
    </row>
    <row r="833" spans="1:3" ht="19.5" hidden="1" x14ac:dyDescent="0.35">
      <c r="A833" s="5">
        <v>2702</v>
      </c>
      <c r="B833" s="6">
        <v>12.27</v>
      </c>
      <c r="C833" s="8">
        <v>9.8765432098764112E-3</v>
      </c>
    </row>
    <row r="834" spans="1:3" ht="19.5" x14ac:dyDescent="0.35">
      <c r="A834" s="5">
        <v>2703</v>
      </c>
      <c r="B834" s="6">
        <v>10.58</v>
      </c>
      <c r="C834" s="8">
        <v>-0.13773431132844302</v>
      </c>
    </row>
    <row r="835" spans="1:3" ht="19.5" x14ac:dyDescent="0.35">
      <c r="A835" s="5">
        <v>2704</v>
      </c>
      <c r="B835" s="6">
        <v>9.67</v>
      </c>
      <c r="C835" s="8">
        <v>-8.6011342155009496E-2</v>
      </c>
    </row>
    <row r="836" spans="1:3" ht="19.5" hidden="1" x14ac:dyDescent="0.35">
      <c r="A836" s="5">
        <v>2705</v>
      </c>
      <c r="B836" s="6">
        <v>9.99</v>
      </c>
      <c r="C836" s="8">
        <v>3.3092037228541898E-2</v>
      </c>
    </row>
    <row r="837" spans="1:3" ht="19.5" hidden="1" x14ac:dyDescent="0.35">
      <c r="A837" s="5">
        <v>2706</v>
      </c>
      <c r="B837" s="6">
        <v>10.199999999999999</v>
      </c>
      <c r="C837" s="8">
        <v>2.1021021021020901E-2</v>
      </c>
    </row>
    <row r="838" spans="1:3" ht="19.5" hidden="1" x14ac:dyDescent="0.35">
      <c r="A838" s="5">
        <v>2707</v>
      </c>
      <c r="B838" s="6">
        <v>10.63</v>
      </c>
      <c r="C838" s="8">
        <v>4.2156862745098098E-2</v>
      </c>
    </row>
    <row r="839" spans="1:3" ht="19.5" hidden="1" x14ac:dyDescent="0.35">
      <c r="A839" s="5">
        <v>2708</v>
      </c>
      <c r="B839" s="6">
        <v>10.73</v>
      </c>
      <c r="C839" s="8">
        <v>9.4073377234242805E-3</v>
      </c>
    </row>
    <row r="840" spans="1:3" ht="19.5" hidden="1" x14ac:dyDescent="0.35">
      <c r="A840" s="5">
        <v>2709</v>
      </c>
      <c r="B840" s="6">
        <v>10.98</v>
      </c>
      <c r="C840" s="8">
        <v>2.3299161230195799E-2</v>
      </c>
    </row>
    <row r="841" spans="1:3" ht="19.5" hidden="1" x14ac:dyDescent="0.35">
      <c r="A841" s="5">
        <v>2710</v>
      </c>
      <c r="B841" s="6">
        <v>10.53</v>
      </c>
      <c r="C841" s="8">
        <v>-4.0983606557377102E-2</v>
      </c>
    </row>
    <row r="842" spans="1:3" ht="19.5" hidden="1" x14ac:dyDescent="0.35">
      <c r="A842" s="5">
        <v>2711</v>
      </c>
      <c r="B842" s="6">
        <v>10.55</v>
      </c>
      <c r="C842" s="8">
        <v>1.8993352326686101E-3</v>
      </c>
    </row>
    <row r="843" spans="1:3" ht="19.5" x14ac:dyDescent="0.35">
      <c r="A843" s="5">
        <v>2712</v>
      </c>
      <c r="B843" s="6">
        <v>9.89</v>
      </c>
      <c r="C843" s="8">
        <v>-6.2559241706161103E-2</v>
      </c>
    </row>
    <row r="844" spans="1:3" ht="19.5" hidden="1" x14ac:dyDescent="0.35">
      <c r="A844" s="5">
        <v>2713</v>
      </c>
      <c r="B844" s="6">
        <v>9.9499999999999993</v>
      </c>
      <c r="C844" s="8">
        <v>6.0667340748228301E-3</v>
      </c>
    </row>
    <row r="845" spans="1:3" ht="19.5" hidden="1" x14ac:dyDescent="0.35">
      <c r="A845" s="5">
        <v>2714</v>
      </c>
      <c r="B845" s="6">
        <v>9.64</v>
      </c>
      <c r="C845" s="8">
        <v>-3.11557788944722E-2</v>
      </c>
    </row>
    <row r="846" spans="1:3" ht="19.5" hidden="1" x14ac:dyDescent="0.35">
      <c r="A846" s="5">
        <v>2715</v>
      </c>
      <c r="B846" s="6">
        <v>9.43</v>
      </c>
      <c r="C846" s="8">
        <v>-2.17842323651453E-2</v>
      </c>
    </row>
    <row r="847" spans="1:3" ht="19.5" hidden="1" x14ac:dyDescent="0.35">
      <c r="A847" s="5">
        <v>2716</v>
      </c>
      <c r="B847" s="6">
        <v>9.76</v>
      </c>
      <c r="C847" s="8">
        <v>3.4994697773064597E-2</v>
      </c>
    </row>
    <row r="848" spans="1:3" ht="19.5" hidden="1" x14ac:dyDescent="0.35">
      <c r="A848" s="5">
        <v>2717</v>
      </c>
      <c r="B848" s="6">
        <v>10.26</v>
      </c>
      <c r="C848" s="8">
        <v>5.1229508196721299E-2</v>
      </c>
    </row>
    <row r="849" spans="1:3" ht="19.5" hidden="1" x14ac:dyDescent="0.35">
      <c r="A849" s="5">
        <v>2718</v>
      </c>
      <c r="B849" s="6">
        <v>10.210000000000001</v>
      </c>
      <c r="C849" s="8">
        <v>-4.8732943469784705E-3</v>
      </c>
    </row>
    <row r="850" spans="1:3" ht="19.5" hidden="1" x14ac:dyDescent="0.35">
      <c r="A850" s="5">
        <v>2719</v>
      </c>
      <c r="B850" s="6">
        <v>10.24</v>
      </c>
      <c r="C850" s="8">
        <v>2.9382957884427404E-3</v>
      </c>
    </row>
    <row r="851" spans="1:3" ht="19.5" hidden="1" x14ac:dyDescent="0.35">
      <c r="A851" s="5">
        <v>2720</v>
      </c>
      <c r="B851" s="6">
        <v>9.83</v>
      </c>
      <c r="C851" s="8">
        <v>-4.00390625E-2</v>
      </c>
    </row>
    <row r="852" spans="1:3" ht="19.5" hidden="1" x14ac:dyDescent="0.35">
      <c r="A852" s="5">
        <v>2721</v>
      </c>
      <c r="B852" s="6">
        <v>9.3699999999999992</v>
      </c>
      <c r="C852" s="8">
        <v>-4.6795523906409099E-2</v>
      </c>
    </row>
    <row r="853" spans="1:3" ht="19.5" x14ac:dyDescent="0.35">
      <c r="A853" s="5">
        <v>2722</v>
      </c>
      <c r="B853" s="6">
        <v>8.76</v>
      </c>
      <c r="C853" s="8">
        <v>-6.5101387406616903E-2</v>
      </c>
    </row>
    <row r="854" spans="1:3" ht="19.5" hidden="1" x14ac:dyDescent="0.35">
      <c r="A854" s="5">
        <v>2723</v>
      </c>
      <c r="B854" s="6">
        <v>8.93</v>
      </c>
      <c r="C854" s="8">
        <v>1.9406392694064002E-2</v>
      </c>
    </row>
    <row r="855" spans="1:3" ht="19.5" hidden="1" x14ac:dyDescent="0.35">
      <c r="A855" s="5">
        <v>2724</v>
      </c>
      <c r="B855" s="6">
        <v>8.65</v>
      </c>
      <c r="C855" s="8">
        <v>-3.1354983202687502E-2</v>
      </c>
    </row>
    <row r="856" spans="1:3" ht="19.5" x14ac:dyDescent="0.35">
      <c r="A856" s="5">
        <v>2725</v>
      </c>
      <c r="B856" s="6">
        <v>8.18</v>
      </c>
      <c r="C856" s="8">
        <v>-5.4335260115607006E-2</v>
      </c>
    </row>
    <row r="857" spans="1:3" ht="19.5" hidden="1" x14ac:dyDescent="0.35">
      <c r="A857" s="5">
        <v>2726</v>
      </c>
      <c r="B857" s="6">
        <v>7.84</v>
      </c>
      <c r="C857" s="8">
        <v>-4.1564792176039096E-2</v>
      </c>
    </row>
    <row r="858" spans="1:3" ht="19.5" hidden="1" x14ac:dyDescent="0.35">
      <c r="A858" s="5">
        <v>2727</v>
      </c>
      <c r="B858" s="6">
        <v>7.93</v>
      </c>
      <c r="C858" s="8">
        <v>1.14795918367347E-2</v>
      </c>
    </row>
    <row r="859" spans="1:3" ht="19.5" hidden="1" x14ac:dyDescent="0.35">
      <c r="A859" s="5">
        <v>2728</v>
      </c>
      <c r="B859" s="6">
        <v>8.33</v>
      </c>
      <c r="C859" s="8">
        <v>5.0441361916771801E-2</v>
      </c>
    </row>
    <row r="860" spans="1:3" ht="19.5" hidden="1" x14ac:dyDescent="0.35">
      <c r="A860" s="5">
        <v>2729</v>
      </c>
      <c r="B860" s="6">
        <v>8.64</v>
      </c>
      <c r="C860" s="8">
        <v>3.7214885954381702E-2</v>
      </c>
    </row>
    <row r="861" spans="1:3" ht="19.5" hidden="1" x14ac:dyDescent="0.35">
      <c r="A861" s="5">
        <v>2730</v>
      </c>
      <c r="B861" s="6">
        <v>8.59</v>
      </c>
      <c r="C861" s="8">
        <v>-5.7870370370370905E-3</v>
      </c>
    </row>
    <row r="862" spans="1:3" ht="19.5" hidden="1" x14ac:dyDescent="0.35">
      <c r="A862" s="5">
        <v>2731</v>
      </c>
      <c r="B862" s="6">
        <v>8.68</v>
      </c>
      <c r="C862" s="8">
        <v>1.0477299185099001E-2</v>
      </c>
    </row>
    <row r="863" spans="1:3" ht="19.5" hidden="1" x14ac:dyDescent="0.35">
      <c r="A863" s="5">
        <v>2732</v>
      </c>
      <c r="B863" s="6">
        <v>9.32</v>
      </c>
      <c r="C863" s="8">
        <v>7.37327188940093E-2</v>
      </c>
    </row>
    <row r="864" spans="1:3" ht="19.5" hidden="1" x14ac:dyDescent="0.35">
      <c r="A864" s="5">
        <v>2733</v>
      </c>
      <c r="B864" s="6">
        <v>9.4700000000000006</v>
      </c>
      <c r="C864" s="8">
        <v>1.6094420600858399E-2</v>
      </c>
    </row>
    <row r="865" spans="1:3" ht="19.5" hidden="1" x14ac:dyDescent="0.35">
      <c r="A865" s="5">
        <v>2734</v>
      </c>
      <c r="B865" s="6">
        <v>9.52</v>
      </c>
      <c r="C865" s="8">
        <v>5.2798310454065201E-3</v>
      </c>
    </row>
    <row r="866" spans="1:3" ht="19.5" hidden="1" x14ac:dyDescent="0.35">
      <c r="A866" s="5">
        <v>2735</v>
      </c>
      <c r="B866" s="6">
        <v>10.09</v>
      </c>
      <c r="C866" s="8">
        <v>5.98739495798319E-2</v>
      </c>
    </row>
    <row r="867" spans="1:3" ht="19.5" hidden="1" x14ac:dyDescent="0.35">
      <c r="A867" s="5">
        <v>2736</v>
      </c>
      <c r="B867" s="6">
        <v>10.69</v>
      </c>
      <c r="C867" s="8">
        <v>5.9464816650148598E-2</v>
      </c>
    </row>
    <row r="868" spans="1:3" ht="19.5" hidden="1" x14ac:dyDescent="0.35">
      <c r="A868" s="5">
        <v>2737</v>
      </c>
      <c r="B868" s="6">
        <v>11.07</v>
      </c>
      <c r="C868" s="8">
        <v>3.55472404115997E-2</v>
      </c>
    </row>
    <row r="869" spans="1:3" ht="19.5" hidden="1" x14ac:dyDescent="0.35">
      <c r="A869" s="5">
        <v>2738</v>
      </c>
      <c r="B869" s="6">
        <v>11.44</v>
      </c>
      <c r="C869" s="8">
        <v>3.3423667570009002E-2</v>
      </c>
    </row>
    <row r="870" spans="1:3" ht="19.5" hidden="1" x14ac:dyDescent="0.35">
      <c r="A870" s="5">
        <v>2739</v>
      </c>
      <c r="B870" s="6">
        <v>11.89</v>
      </c>
      <c r="C870" s="8">
        <v>3.9335664335664398E-2</v>
      </c>
    </row>
    <row r="871" spans="1:3" ht="19.5" hidden="1" x14ac:dyDescent="0.35">
      <c r="A871" s="5">
        <v>2740</v>
      </c>
      <c r="B871" s="6">
        <v>12.1</v>
      </c>
      <c r="C871" s="8">
        <v>1.7661900756938499E-2</v>
      </c>
    </row>
    <row r="872" spans="1:3" ht="19.5" hidden="1" x14ac:dyDescent="0.35">
      <c r="A872" s="5">
        <v>2741</v>
      </c>
      <c r="B872" s="6">
        <v>12.35</v>
      </c>
      <c r="C872" s="8">
        <v>2.0661157024793399E-2</v>
      </c>
    </row>
    <row r="873" spans="1:3" ht="19.5" hidden="1" x14ac:dyDescent="0.35">
      <c r="A873" s="5">
        <v>2742</v>
      </c>
      <c r="B873" s="6">
        <v>11.74</v>
      </c>
      <c r="C873" s="8">
        <v>-4.9392712550607301E-2</v>
      </c>
    </row>
    <row r="874" spans="1:3" ht="19.5" hidden="1" x14ac:dyDescent="0.35">
      <c r="A874" s="5">
        <v>2743</v>
      </c>
      <c r="B874" s="6">
        <v>11.99</v>
      </c>
      <c r="C874" s="8">
        <v>2.1294718909710398E-2</v>
      </c>
    </row>
    <row r="875" spans="1:3" ht="19.5" hidden="1" x14ac:dyDescent="0.35">
      <c r="A875" s="5">
        <v>2744</v>
      </c>
      <c r="B875" s="6">
        <v>11.88</v>
      </c>
      <c r="C875" s="8">
        <v>-9.1743119266054513E-3</v>
      </c>
    </row>
    <row r="876" spans="1:3" ht="19.5" hidden="1" x14ac:dyDescent="0.35">
      <c r="A876" s="5">
        <v>2745</v>
      </c>
      <c r="B876" s="6">
        <v>11.33</v>
      </c>
      <c r="C876" s="8">
        <v>-4.6296296296296398E-2</v>
      </c>
    </row>
    <row r="877" spans="1:3" ht="19.5" hidden="1" x14ac:dyDescent="0.35">
      <c r="A877" s="5">
        <v>2746</v>
      </c>
      <c r="B877" s="6">
        <v>11.48</v>
      </c>
      <c r="C877" s="8">
        <v>1.32391879964695E-2</v>
      </c>
    </row>
    <row r="878" spans="1:3" ht="19.5" hidden="1" x14ac:dyDescent="0.35">
      <c r="A878" s="5">
        <v>2747</v>
      </c>
      <c r="B878" s="6">
        <v>11.85</v>
      </c>
      <c r="C878" s="8">
        <v>3.2229965156794299E-2</v>
      </c>
    </row>
    <row r="879" spans="1:3" ht="19.5" hidden="1" x14ac:dyDescent="0.35">
      <c r="A879" s="5">
        <v>2748</v>
      </c>
      <c r="B879" s="6">
        <v>11.77</v>
      </c>
      <c r="C879" s="8">
        <v>-6.7510548523206405E-3</v>
      </c>
    </row>
    <row r="880" spans="1:3" ht="19.5" hidden="1" x14ac:dyDescent="0.35">
      <c r="A880" s="5">
        <v>2749</v>
      </c>
      <c r="B880" s="6">
        <v>12.1</v>
      </c>
      <c r="C880" s="8">
        <v>2.8037383177570201E-2</v>
      </c>
    </row>
    <row r="881" spans="1:3" ht="19.5" hidden="1" x14ac:dyDescent="0.35">
      <c r="A881" s="5">
        <v>2750</v>
      </c>
      <c r="B881" s="6">
        <v>11.89</v>
      </c>
      <c r="C881" s="8">
        <v>-1.7355371900826401E-2</v>
      </c>
    </row>
    <row r="882" spans="1:3" ht="19.5" hidden="1" x14ac:dyDescent="0.35">
      <c r="A882" s="5">
        <v>2751</v>
      </c>
      <c r="B882" s="6">
        <v>12.1</v>
      </c>
      <c r="C882" s="8">
        <v>1.7661900756938499E-2</v>
      </c>
    </row>
    <row r="883" spans="1:3" ht="19.5" hidden="1" x14ac:dyDescent="0.35">
      <c r="A883" s="5">
        <v>2752</v>
      </c>
      <c r="B883" s="6">
        <v>12.67</v>
      </c>
      <c r="C883" s="8">
        <v>4.7107438016529099E-2</v>
      </c>
    </row>
    <row r="884" spans="1:3" ht="19.5" hidden="1" x14ac:dyDescent="0.35">
      <c r="A884" s="5">
        <v>2753</v>
      </c>
      <c r="B884" s="6">
        <v>13</v>
      </c>
      <c r="C884" s="8">
        <v>2.6045777426992898E-2</v>
      </c>
    </row>
    <row r="885" spans="1:3" ht="19.5" hidden="1" x14ac:dyDescent="0.35">
      <c r="A885" s="5">
        <v>2754</v>
      </c>
      <c r="B885" s="6">
        <v>12.81</v>
      </c>
      <c r="C885" s="8">
        <v>-1.46153846153846E-2</v>
      </c>
    </row>
    <row r="886" spans="1:3" ht="19.5" hidden="1" x14ac:dyDescent="0.35">
      <c r="A886" s="5">
        <v>2755</v>
      </c>
      <c r="B886" s="6">
        <v>12.6</v>
      </c>
      <c r="C886" s="8">
        <v>-1.63934426229508E-2</v>
      </c>
    </row>
    <row r="887" spans="1:3" ht="19.5" hidden="1" x14ac:dyDescent="0.35">
      <c r="A887" s="5">
        <v>2756</v>
      </c>
      <c r="B887" s="6">
        <v>12.91</v>
      </c>
      <c r="C887" s="8">
        <v>2.46031746031747E-2</v>
      </c>
    </row>
    <row r="888" spans="1:3" ht="19.5" hidden="1" x14ac:dyDescent="0.35">
      <c r="A888" s="5">
        <v>2757</v>
      </c>
      <c r="B888" s="6">
        <v>12.82</v>
      </c>
      <c r="C888" s="8">
        <v>-6.9713400464755902E-3</v>
      </c>
    </row>
    <row r="889" spans="1:3" ht="19.5" hidden="1" x14ac:dyDescent="0.35">
      <c r="A889" s="5">
        <v>2758</v>
      </c>
      <c r="B889" s="6">
        <v>13.1</v>
      </c>
      <c r="C889" s="8">
        <v>2.1840873634945399E-2</v>
      </c>
    </row>
    <row r="890" spans="1:3" ht="19.5" hidden="1" x14ac:dyDescent="0.35">
      <c r="A890" s="5">
        <v>2759</v>
      </c>
      <c r="B890" s="6">
        <v>13.49</v>
      </c>
      <c r="C890" s="8">
        <v>2.9770992366412199E-2</v>
      </c>
    </row>
    <row r="891" spans="1:3" ht="19.5" hidden="1" x14ac:dyDescent="0.35">
      <c r="A891" s="5">
        <v>2760</v>
      </c>
      <c r="B891" s="6">
        <v>13.94</v>
      </c>
      <c r="C891" s="8">
        <v>3.3358042994810801E-2</v>
      </c>
    </row>
    <row r="892" spans="1:3" ht="19.5" hidden="1" x14ac:dyDescent="0.35">
      <c r="A892" s="5">
        <v>2761</v>
      </c>
      <c r="B892" s="6">
        <v>13.93</v>
      </c>
      <c r="C892" s="8">
        <v>-7.1736011477763206E-4</v>
      </c>
    </row>
    <row r="893" spans="1:3" ht="19.5" hidden="1" x14ac:dyDescent="0.35">
      <c r="A893" s="5">
        <v>2762</v>
      </c>
      <c r="B893" s="6">
        <v>14.28</v>
      </c>
      <c r="C893" s="8">
        <v>2.5125628140703498E-2</v>
      </c>
    </row>
    <row r="894" spans="1:3" ht="19.5" hidden="1" x14ac:dyDescent="0.35">
      <c r="A894" s="5">
        <v>2763</v>
      </c>
      <c r="B894" s="6">
        <v>14.82</v>
      </c>
      <c r="C894" s="8">
        <v>3.7815126050420297E-2</v>
      </c>
    </row>
    <row r="895" spans="1:3" ht="19.5" hidden="1" x14ac:dyDescent="0.35">
      <c r="A895" s="5">
        <v>2764</v>
      </c>
      <c r="B895" s="6">
        <v>15.09</v>
      </c>
      <c r="C895" s="8">
        <v>1.8218623481781399E-2</v>
      </c>
    </row>
    <row r="896" spans="1:3" ht="19.5" hidden="1" x14ac:dyDescent="0.35">
      <c r="A896" s="5">
        <v>2765</v>
      </c>
      <c r="B896" s="6">
        <v>14.78</v>
      </c>
      <c r="C896" s="8">
        <v>-2.0543406229291003E-2</v>
      </c>
    </row>
    <row r="897" spans="1:3" ht="19.5" hidden="1" x14ac:dyDescent="0.35">
      <c r="A897" s="5">
        <v>2766</v>
      </c>
      <c r="B897" s="6">
        <v>14.83</v>
      </c>
      <c r="C897" s="8">
        <v>3.3829499323410101E-3</v>
      </c>
    </row>
    <row r="898" spans="1:3" ht="19.5" hidden="1" x14ac:dyDescent="0.35">
      <c r="A898" s="5">
        <v>2767</v>
      </c>
      <c r="B898" s="6">
        <v>15.84</v>
      </c>
      <c r="C898" s="8">
        <v>6.8105192178017596E-2</v>
      </c>
    </row>
    <row r="899" spans="1:3" ht="19.5" hidden="1" x14ac:dyDescent="0.35">
      <c r="A899" s="5">
        <v>2768</v>
      </c>
      <c r="B899" s="6">
        <v>16.5</v>
      </c>
      <c r="C899" s="8">
        <v>4.1666666666666699E-2</v>
      </c>
    </row>
    <row r="900" spans="1:3" ht="19.5" hidden="1" x14ac:dyDescent="0.35">
      <c r="A900" s="5">
        <v>2769</v>
      </c>
      <c r="B900" s="6">
        <v>17.04</v>
      </c>
      <c r="C900" s="8">
        <v>3.2727272727272702E-2</v>
      </c>
    </row>
    <row r="901" spans="1:3" ht="19.5" hidden="1" x14ac:dyDescent="0.35">
      <c r="A901" s="5">
        <v>2770</v>
      </c>
      <c r="B901" s="6">
        <v>17.329999999999998</v>
      </c>
      <c r="C901" s="8">
        <v>1.7018779342723001E-2</v>
      </c>
    </row>
    <row r="902" spans="1:3" ht="19.5" hidden="1" x14ac:dyDescent="0.35">
      <c r="A902" s="5">
        <v>2771</v>
      </c>
      <c r="B902" s="6">
        <v>18.02</v>
      </c>
      <c r="C902" s="8">
        <v>3.9815349105597302E-2</v>
      </c>
    </row>
    <row r="903" spans="1:3" ht="19.5" hidden="1" x14ac:dyDescent="0.35">
      <c r="A903" s="5">
        <v>2772</v>
      </c>
      <c r="B903" s="6">
        <v>18.07</v>
      </c>
      <c r="C903" s="8">
        <v>2.7746947835738402E-3</v>
      </c>
    </row>
    <row r="904" spans="1:3" ht="19.5" hidden="1" x14ac:dyDescent="0.35">
      <c r="A904" s="5">
        <v>2773</v>
      </c>
      <c r="B904" s="6">
        <v>17.53</v>
      </c>
      <c r="C904" s="8">
        <v>-2.9883785279468698E-2</v>
      </c>
    </row>
    <row r="905" spans="1:3" ht="19.5" hidden="1" x14ac:dyDescent="0.35">
      <c r="A905" s="5">
        <v>2774</v>
      </c>
      <c r="B905" s="6">
        <v>18.66</v>
      </c>
      <c r="C905" s="8">
        <v>6.4460924130062699E-2</v>
      </c>
    </row>
    <row r="906" spans="1:3" ht="19.5" hidden="1" x14ac:dyDescent="0.35">
      <c r="A906" s="5">
        <v>2775</v>
      </c>
      <c r="B906" s="6">
        <v>18.7</v>
      </c>
      <c r="C906" s="8">
        <v>2.1436227224007603E-3</v>
      </c>
    </row>
    <row r="907" spans="1:3" ht="19.5" hidden="1" x14ac:dyDescent="0.35">
      <c r="A907" s="5">
        <v>2776</v>
      </c>
      <c r="B907" s="6">
        <v>18.579999999999998</v>
      </c>
      <c r="C907" s="8">
        <v>-6.4171122994652902E-3</v>
      </c>
    </row>
    <row r="908" spans="1:3" ht="19.5" hidden="1" x14ac:dyDescent="0.35">
      <c r="A908" s="5">
        <v>2777</v>
      </c>
      <c r="B908" s="6">
        <v>18.05</v>
      </c>
      <c r="C908" s="8">
        <v>-2.85252960172226E-2</v>
      </c>
    </row>
    <row r="909" spans="1:3" ht="19.5" hidden="1" x14ac:dyDescent="0.35">
      <c r="A909" s="5">
        <v>2778</v>
      </c>
      <c r="B909" s="6">
        <v>17.7</v>
      </c>
      <c r="C909" s="8">
        <v>-1.9390581717451599E-2</v>
      </c>
    </row>
    <row r="910" spans="1:3" ht="19.5" x14ac:dyDescent="0.35">
      <c r="A910" s="5">
        <v>2779</v>
      </c>
      <c r="B910" s="6">
        <v>15.09</v>
      </c>
      <c r="C910" s="8">
        <v>-0.14745762711864402</v>
      </c>
    </row>
    <row r="911" spans="1:3" ht="19.5" hidden="1" x14ac:dyDescent="0.35">
      <c r="A911" s="5">
        <v>2780</v>
      </c>
      <c r="B911" s="6">
        <v>14.75</v>
      </c>
      <c r="C911" s="8">
        <v>-2.2531477799867399E-2</v>
      </c>
    </row>
    <row r="912" spans="1:3" ht="19.5" hidden="1" x14ac:dyDescent="0.35">
      <c r="A912" s="5">
        <v>2781</v>
      </c>
      <c r="B912" s="6">
        <v>14.69</v>
      </c>
      <c r="C912" s="8">
        <v>-4.0677966101695402E-3</v>
      </c>
    </row>
    <row r="913" spans="1:3" ht="19.5" hidden="1" x14ac:dyDescent="0.35">
      <c r="A913" s="5">
        <v>2782</v>
      </c>
      <c r="B913" s="6">
        <v>15.13</v>
      </c>
      <c r="C913" s="8">
        <v>2.9952348536419499E-2</v>
      </c>
    </row>
    <row r="914" spans="1:3" ht="19.5" hidden="1" x14ac:dyDescent="0.35">
      <c r="A914" s="5">
        <v>2783</v>
      </c>
      <c r="B914" s="6">
        <v>15.21</v>
      </c>
      <c r="C914" s="8">
        <v>5.2875082617316301E-3</v>
      </c>
    </row>
    <row r="915" spans="1:3" ht="19.5" hidden="1" x14ac:dyDescent="0.35">
      <c r="A915" s="5">
        <v>2784</v>
      </c>
      <c r="B915" s="6">
        <v>15.8</v>
      </c>
      <c r="C915" s="8">
        <v>3.87902695595004E-2</v>
      </c>
    </row>
    <row r="916" spans="1:3" ht="19.5" hidden="1" x14ac:dyDescent="0.35">
      <c r="A916" s="5">
        <v>2785</v>
      </c>
      <c r="B916" s="6">
        <v>15.16</v>
      </c>
      <c r="C916" s="8">
        <v>-4.0506329113924003E-2</v>
      </c>
    </row>
    <row r="917" spans="1:3" ht="19.5" hidden="1" x14ac:dyDescent="0.35">
      <c r="A917" s="5">
        <v>2786</v>
      </c>
      <c r="B917" s="6">
        <v>14.6</v>
      </c>
      <c r="C917" s="8">
        <v>-3.6939313984168901E-2</v>
      </c>
    </row>
    <row r="918" spans="1:3" ht="19.5" hidden="1" x14ac:dyDescent="0.35">
      <c r="A918" s="5">
        <v>2787</v>
      </c>
      <c r="B918" s="6">
        <v>14.34</v>
      </c>
      <c r="C918" s="8">
        <v>-1.7808219178082198E-2</v>
      </c>
    </row>
    <row r="919" spans="1:3" ht="19.5" hidden="1" x14ac:dyDescent="0.35">
      <c r="A919" s="5">
        <v>2788</v>
      </c>
      <c r="B919" s="6">
        <v>14.84</v>
      </c>
      <c r="C919" s="8">
        <v>3.4867503486750301E-2</v>
      </c>
    </row>
    <row r="920" spans="1:3" ht="19.5" hidden="1" x14ac:dyDescent="0.35">
      <c r="A920" s="5">
        <v>2789</v>
      </c>
      <c r="B920" s="6">
        <v>15.77</v>
      </c>
      <c r="C920" s="8">
        <v>6.2668463611859695E-2</v>
      </c>
    </row>
    <row r="921" spans="1:3" ht="19.5" hidden="1" x14ac:dyDescent="0.35">
      <c r="A921" s="5">
        <v>2790</v>
      </c>
      <c r="B921" s="6">
        <v>15.46</v>
      </c>
      <c r="C921" s="8">
        <v>-1.9657577679137599E-2</v>
      </c>
    </row>
    <row r="922" spans="1:3" ht="19.5" hidden="1" x14ac:dyDescent="0.35">
      <c r="A922" s="5">
        <v>2791</v>
      </c>
      <c r="B922" s="6">
        <v>15.06</v>
      </c>
      <c r="C922" s="8">
        <v>-2.5873221216041398E-2</v>
      </c>
    </row>
    <row r="923" spans="1:3" ht="19.5" hidden="1" x14ac:dyDescent="0.35">
      <c r="A923" s="5">
        <v>2792</v>
      </c>
      <c r="B923" s="6">
        <v>15.45</v>
      </c>
      <c r="C923" s="8">
        <v>2.5896414342629501E-2</v>
      </c>
    </row>
    <row r="924" spans="1:3" ht="19.5" hidden="1" x14ac:dyDescent="0.35">
      <c r="A924" s="5">
        <v>2793</v>
      </c>
      <c r="B924" s="6">
        <v>15.27</v>
      </c>
      <c r="C924" s="8">
        <v>-1.1650485436893199E-2</v>
      </c>
    </row>
    <row r="925" spans="1:3" ht="19.5" hidden="1" x14ac:dyDescent="0.35">
      <c r="A925" s="5">
        <v>2794</v>
      </c>
      <c r="B925" s="6">
        <v>15.03</v>
      </c>
      <c r="C925" s="8">
        <v>-1.5717092337917498E-2</v>
      </c>
    </row>
    <row r="926" spans="1:3" ht="19.5" hidden="1" x14ac:dyDescent="0.35">
      <c r="A926" s="5">
        <v>2795</v>
      </c>
      <c r="B926" s="6">
        <v>14.83</v>
      </c>
      <c r="C926" s="8">
        <v>-1.33067198935461E-2</v>
      </c>
    </row>
    <row r="927" spans="1:3" ht="19.5" hidden="1" x14ac:dyDescent="0.35">
      <c r="A927" s="5">
        <v>2796</v>
      </c>
      <c r="B927" s="6">
        <v>14.1</v>
      </c>
      <c r="C927" s="8">
        <v>-4.9224544841537501E-2</v>
      </c>
    </row>
    <row r="928" spans="1:3" ht="19.5" hidden="1" x14ac:dyDescent="0.35">
      <c r="A928" s="5">
        <v>2797</v>
      </c>
      <c r="B928" s="6">
        <v>14.3</v>
      </c>
      <c r="C928" s="8">
        <v>1.41843971631206E-2</v>
      </c>
    </row>
    <row r="929" spans="1:3" ht="19.5" hidden="1" x14ac:dyDescent="0.35">
      <c r="A929" s="5">
        <v>2798</v>
      </c>
      <c r="B929" s="6">
        <v>15.4</v>
      </c>
      <c r="C929" s="8">
        <v>7.69230769230769E-2</v>
      </c>
    </row>
    <row r="930" spans="1:3" ht="19.5" hidden="1" x14ac:dyDescent="0.35">
      <c r="A930" s="5">
        <v>2799</v>
      </c>
      <c r="B930" s="6">
        <v>16.149999999999999</v>
      </c>
      <c r="C930" s="8">
        <v>4.8701298701298697E-2</v>
      </c>
    </row>
    <row r="931" spans="1:3" ht="19.5" hidden="1" x14ac:dyDescent="0.35">
      <c r="A931" s="5">
        <v>2800</v>
      </c>
      <c r="B931" s="6">
        <v>16.82</v>
      </c>
      <c r="C931" s="8">
        <v>4.1486068111455297E-2</v>
      </c>
    </row>
    <row r="932" spans="1:3" ht="19.5" hidden="1" x14ac:dyDescent="0.35">
      <c r="A932" s="5">
        <v>2801</v>
      </c>
      <c r="B932" s="6">
        <v>16.420000000000002</v>
      </c>
      <c r="C932" s="8">
        <v>-2.3781212841854898E-2</v>
      </c>
    </row>
    <row r="933" spans="1:3" ht="19.5" hidden="1" x14ac:dyDescent="0.35">
      <c r="A933" s="5">
        <v>2802</v>
      </c>
      <c r="B933" s="6">
        <v>15.94</v>
      </c>
      <c r="C933" s="8">
        <v>-2.9232643118148799E-2</v>
      </c>
    </row>
    <row r="934" spans="1:3" ht="19.5" hidden="1" x14ac:dyDescent="0.35">
      <c r="A934" s="5">
        <v>2803</v>
      </c>
      <c r="B934" s="6">
        <v>15.76</v>
      </c>
      <c r="C934" s="8">
        <v>-1.12923462986199E-2</v>
      </c>
    </row>
    <row r="935" spans="1:3" ht="19.5" hidden="1" x14ac:dyDescent="0.35">
      <c r="A935" s="5">
        <v>2804</v>
      </c>
      <c r="B935" s="6">
        <v>16.190000000000001</v>
      </c>
      <c r="C935" s="8">
        <v>2.72842639593909E-2</v>
      </c>
    </row>
    <row r="936" spans="1:3" ht="19.5" x14ac:dyDescent="0.35">
      <c r="A936" s="5">
        <v>2805</v>
      </c>
      <c r="B936" s="6">
        <v>15.29</v>
      </c>
      <c r="C936" s="8">
        <v>-5.5589870290302802E-2</v>
      </c>
    </row>
    <row r="937" spans="1:3" ht="19.5" hidden="1" x14ac:dyDescent="0.35">
      <c r="A937" s="5">
        <v>2806</v>
      </c>
      <c r="B937" s="6">
        <v>15.19</v>
      </c>
      <c r="C937" s="8">
        <v>-6.5402223675604708E-3</v>
      </c>
    </row>
    <row r="938" spans="1:3" ht="19.5" hidden="1" x14ac:dyDescent="0.35">
      <c r="A938" s="5">
        <v>2807</v>
      </c>
      <c r="B938" s="6">
        <v>15.36</v>
      </c>
      <c r="C938" s="8">
        <v>1.1191573403555002E-2</v>
      </c>
    </row>
    <row r="939" spans="1:3" ht="19.5" hidden="1" x14ac:dyDescent="0.35">
      <c r="A939" s="5">
        <v>2808</v>
      </c>
      <c r="B939" s="6">
        <v>14.77</v>
      </c>
      <c r="C939" s="8">
        <v>-3.8411458333333398E-2</v>
      </c>
    </row>
    <row r="940" spans="1:3" ht="19.5" hidden="1" x14ac:dyDescent="0.35">
      <c r="A940" s="5">
        <v>2809</v>
      </c>
      <c r="B940" s="6">
        <v>14.91</v>
      </c>
      <c r="C940" s="8">
        <v>9.4786729857820901E-3</v>
      </c>
    </row>
    <row r="941" spans="1:3" ht="19.5" hidden="1" x14ac:dyDescent="0.35">
      <c r="A941" s="5">
        <v>2810</v>
      </c>
      <c r="B941" s="6">
        <v>14.89</v>
      </c>
      <c r="C941" s="8">
        <v>-1.34138162307174E-3</v>
      </c>
    </row>
    <row r="942" spans="1:3" ht="19.5" hidden="1" x14ac:dyDescent="0.35">
      <c r="A942" s="5">
        <v>2811</v>
      </c>
      <c r="B942" s="6">
        <v>14.78</v>
      </c>
      <c r="C942" s="8">
        <v>-7.3875083948959901E-3</v>
      </c>
    </row>
    <row r="943" spans="1:3" ht="19.5" x14ac:dyDescent="0.35">
      <c r="A943" s="5">
        <v>2812</v>
      </c>
      <c r="B943" s="6">
        <v>13.97</v>
      </c>
      <c r="C943" s="8">
        <v>-5.4803788903924101E-2</v>
      </c>
    </row>
    <row r="944" spans="1:3" ht="19.5" hidden="1" x14ac:dyDescent="0.35">
      <c r="A944" s="5">
        <v>2813</v>
      </c>
      <c r="B944" s="6">
        <v>14.76</v>
      </c>
      <c r="C944" s="8">
        <v>5.6549749463135297E-2</v>
      </c>
    </row>
    <row r="945" spans="1:3" ht="19.5" hidden="1" x14ac:dyDescent="0.35">
      <c r="A945" s="5">
        <v>2814</v>
      </c>
      <c r="B945" s="6">
        <v>15.29</v>
      </c>
      <c r="C945" s="8">
        <v>3.5907859078590801E-2</v>
      </c>
    </row>
    <row r="946" spans="1:3" ht="19.5" hidden="1" x14ac:dyDescent="0.35">
      <c r="A946" s="5">
        <v>2815</v>
      </c>
      <c r="B946" s="6">
        <v>15.49</v>
      </c>
      <c r="C946" s="8">
        <v>1.30804447351212E-2</v>
      </c>
    </row>
    <row r="947" spans="1:3" ht="19.5" hidden="1" x14ac:dyDescent="0.35">
      <c r="A947" s="5">
        <v>2816</v>
      </c>
      <c r="B947" s="6">
        <v>15.89</v>
      </c>
      <c r="C947" s="8">
        <v>2.58231116849581E-2</v>
      </c>
    </row>
    <row r="948" spans="1:3" ht="19.5" hidden="1" x14ac:dyDescent="0.35">
      <c r="A948" s="5">
        <v>2817</v>
      </c>
      <c r="B948" s="6">
        <v>16.11</v>
      </c>
      <c r="C948" s="8">
        <v>1.3845185651353099E-2</v>
      </c>
    </row>
    <row r="949" spans="1:3" ht="19.5" hidden="1" x14ac:dyDescent="0.35">
      <c r="A949" s="5">
        <v>2818</v>
      </c>
      <c r="B949" s="6">
        <v>16.54</v>
      </c>
      <c r="C949" s="8">
        <v>2.6691495965238898E-2</v>
      </c>
    </row>
    <row r="950" spans="1:3" ht="19.5" hidden="1" x14ac:dyDescent="0.35">
      <c r="A950" s="5">
        <v>2819</v>
      </c>
      <c r="B950" s="6">
        <v>16.88</v>
      </c>
      <c r="C950" s="8">
        <v>2.05562273276905E-2</v>
      </c>
    </row>
    <row r="951" spans="1:3" ht="19.5" hidden="1" x14ac:dyDescent="0.35">
      <c r="A951" s="5">
        <v>2820</v>
      </c>
      <c r="B951" s="6">
        <v>17.21</v>
      </c>
      <c r="C951" s="8">
        <v>1.9549763033175599E-2</v>
      </c>
    </row>
    <row r="952" spans="1:3" ht="19.5" hidden="1" x14ac:dyDescent="0.35">
      <c r="A952" s="5">
        <v>2821</v>
      </c>
      <c r="B952" s="6">
        <v>17.350000000000001</v>
      </c>
      <c r="C952" s="8">
        <v>8.1348053457292995E-3</v>
      </c>
    </row>
    <row r="953" spans="1:3" ht="19.5" hidden="1" x14ac:dyDescent="0.35">
      <c r="A953" s="5">
        <v>2822</v>
      </c>
      <c r="B953" s="6">
        <v>17.84</v>
      </c>
      <c r="C953" s="8">
        <v>2.8242074927953699E-2</v>
      </c>
    </row>
    <row r="954" spans="1:3" ht="19.5" hidden="1" x14ac:dyDescent="0.35">
      <c r="A954" s="5">
        <v>2823</v>
      </c>
      <c r="B954" s="6">
        <v>18.440000000000001</v>
      </c>
      <c r="C954" s="8">
        <v>3.3632286995515702E-2</v>
      </c>
    </row>
    <row r="955" spans="1:3" ht="19.5" hidden="1" x14ac:dyDescent="0.35">
      <c r="A955" s="5">
        <v>2824</v>
      </c>
      <c r="B955" s="6">
        <v>18.739999999999998</v>
      </c>
      <c r="C955" s="8">
        <v>1.6268980477223399E-2</v>
      </c>
    </row>
    <row r="956" spans="1:3" ht="19.5" x14ac:dyDescent="0.35">
      <c r="A956" s="5">
        <v>2825</v>
      </c>
      <c r="B956" s="6">
        <v>17.38</v>
      </c>
      <c r="C956" s="8">
        <v>-7.2572038420490897E-2</v>
      </c>
    </row>
    <row r="957" spans="1:3" ht="19.5" hidden="1" x14ac:dyDescent="0.35">
      <c r="A957" s="5">
        <v>2826</v>
      </c>
      <c r="B957" s="6">
        <v>18.43</v>
      </c>
      <c r="C957" s="8">
        <v>6.0414269275028902E-2</v>
      </c>
    </row>
    <row r="958" spans="1:3" ht="19.5" hidden="1" x14ac:dyDescent="0.35">
      <c r="A958" s="5">
        <v>2827</v>
      </c>
      <c r="B958" s="6">
        <v>19.079999999999998</v>
      </c>
      <c r="C958" s="8">
        <v>3.5268583830710701E-2</v>
      </c>
    </row>
    <row r="959" spans="1:3" ht="19.5" hidden="1" x14ac:dyDescent="0.35">
      <c r="A959" s="5">
        <v>2828</v>
      </c>
      <c r="B959" s="6">
        <v>19.87</v>
      </c>
      <c r="C959" s="8">
        <v>4.1404612159329196E-2</v>
      </c>
    </row>
    <row r="960" spans="1:3" ht="19.5" hidden="1" x14ac:dyDescent="0.35">
      <c r="A960" s="5">
        <v>2829</v>
      </c>
      <c r="B960" s="6">
        <v>19.829999999999998</v>
      </c>
      <c r="C960" s="8">
        <v>-2.0130850528435901E-3</v>
      </c>
    </row>
    <row r="961" spans="1:3" ht="19.5" hidden="1" x14ac:dyDescent="0.35">
      <c r="A961" s="5">
        <v>2830</v>
      </c>
      <c r="B961" s="6">
        <v>19.75</v>
      </c>
      <c r="C961" s="8">
        <v>-4.0342914775591803E-3</v>
      </c>
    </row>
    <row r="962" spans="1:3" ht="19.5" hidden="1" x14ac:dyDescent="0.35">
      <c r="A962" s="5">
        <v>2831</v>
      </c>
      <c r="B962" s="6">
        <v>21.21</v>
      </c>
      <c r="C962" s="8">
        <v>7.3924050632911492E-2</v>
      </c>
    </row>
    <row r="963" spans="1:3" ht="19.5" hidden="1" x14ac:dyDescent="0.35">
      <c r="A963" s="5">
        <v>2832</v>
      </c>
      <c r="B963" s="6">
        <v>22</v>
      </c>
      <c r="C963" s="8">
        <v>3.7246581801037203E-2</v>
      </c>
    </row>
    <row r="964" spans="1:3" ht="19.5" hidden="1" x14ac:dyDescent="0.35">
      <c r="A964" s="5">
        <v>2833</v>
      </c>
      <c r="B964" s="6">
        <v>21.63</v>
      </c>
      <c r="C964" s="8">
        <v>-1.6818181818181798E-2</v>
      </c>
    </row>
    <row r="965" spans="1:3" ht="19.5" hidden="1" x14ac:dyDescent="0.35">
      <c r="A965" s="5">
        <v>2834</v>
      </c>
      <c r="B965" s="6">
        <v>21.92</v>
      </c>
      <c r="C965" s="8">
        <v>1.3407304669440699E-2</v>
      </c>
    </row>
    <row r="966" spans="1:3" ht="19.5" hidden="1" x14ac:dyDescent="0.35">
      <c r="A966" s="5">
        <v>2835</v>
      </c>
      <c r="B966" s="6">
        <v>21.93</v>
      </c>
      <c r="C966" s="8">
        <v>4.5620437956195303E-4</v>
      </c>
    </row>
    <row r="967" spans="1:3" ht="19.5" hidden="1" x14ac:dyDescent="0.35">
      <c r="A967" s="5">
        <v>2836</v>
      </c>
      <c r="B967" s="6">
        <v>21.55</v>
      </c>
      <c r="C967" s="8">
        <v>-1.7327861377109E-2</v>
      </c>
    </row>
    <row r="968" spans="1:3" ht="19.5" hidden="1" x14ac:dyDescent="0.35">
      <c r="A968" s="5">
        <v>2837</v>
      </c>
      <c r="B968" s="6">
        <v>21.93</v>
      </c>
      <c r="C968" s="8">
        <v>1.7633410672853699E-2</v>
      </c>
    </row>
    <row r="969" spans="1:3" ht="19.5" hidden="1" x14ac:dyDescent="0.35">
      <c r="A969" s="5">
        <v>2838</v>
      </c>
      <c r="B969" s="6">
        <v>22.89</v>
      </c>
      <c r="C969" s="8">
        <v>4.3775649794801599E-2</v>
      </c>
    </row>
    <row r="970" spans="1:3" ht="19.5" hidden="1" x14ac:dyDescent="0.35">
      <c r="A970" s="5">
        <v>2839</v>
      </c>
      <c r="B970" s="6">
        <v>23.48</v>
      </c>
      <c r="C970" s="8">
        <v>2.57754477937964E-2</v>
      </c>
    </row>
    <row r="971" spans="1:3" ht="19.5" hidden="1" x14ac:dyDescent="0.35">
      <c r="A971" s="5">
        <v>2840</v>
      </c>
      <c r="B971" s="6">
        <v>23.36</v>
      </c>
      <c r="C971" s="8">
        <v>-5.1107325383304997E-3</v>
      </c>
    </row>
    <row r="972" spans="1:3" ht="19.5" hidden="1" x14ac:dyDescent="0.35">
      <c r="A972" s="5">
        <v>2841</v>
      </c>
      <c r="B972" s="6">
        <v>22.71</v>
      </c>
      <c r="C972" s="8">
        <v>-2.7825342465753401E-2</v>
      </c>
    </row>
    <row r="973" spans="1:3" ht="19.5" hidden="1" x14ac:dyDescent="0.35">
      <c r="A973" s="5">
        <v>2842</v>
      </c>
      <c r="B973" s="6">
        <v>23.41</v>
      </c>
      <c r="C973" s="8">
        <v>3.08234258036106E-2</v>
      </c>
    </row>
    <row r="974" spans="1:3" ht="19.5" hidden="1" x14ac:dyDescent="0.35">
      <c r="A974" s="5">
        <v>2843</v>
      </c>
      <c r="B974" s="6">
        <v>24.19</v>
      </c>
      <c r="C974" s="8">
        <v>3.3319094404100899E-2</v>
      </c>
    </row>
    <row r="975" spans="1:3" ht="19.5" hidden="1" x14ac:dyDescent="0.35">
      <c r="A975" s="5">
        <v>2844</v>
      </c>
      <c r="B975" s="6">
        <v>23.75</v>
      </c>
      <c r="C975" s="8">
        <v>-1.81893344357172E-2</v>
      </c>
    </row>
    <row r="976" spans="1:3" ht="19.5" hidden="1" x14ac:dyDescent="0.35">
      <c r="A976" s="5">
        <v>2845</v>
      </c>
      <c r="B976" s="6">
        <v>23.81</v>
      </c>
      <c r="C976" s="8">
        <v>2.5263157894737103E-3</v>
      </c>
    </row>
    <row r="977" spans="1:3" ht="19.5" hidden="1" x14ac:dyDescent="0.35">
      <c r="A977" s="5">
        <v>2846</v>
      </c>
      <c r="B977" s="6">
        <v>23.74</v>
      </c>
      <c r="C977" s="8">
        <v>-2.93994120117602E-3</v>
      </c>
    </row>
    <row r="978" spans="1:3" ht="19.5" hidden="1" x14ac:dyDescent="0.35">
      <c r="A978" s="5">
        <v>2847</v>
      </c>
      <c r="B978" s="6">
        <v>23.73</v>
      </c>
      <c r="C978" s="8">
        <v>-4.2122999157534501E-4</v>
      </c>
    </row>
    <row r="979" spans="1:3" ht="19.5" hidden="1" x14ac:dyDescent="0.35">
      <c r="A979" s="5">
        <v>2848</v>
      </c>
      <c r="B979" s="6">
        <v>24.38</v>
      </c>
      <c r="C979" s="8">
        <v>2.73914875684786E-2</v>
      </c>
    </row>
    <row r="980" spans="1:3" ht="19.5" hidden="1" x14ac:dyDescent="0.35">
      <c r="A980" s="5">
        <v>2849</v>
      </c>
      <c r="B980" s="6">
        <v>25.08</v>
      </c>
      <c r="C980" s="8">
        <v>2.8712059064807099E-2</v>
      </c>
    </row>
    <row r="981" spans="1:3" ht="19.5" hidden="1" x14ac:dyDescent="0.35">
      <c r="A981" s="5">
        <v>2850</v>
      </c>
      <c r="B981" s="6">
        <v>25.18</v>
      </c>
      <c r="C981" s="8">
        <v>3.9872408293462102E-3</v>
      </c>
    </row>
    <row r="982" spans="1:3" ht="19.5" hidden="1" x14ac:dyDescent="0.35">
      <c r="A982" s="5">
        <v>2851</v>
      </c>
      <c r="B982" s="6">
        <v>24.78</v>
      </c>
      <c r="C982" s="8">
        <v>-1.5885623510722799E-2</v>
      </c>
    </row>
    <row r="983" spans="1:3" ht="19.5" hidden="1" x14ac:dyDescent="0.35">
      <c r="A983" s="5">
        <v>2852</v>
      </c>
      <c r="B983" s="6">
        <v>24.26</v>
      </c>
      <c r="C983" s="8">
        <v>-2.0984665052461701E-2</v>
      </c>
    </row>
    <row r="984" spans="1:3" ht="19.5" hidden="1" x14ac:dyDescent="0.35">
      <c r="A984" s="5">
        <v>2853</v>
      </c>
      <c r="B984" s="6">
        <v>25.03</v>
      </c>
      <c r="C984" s="8">
        <v>3.1739488870568898E-2</v>
      </c>
    </row>
    <row r="985" spans="1:3" ht="19.5" hidden="1" x14ac:dyDescent="0.35">
      <c r="A985" s="5">
        <v>2854</v>
      </c>
      <c r="B985" s="6">
        <v>26.04</v>
      </c>
      <c r="C985" s="8">
        <v>4.03515781062724E-2</v>
      </c>
    </row>
    <row r="986" spans="1:3" ht="19.5" hidden="1" x14ac:dyDescent="0.35">
      <c r="A986" s="5">
        <v>2855</v>
      </c>
      <c r="B986" s="6">
        <v>26.18</v>
      </c>
      <c r="C986" s="8">
        <v>5.3763440860214997E-3</v>
      </c>
    </row>
    <row r="987" spans="1:3" ht="19.5" hidden="1" x14ac:dyDescent="0.35">
      <c r="A987" s="5">
        <v>2856</v>
      </c>
      <c r="B987" s="6">
        <v>25.86</v>
      </c>
      <c r="C987" s="8">
        <v>-1.22230710466005E-2</v>
      </c>
    </row>
    <row r="988" spans="1:3" ht="19.5" hidden="1" x14ac:dyDescent="0.35">
      <c r="A988" s="5">
        <v>2857</v>
      </c>
      <c r="B988" s="6">
        <v>25.99</v>
      </c>
      <c r="C988" s="8">
        <v>5.0270688321731906E-3</v>
      </c>
    </row>
    <row r="989" spans="1:3" ht="19.5" hidden="1" x14ac:dyDescent="0.35">
      <c r="A989" s="5">
        <v>2858</v>
      </c>
      <c r="B989" s="6">
        <v>24.71</v>
      </c>
      <c r="C989" s="8">
        <v>-4.9249711427472004E-2</v>
      </c>
    </row>
    <row r="990" spans="1:3" ht="19.5" hidden="1" x14ac:dyDescent="0.35">
      <c r="A990" s="5">
        <v>2859</v>
      </c>
      <c r="B990" s="6">
        <v>24.84</v>
      </c>
      <c r="C990" s="8">
        <v>5.2610279239173607E-3</v>
      </c>
    </row>
    <row r="991" spans="1:3" ht="19.5" hidden="1" x14ac:dyDescent="0.35">
      <c r="A991" s="5">
        <v>2860</v>
      </c>
      <c r="B991" s="6">
        <v>23.95</v>
      </c>
      <c r="C991" s="8">
        <v>-3.58293075684381E-2</v>
      </c>
    </row>
    <row r="992" spans="1:3" ht="19.5" hidden="1" x14ac:dyDescent="0.35">
      <c r="A992" s="5">
        <v>2861</v>
      </c>
      <c r="B992" s="6">
        <v>24.29</v>
      </c>
      <c r="C992" s="8">
        <v>1.41962421711899E-2</v>
      </c>
    </row>
    <row r="993" spans="1:3" ht="19.5" hidden="1" x14ac:dyDescent="0.35">
      <c r="A993" s="5">
        <v>2862</v>
      </c>
      <c r="B993" s="6">
        <v>24.39</v>
      </c>
      <c r="C993" s="8">
        <v>4.1169205434334905E-3</v>
      </c>
    </row>
    <row r="994" spans="1:3" ht="19.5" hidden="1" x14ac:dyDescent="0.35">
      <c r="A994" s="5">
        <v>2863</v>
      </c>
      <c r="B994" s="6">
        <v>23.27</v>
      </c>
      <c r="C994" s="8">
        <v>-4.5920459204592097E-2</v>
      </c>
    </row>
    <row r="995" spans="1:3" ht="19.5" hidden="1" x14ac:dyDescent="0.35">
      <c r="A995" s="5">
        <v>2864</v>
      </c>
      <c r="B995" s="6">
        <v>23.97</v>
      </c>
      <c r="C995" s="8">
        <v>3.0081650193382003E-2</v>
      </c>
    </row>
    <row r="996" spans="1:3" ht="19.5" hidden="1" x14ac:dyDescent="0.35">
      <c r="A996" s="5">
        <v>2865</v>
      </c>
      <c r="B996" s="6">
        <v>24.5</v>
      </c>
      <c r="C996" s="8">
        <v>2.2110972048393799E-2</v>
      </c>
    </row>
    <row r="997" spans="1:3" ht="19.5" hidden="1" x14ac:dyDescent="0.35">
      <c r="A997" s="5">
        <v>2866</v>
      </c>
      <c r="B997" s="6">
        <v>24.83</v>
      </c>
      <c r="C997" s="8">
        <v>1.3469387755102001E-2</v>
      </c>
    </row>
    <row r="998" spans="1:3" ht="19.5" hidden="1" x14ac:dyDescent="0.35">
      <c r="A998" s="5">
        <v>2867</v>
      </c>
      <c r="B998" s="6">
        <v>25.46</v>
      </c>
      <c r="C998" s="8">
        <v>2.5372533225936498E-2</v>
      </c>
    </row>
    <row r="999" spans="1:3" ht="19.5" hidden="1" x14ac:dyDescent="0.35">
      <c r="A999" s="5">
        <v>2868</v>
      </c>
      <c r="B999" s="6">
        <v>26.02</v>
      </c>
      <c r="C999" s="8">
        <v>2.1995286724273401E-2</v>
      </c>
    </row>
    <row r="1000" spans="1:3" ht="19.5" hidden="1" x14ac:dyDescent="0.35">
      <c r="A1000" s="5">
        <v>2869</v>
      </c>
      <c r="B1000" s="6">
        <v>26.57</v>
      </c>
      <c r="C1000" s="8">
        <v>2.1137586471944698E-2</v>
      </c>
    </row>
    <row r="1001" spans="1:3" ht="19.5" hidden="1" x14ac:dyDescent="0.35">
      <c r="A1001" s="5">
        <v>2870</v>
      </c>
      <c r="B1001" s="6">
        <v>27.63</v>
      </c>
      <c r="C1001" s="8">
        <v>3.9894617990214397E-2</v>
      </c>
    </row>
    <row r="1002" spans="1:3" ht="19.5" hidden="1" x14ac:dyDescent="0.35">
      <c r="A1002" s="5">
        <v>2871</v>
      </c>
      <c r="B1002" s="6">
        <v>28.73</v>
      </c>
      <c r="C1002" s="8">
        <v>3.9811798769453496E-2</v>
      </c>
    </row>
    <row r="1003" spans="1:3" ht="19.5" hidden="1" x14ac:dyDescent="0.35">
      <c r="A1003" s="5">
        <v>2872</v>
      </c>
      <c r="B1003" s="6">
        <v>28.96</v>
      </c>
      <c r="C1003" s="8">
        <v>8.0055690915419309E-3</v>
      </c>
    </row>
    <row r="1004" spans="1:3" ht="19.5" hidden="1" x14ac:dyDescent="0.35">
      <c r="A1004" s="5">
        <v>2873</v>
      </c>
      <c r="B1004" s="6">
        <v>30.13</v>
      </c>
      <c r="C1004" s="8">
        <v>4.0400552486187701E-2</v>
      </c>
    </row>
    <row r="1005" spans="1:3" ht="19.5" hidden="1" x14ac:dyDescent="0.35">
      <c r="A1005" s="5">
        <v>2874</v>
      </c>
      <c r="B1005" s="6">
        <v>30.73</v>
      </c>
      <c r="C1005" s="8">
        <v>1.9913707268503198E-2</v>
      </c>
    </row>
    <row r="1006" spans="1:3" ht="19.5" hidden="1" x14ac:dyDescent="0.35">
      <c r="A1006" s="5">
        <v>2875</v>
      </c>
      <c r="B1006" s="6">
        <v>31.45</v>
      </c>
      <c r="C1006" s="8">
        <v>2.3429873088187399E-2</v>
      </c>
    </row>
    <row r="1007" spans="1:3" ht="19.5" hidden="1" x14ac:dyDescent="0.35">
      <c r="A1007" s="5">
        <v>2876</v>
      </c>
      <c r="B1007" s="6">
        <v>32.18</v>
      </c>
      <c r="C1007" s="8">
        <v>2.32114467408586E-2</v>
      </c>
    </row>
    <row r="1008" spans="1:3" ht="19.5" hidden="1" x14ac:dyDescent="0.35">
      <c r="A1008" s="5">
        <v>2877</v>
      </c>
      <c r="B1008" s="6">
        <v>33.44</v>
      </c>
      <c r="C1008" s="8">
        <v>3.9154754505904298E-2</v>
      </c>
    </row>
    <row r="1009" spans="1:3" ht="19.5" hidden="1" x14ac:dyDescent="0.35">
      <c r="A1009" s="5">
        <v>2878</v>
      </c>
      <c r="B1009" s="6">
        <v>34.97</v>
      </c>
      <c r="C1009" s="8">
        <v>4.57535885167464E-2</v>
      </c>
    </row>
    <row r="1010" spans="1:3" ht="19.5" hidden="1" x14ac:dyDescent="0.35">
      <c r="A1010" s="5">
        <v>2879</v>
      </c>
      <c r="B1010" s="6">
        <v>35.6</v>
      </c>
      <c r="C1010" s="8">
        <v>1.8015441807263298E-2</v>
      </c>
    </row>
    <row r="1011" spans="1:3" ht="19.5" hidden="1" x14ac:dyDescent="0.35">
      <c r="A1011" s="5">
        <v>2880</v>
      </c>
      <c r="B1011" s="6">
        <v>36.79</v>
      </c>
      <c r="C1011" s="8">
        <v>3.3426966292134701E-2</v>
      </c>
    </row>
    <row r="1012" spans="1:3" ht="19.5" hidden="1" x14ac:dyDescent="0.35">
      <c r="A1012" s="5">
        <v>2881</v>
      </c>
      <c r="B1012" s="6">
        <v>36.5</v>
      </c>
      <c r="C1012" s="8">
        <v>-7.882576787170411E-3</v>
      </c>
    </row>
    <row r="1013" spans="1:3" ht="19.5" hidden="1" x14ac:dyDescent="0.35">
      <c r="A1013" s="5">
        <v>2882</v>
      </c>
      <c r="B1013" s="6">
        <v>37.76</v>
      </c>
      <c r="C1013" s="8">
        <v>3.4520547945205302E-2</v>
      </c>
    </row>
    <row r="1014" spans="1:3" ht="19.5" hidden="1" x14ac:dyDescent="0.35">
      <c r="A1014" s="5">
        <v>2883</v>
      </c>
      <c r="B1014" s="6">
        <v>37.6</v>
      </c>
      <c r="C1014" s="8">
        <v>-4.2372881355930998E-3</v>
      </c>
    </row>
    <row r="1015" spans="1:3" ht="19.5" hidden="1" x14ac:dyDescent="0.35">
      <c r="A1015" s="5">
        <v>2884</v>
      </c>
      <c r="B1015" s="6">
        <v>39.78</v>
      </c>
      <c r="C1015" s="8">
        <v>5.7978723404255299E-2</v>
      </c>
    </row>
    <row r="1016" spans="1:3" ht="19.5" hidden="1" x14ac:dyDescent="0.35">
      <c r="A1016" s="5">
        <v>2885</v>
      </c>
      <c r="B1016" s="6">
        <v>42.69</v>
      </c>
      <c r="C1016" s="8">
        <v>7.3152337858220201E-2</v>
      </c>
    </row>
    <row r="1017" spans="1:3" ht="19.5" hidden="1" x14ac:dyDescent="0.35">
      <c r="A1017" s="5">
        <v>2886</v>
      </c>
      <c r="B1017" s="6">
        <v>42.43</v>
      </c>
      <c r="C1017" s="8">
        <v>-6.0904193019442106E-3</v>
      </c>
    </row>
    <row r="1018" spans="1:3" ht="19.5" hidden="1" x14ac:dyDescent="0.35">
      <c r="A1018" s="5">
        <v>2887</v>
      </c>
      <c r="B1018" s="6">
        <v>44.34</v>
      </c>
      <c r="C1018" s="8">
        <v>4.50153193495169E-2</v>
      </c>
    </row>
    <row r="1019" spans="1:3" ht="19.5" x14ac:dyDescent="0.35">
      <c r="A1019" s="5">
        <v>2888</v>
      </c>
      <c r="B1019" s="6">
        <v>42.11</v>
      </c>
      <c r="C1019" s="8">
        <v>-5.0293188994136297E-2</v>
      </c>
    </row>
    <row r="1020" spans="1:3" ht="19.5" hidden="1" x14ac:dyDescent="0.35">
      <c r="A1020" s="5">
        <v>2889</v>
      </c>
      <c r="B1020" s="6">
        <v>44.95</v>
      </c>
      <c r="C1020" s="8">
        <v>6.7442412728568199E-2</v>
      </c>
    </row>
    <row r="1021" spans="1:3" ht="19.5" hidden="1" x14ac:dyDescent="0.35">
      <c r="A1021" s="5">
        <v>2890</v>
      </c>
      <c r="B1021" s="6">
        <v>45.37</v>
      </c>
      <c r="C1021" s="8">
        <v>9.3437152391544504E-3</v>
      </c>
    </row>
    <row r="1022" spans="1:3" ht="19.5" hidden="1" x14ac:dyDescent="0.35">
      <c r="A1022" s="5">
        <v>2891</v>
      </c>
      <c r="B1022" s="6">
        <v>44.15</v>
      </c>
      <c r="C1022" s="8">
        <v>-2.68900154286974E-2</v>
      </c>
    </row>
    <row r="1023" spans="1:3" ht="19.5" hidden="1" x14ac:dyDescent="0.35">
      <c r="A1023" s="5">
        <v>2892</v>
      </c>
      <c r="B1023" s="6">
        <v>44.43</v>
      </c>
      <c r="C1023" s="8">
        <v>6.3420158550395707E-3</v>
      </c>
    </row>
    <row r="1024" spans="1:3" ht="19.5" hidden="1" x14ac:dyDescent="0.35">
      <c r="A1024" s="5">
        <v>2893</v>
      </c>
      <c r="B1024" s="6">
        <v>47.49</v>
      </c>
      <c r="C1024" s="8">
        <v>6.88723835246456E-2</v>
      </c>
    </row>
    <row r="1025" spans="1:3" ht="19.5" hidden="1" x14ac:dyDescent="0.35">
      <c r="A1025" s="5">
        <v>2894</v>
      </c>
      <c r="B1025" s="6">
        <v>48.05</v>
      </c>
      <c r="C1025" s="8">
        <v>1.17919562013054E-2</v>
      </c>
    </row>
    <row r="1026" spans="1:3" ht="19.5" hidden="1" x14ac:dyDescent="0.35">
      <c r="A1026" s="5">
        <v>2895</v>
      </c>
      <c r="B1026" s="6">
        <v>46.54</v>
      </c>
      <c r="C1026" s="8">
        <v>-3.1425598335067598E-2</v>
      </c>
    </row>
    <row r="1027" spans="1:3" ht="19.5" hidden="1" x14ac:dyDescent="0.35">
      <c r="A1027" s="5">
        <v>2896</v>
      </c>
      <c r="B1027" s="6">
        <v>46.27</v>
      </c>
      <c r="C1027" s="8">
        <v>-5.8014611087235908E-3</v>
      </c>
    </row>
    <row r="1028" spans="1:3" ht="19.5" hidden="1" x14ac:dyDescent="0.35">
      <c r="A1028" s="5">
        <v>2897</v>
      </c>
      <c r="B1028" s="6">
        <v>48.78</v>
      </c>
      <c r="C1028" s="8">
        <v>5.4246812189323597E-2</v>
      </c>
    </row>
    <row r="1029" spans="1:3" ht="19.5" hidden="1" x14ac:dyDescent="0.35">
      <c r="A1029" s="5">
        <v>2898</v>
      </c>
      <c r="B1029" s="6">
        <v>48.49</v>
      </c>
      <c r="C1029" s="8">
        <v>-5.9450594505945408E-3</v>
      </c>
    </row>
    <row r="1030" spans="1:3" ht="19.5" hidden="1" x14ac:dyDescent="0.35">
      <c r="A1030" s="5">
        <v>2899</v>
      </c>
      <c r="B1030" s="6">
        <v>46.84</v>
      </c>
      <c r="C1030" s="8">
        <v>-3.40276345638275E-2</v>
      </c>
    </row>
    <row r="1031" spans="1:3" ht="19.5" hidden="1" x14ac:dyDescent="0.35">
      <c r="A1031" s="5">
        <v>2900</v>
      </c>
      <c r="B1031" s="6">
        <v>46.24</v>
      </c>
      <c r="C1031" s="8">
        <v>-1.28095644748079E-2</v>
      </c>
    </row>
    <row r="1032" spans="1:3" ht="19.5" hidden="1" x14ac:dyDescent="0.35">
      <c r="A1032" s="5">
        <v>2901</v>
      </c>
      <c r="B1032" s="6">
        <v>45.76</v>
      </c>
      <c r="C1032" s="8">
        <v>-1.0380622837370301E-2</v>
      </c>
    </row>
    <row r="1033" spans="1:3" ht="19.5" hidden="1" x14ac:dyDescent="0.35">
      <c r="A1033" s="5">
        <v>2902</v>
      </c>
      <c r="B1033" s="6">
        <v>46.44</v>
      </c>
      <c r="C1033" s="8">
        <v>1.4860139860139799E-2</v>
      </c>
    </row>
    <row r="1034" spans="1:3" ht="19.5" hidden="1" x14ac:dyDescent="0.35">
      <c r="A1034" s="5">
        <v>2903</v>
      </c>
      <c r="B1034" s="6">
        <v>45.43</v>
      </c>
      <c r="C1034" s="8">
        <v>-2.1748492678725098E-2</v>
      </c>
    </row>
    <row r="1035" spans="1:3" ht="19.5" hidden="1" x14ac:dyDescent="0.35">
      <c r="A1035" s="5">
        <v>2904</v>
      </c>
      <c r="B1035" s="6">
        <v>43.47</v>
      </c>
      <c r="C1035" s="8">
        <v>-4.3143297380585498E-2</v>
      </c>
    </row>
    <row r="1036" spans="1:3" ht="19.5" hidden="1" x14ac:dyDescent="0.35">
      <c r="A1036" s="5">
        <v>2905</v>
      </c>
      <c r="B1036" s="6">
        <v>44.03</v>
      </c>
      <c r="C1036" s="8">
        <v>1.2882447665056401E-2</v>
      </c>
    </row>
    <row r="1037" spans="1:3" ht="19.5" hidden="1" x14ac:dyDescent="0.35">
      <c r="A1037" s="5">
        <v>2906</v>
      </c>
      <c r="B1037" s="6">
        <v>45.05</v>
      </c>
      <c r="C1037" s="8">
        <v>2.3166023166023099E-2</v>
      </c>
    </row>
    <row r="1038" spans="1:3" ht="19.5" hidden="1" x14ac:dyDescent="0.35">
      <c r="A1038" s="5">
        <v>2907</v>
      </c>
      <c r="B1038" s="6">
        <v>46.78</v>
      </c>
      <c r="C1038" s="8">
        <v>3.8401775804661496E-2</v>
      </c>
    </row>
    <row r="1039" spans="1:3" ht="19.5" hidden="1" x14ac:dyDescent="0.35">
      <c r="A1039" s="5">
        <v>2908</v>
      </c>
      <c r="B1039" s="6">
        <v>47.55</v>
      </c>
      <c r="C1039" s="8">
        <v>1.6460025651988001E-2</v>
      </c>
    </row>
    <row r="1040" spans="1:3" ht="19.5" hidden="1" x14ac:dyDescent="0.35">
      <c r="A1040" s="5">
        <v>2909</v>
      </c>
      <c r="B1040" s="6">
        <v>48.51</v>
      </c>
      <c r="C1040" s="8">
        <v>2.0189274447949501E-2</v>
      </c>
    </row>
    <row r="1041" spans="1:3" ht="19.5" x14ac:dyDescent="0.35">
      <c r="A1041" s="5">
        <v>2910</v>
      </c>
      <c r="B1041" s="6">
        <v>45.84</v>
      </c>
      <c r="C1041" s="8">
        <v>-5.5040197897340597E-2</v>
      </c>
    </row>
    <row r="1042" spans="1:3" ht="19.5" hidden="1" x14ac:dyDescent="0.35">
      <c r="A1042" s="5">
        <v>2911</v>
      </c>
      <c r="B1042" s="6">
        <v>43.98</v>
      </c>
      <c r="C1042" s="8">
        <v>-4.0575916230366597E-2</v>
      </c>
    </row>
    <row r="1043" spans="1:3" ht="19.5" x14ac:dyDescent="0.35">
      <c r="A1043" s="5">
        <v>2912</v>
      </c>
      <c r="B1043" s="6">
        <v>41.24</v>
      </c>
      <c r="C1043" s="8">
        <v>-6.2301045929968102E-2</v>
      </c>
    </row>
    <row r="1044" spans="1:3" ht="19.5" hidden="1" x14ac:dyDescent="0.35">
      <c r="A1044" s="5">
        <v>2913</v>
      </c>
      <c r="B1044" s="6">
        <v>40.35</v>
      </c>
      <c r="C1044" s="8">
        <v>-2.15809893307468E-2</v>
      </c>
    </row>
    <row r="1045" spans="1:3" ht="19.5" hidden="1" x14ac:dyDescent="0.35">
      <c r="A1045" s="5">
        <v>2914</v>
      </c>
      <c r="B1045" s="6">
        <v>40.33</v>
      </c>
      <c r="C1045" s="8">
        <v>-4.9566294919467502E-4</v>
      </c>
    </row>
    <row r="1046" spans="1:3" ht="19.5" hidden="1" x14ac:dyDescent="0.35">
      <c r="A1046" s="5">
        <v>2915</v>
      </c>
      <c r="B1046" s="6">
        <v>41.12</v>
      </c>
      <c r="C1046" s="8">
        <v>1.95883957351848E-2</v>
      </c>
    </row>
    <row r="1047" spans="1:3" ht="19.5" hidden="1" x14ac:dyDescent="0.35">
      <c r="A1047" s="5">
        <v>2916</v>
      </c>
      <c r="B1047" s="6">
        <v>41.26</v>
      </c>
      <c r="C1047" s="8">
        <v>3.40466926070038E-3</v>
      </c>
    </row>
    <row r="1048" spans="1:3" ht="19.5" hidden="1" x14ac:dyDescent="0.35">
      <c r="A1048" s="5">
        <v>2917</v>
      </c>
      <c r="B1048" s="6">
        <v>42.11</v>
      </c>
      <c r="C1048" s="8">
        <v>2.0601066408143499E-2</v>
      </c>
    </row>
    <row r="1049" spans="1:3" ht="19.5" hidden="1" x14ac:dyDescent="0.35">
      <c r="A1049" s="5">
        <v>2918</v>
      </c>
      <c r="B1049" s="6">
        <v>42.34</v>
      </c>
      <c r="C1049" s="8">
        <v>5.4618855378771904E-3</v>
      </c>
    </row>
    <row r="1050" spans="1:3" ht="19.5" hidden="1" x14ac:dyDescent="0.35">
      <c r="A1050" s="5">
        <v>2919</v>
      </c>
      <c r="B1050" s="6">
        <v>43.7</v>
      </c>
      <c r="C1050" s="8">
        <v>3.2120925838450699E-2</v>
      </c>
    </row>
    <row r="1051" spans="1:3" ht="19.5" hidden="1" x14ac:dyDescent="0.35">
      <c r="A1051" s="5">
        <v>2920</v>
      </c>
      <c r="B1051" s="6">
        <v>44.75</v>
      </c>
      <c r="C1051" s="8">
        <v>2.4027459954233398E-2</v>
      </c>
    </row>
    <row r="1052" spans="1:3" ht="19.5" hidden="1" x14ac:dyDescent="0.35">
      <c r="A1052" s="5">
        <v>2921</v>
      </c>
      <c r="B1052" s="6">
        <v>45.98</v>
      </c>
      <c r="C1052" s="8">
        <v>2.7486033519553001E-2</v>
      </c>
    </row>
    <row r="1053" spans="1:3" ht="19.5" hidden="1" x14ac:dyDescent="0.35">
      <c r="A1053" s="5">
        <v>2922</v>
      </c>
      <c r="B1053" s="6">
        <v>47.7</v>
      </c>
      <c r="C1053" s="8">
        <v>3.7407568508047002E-2</v>
      </c>
    </row>
    <row r="1054" spans="1:3" ht="19.5" hidden="1" x14ac:dyDescent="0.35">
      <c r="A1054" s="5">
        <v>2923</v>
      </c>
      <c r="B1054" s="6">
        <v>48.96</v>
      </c>
      <c r="C1054" s="8">
        <v>2.6415094339622601E-2</v>
      </c>
    </row>
    <row r="1055" spans="1:3" ht="19.5" hidden="1" x14ac:dyDescent="0.35">
      <c r="A1055" s="5">
        <v>2924</v>
      </c>
      <c r="B1055" s="6">
        <v>50.95</v>
      </c>
      <c r="C1055" s="8">
        <v>4.0645424836601302E-2</v>
      </c>
    </row>
    <row r="1056" spans="1:3" ht="19.5" hidden="1" x14ac:dyDescent="0.35">
      <c r="A1056" s="5">
        <v>2925</v>
      </c>
      <c r="B1056" s="6">
        <v>52.5</v>
      </c>
      <c r="C1056" s="8">
        <v>3.0421982335623099E-2</v>
      </c>
    </row>
    <row r="1057" spans="1:3" ht="19.5" hidden="1" x14ac:dyDescent="0.35">
      <c r="A1057" s="5">
        <v>2926</v>
      </c>
      <c r="B1057" s="6">
        <v>53.49</v>
      </c>
      <c r="C1057" s="8">
        <v>1.8857142857142899E-2</v>
      </c>
    </row>
    <row r="1058" spans="1:3" ht="19.5" hidden="1" x14ac:dyDescent="0.35">
      <c r="A1058" s="5">
        <v>2927</v>
      </c>
      <c r="B1058" s="6">
        <v>55.62</v>
      </c>
      <c r="C1058" s="8">
        <v>3.98205272013459E-2</v>
      </c>
    </row>
    <row r="1059" spans="1:3" ht="19.5" hidden="1" x14ac:dyDescent="0.35">
      <c r="A1059" s="5">
        <v>2928</v>
      </c>
      <c r="B1059" s="6">
        <v>54.77</v>
      </c>
      <c r="C1059" s="8">
        <v>-1.52822725638259E-2</v>
      </c>
    </row>
    <row r="1060" spans="1:3" ht="19.5" hidden="1" x14ac:dyDescent="0.35">
      <c r="A1060" s="5">
        <v>2929</v>
      </c>
      <c r="B1060" s="6">
        <v>56.16</v>
      </c>
      <c r="C1060" s="8">
        <v>2.5378857038524699E-2</v>
      </c>
    </row>
    <row r="1061" spans="1:3" ht="19.5" hidden="1" x14ac:dyDescent="0.35">
      <c r="A1061" s="5">
        <v>2930</v>
      </c>
      <c r="B1061" s="6">
        <v>57.1</v>
      </c>
      <c r="C1061" s="8">
        <v>1.6737891737891801E-2</v>
      </c>
    </row>
    <row r="1062" spans="1:3" ht="19.5" hidden="1" x14ac:dyDescent="0.35">
      <c r="A1062" s="5">
        <v>2931</v>
      </c>
      <c r="B1062" s="6">
        <v>57.96</v>
      </c>
      <c r="C1062" s="8">
        <v>1.5061295971978899E-2</v>
      </c>
    </row>
    <row r="1063" spans="1:3" ht="19.5" hidden="1" x14ac:dyDescent="0.35">
      <c r="A1063" s="5">
        <v>2932</v>
      </c>
      <c r="B1063" s="6">
        <v>57.46</v>
      </c>
      <c r="C1063" s="8">
        <v>-8.6266390614216908E-3</v>
      </c>
    </row>
    <row r="1064" spans="1:3" ht="19.5" hidden="1" x14ac:dyDescent="0.35">
      <c r="A1064" s="5">
        <v>2933</v>
      </c>
      <c r="B1064" s="6">
        <v>59.74</v>
      </c>
      <c r="C1064" s="8">
        <v>3.96797772363384E-2</v>
      </c>
    </row>
    <row r="1065" spans="1:3" ht="19.5" hidden="1" x14ac:dyDescent="0.35">
      <c r="A1065" s="5">
        <v>2934</v>
      </c>
      <c r="B1065" s="6">
        <v>59.4</v>
      </c>
      <c r="C1065" s="8">
        <v>-5.6913290927352901E-3</v>
      </c>
    </row>
    <row r="1066" spans="1:3" ht="19.5" hidden="1" x14ac:dyDescent="0.35">
      <c r="A1066" s="5">
        <v>2935</v>
      </c>
      <c r="B1066" s="6">
        <v>57.05</v>
      </c>
      <c r="C1066" s="8">
        <v>-3.9562289562289597E-2</v>
      </c>
    </row>
    <row r="1067" spans="1:3" ht="19.5" hidden="1" x14ac:dyDescent="0.35">
      <c r="A1067" s="5">
        <v>2936</v>
      </c>
      <c r="B1067" s="6">
        <v>57</v>
      </c>
      <c r="C1067" s="8">
        <v>-8.7642418930755606E-4</v>
      </c>
    </row>
    <row r="1068" spans="1:3" ht="19.5" hidden="1" x14ac:dyDescent="0.35">
      <c r="A1068" s="5">
        <v>2937</v>
      </c>
      <c r="B1068" s="6">
        <v>57.23</v>
      </c>
      <c r="C1068" s="8">
        <v>4.0350877192982804E-3</v>
      </c>
    </row>
    <row r="1069" spans="1:3" ht="19.5" hidden="1" x14ac:dyDescent="0.35">
      <c r="A1069" s="5">
        <v>2938</v>
      </c>
      <c r="B1069" s="6">
        <v>59.06</v>
      </c>
      <c r="C1069" s="8">
        <v>3.1976236239734397E-2</v>
      </c>
    </row>
    <row r="1070" spans="1:3" ht="19.5" hidden="1" x14ac:dyDescent="0.35">
      <c r="A1070" s="5">
        <v>2939</v>
      </c>
      <c r="B1070" s="6">
        <v>58.03</v>
      </c>
      <c r="C1070" s="8">
        <v>-1.7439891635624798E-2</v>
      </c>
    </row>
    <row r="1071" spans="1:3" ht="19.5" hidden="1" x14ac:dyDescent="0.35">
      <c r="A1071" s="5">
        <v>2940</v>
      </c>
      <c r="B1071" s="6">
        <v>55.78</v>
      </c>
      <c r="C1071" s="8">
        <v>-3.87730484232294E-2</v>
      </c>
    </row>
    <row r="1072" spans="1:3" ht="19.5" hidden="1" x14ac:dyDescent="0.35">
      <c r="A1072" s="5">
        <v>2941</v>
      </c>
      <c r="B1072" s="6">
        <v>55.02</v>
      </c>
      <c r="C1072" s="8">
        <v>-1.3624955181068399E-2</v>
      </c>
    </row>
    <row r="1073" spans="1:3" ht="19.5" hidden="1" x14ac:dyDescent="0.35">
      <c r="A1073" s="5">
        <v>2942</v>
      </c>
      <c r="B1073" s="6">
        <v>55.73</v>
      </c>
      <c r="C1073" s="8">
        <v>1.2904398400581399E-2</v>
      </c>
    </row>
    <row r="1074" spans="1:3" ht="19.5" hidden="1" x14ac:dyDescent="0.35">
      <c r="A1074" s="5">
        <v>2943</v>
      </c>
      <c r="B1074" s="6">
        <v>55.22</v>
      </c>
      <c r="C1074" s="8">
        <v>-9.1512650278126103E-3</v>
      </c>
    </row>
    <row r="1075" spans="1:3" ht="19.5" hidden="1" x14ac:dyDescent="0.35">
      <c r="A1075" s="5">
        <v>2944</v>
      </c>
      <c r="B1075" s="6">
        <v>57.26</v>
      </c>
      <c r="C1075" s="8">
        <v>3.6943136544730096E-2</v>
      </c>
    </row>
    <row r="1076" spans="1:3" ht="19.5" hidden="1" x14ac:dyDescent="0.35">
      <c r="A1076" s="5">
        <v>2945</v>
      </c>
      <c r="B1076" s="6">
        <v>55.84</v>
      </c>
      <c r="C1076" s="8">
        <v>-2.4799161718477101E-2</v>
      </c>
    </row>
    <row r="1077" spans="1:3" ht="19.5" hidden="1" x14ac:dyDescent="0.35">
      <c r="A1077" s="5">
        <v>2946</v>
      </c>
      <c r="B1077" s="6">
        <v>56.51</v>
      </c>
      <c r="C1077" s="8">
        <v>1.1998567335243399E-2</v>
      </c>
    </row>
    <row r="1078" spans="1:3" ht="19.5" hidden="1" x14ac:dyDescent="0.35">
      <c r="A1078" s="5">
        <v>2947</v>
      </c>
      <c r="B1078" s="6">
        <v>54.81</v>
      </c>
      <c r="C1078" s="8">
        <v>-3.00831711201557E-2</v>
      </c>
    </row>
    <row r="1079" spans="1:3" ht="19.5" hidden="1" x14ac:dyDescent="0.35">
      <c r="A1079" s="5">
        <v>2948</v>
      </c>
      <c r="B1079" s="6">
        <v>53.73</v>
      </c>
      <c r="C1079" s="8">
        <v>-1.9704433497537002E-2</v>
      </c>
    </row>
    <row r="1080" spans="1:3" ht="19.5" hidden="1" x14ac:dyDescent="0.35">
      <c r="A1080" s="5">
        <v>2949</v>
      </c>
      <c r="B1080" s="6">
        <v>55.47</v>
      </c>
      <c r="C1080" s="8">
        <v>3.2384142936906703E-2</v>
      </c>
    </row>
    <row r="1081" spans="1:3" ht="19.5" hidden="1" x14ac:dyDescent="0.35">
      <c r="A1081" s="5">
        <v>2950</v>
      </c>
      <c r="B1081" s="6">
        <v>56.8</v>
      </c>
      <c r="C1081" s="8">
        <v>2.3976924463674099E-2</v>
      </c>
    </row>
    <row r="1082" spans="1:3" ht="19.5" hidden="1" x14ac:dyDescent="0.35">
      <c r="A1082" s="5">
        <v>2951</v>
      </c>
      <c r="B1082" s="6">
        <v>59.72</v>
      </c>
      <c r="C1082" s="8">
        <v>5.1408450704225402E-2</v>
      </c>
    </row>
    <row r="1083" spans="1:3" ht="19.5" hidden="1" x14ac:dyDescent="0.35">
      <c r="A1083" s="5">
        <v>2952</v>
      </c>
      <c r="B1083" s="6">
        <v>62.17</v>
      </c>
      <c r="C1083" s="8">
        <v>4.1024782317481599E-2</v>
      </c>
    </row>
    <row r="1084" spans="1:3" ht="19.5" hidden="1" x14ac:dyDescent="0.35">
      <c r="A1084" s="5">
        <v>2953</v>
      </c>
      <c r="B1084" s="6">
        <v>64.12</v>
      </c>
      <c r="C1084" s="8">
        <v>3.1365610423033798E-2</v>
      </c>
    </row>
    <row r="1085" spans="1:3" ht="19.5" hidden="1" x14ac:dyDescent="0.35">
      <c r="A1085" s="5">
        <v>2954</v>
      </c>
      <c r="B1085" s="6">
        <v>65.83</v>
      </c>
      <c r="C1085" s="8">
        <v>2.66687461010604E-2</v>
      </c>
    </row>
    <row r="1086" spans="1:3" ht="19.5" hidden="1" x14ac:dyDescent="0.35">
      <c r="A1086" s="5">
        <v>2955</v>
      </c>
      <c r="B1086" s="6">
        <v>66.5</v>
      </c>
      <c r="C1086" s="8">
        <v>1.01777305180009E-2</v>
      </c>
    </row>
    <row r="1087" spans="1:3" ht="19.5" hidden="1" x14ac:dyDescent="0.35">
      <c r="A1087" s="5">
        <v>2956</v>
      </c>
      <c r="B1087" s="6">
        <v>65.62</v>
      </c>
      <c r="C1087" s="8">
        <v>-1.32330827067668E-2</v>
      </c>
    </row>
    <row r="1088" spans="1:3" ht="19.5" hidden="1" x14ac:dyDescent="0.35">
      <c r="A1088" s="5">
        <v>2957</v>
      </c>
      <c r="B1088" s="6">
        <v>65.44</v>
      </c>
      <c r="C1088" s="8">
        <v>-2.7430661383724998E-3</v>
      </c>
    </row>
    <row r="1089" spans="1:3" ht="19.5" hidden="1" x14ac:dyDescent="0.35">
      <c r="A1089" s="5">
        <v>2958</v>
      </c>
      <c r="B1089" s="6">
        <v>67.790000000000006</v>
      </c>
      <c r="C1089" s="8">
        <v>3.5910757946210299E-2</v>
      </c>
    </row>
    <row r="1090" spans="1:3" ht="19.5" hidden="1" x14ac:dyDescent="0.35">
      <c r="A1090" s="5">
        <v>2959</v>
      </c>
      <c r="B1090" s="6">
        <v>67.260000000000005</v>
      </c>
      <c r="C1090" s="8">
        <v>-7.8182622805723599E-3</v>
      </c>
    </row>
    <row r="1091" spans="1:3" ht="19.5" hidden="1" x14ac:dyDescent="0.35">
      <c r="A1091" s="5">
        <v>2960</v>
      </c>
      <c r="B1091" s="6">
        <v>68</v>
      </c>
      <c r="C1091" s="8">
        <v>1.10020814748735E-2</v>
      </c>
    </row>
    <row r="1092" spans="1:3" ht="19.5" hidden="1" x14ac:dyDescent="0.35">
      <c r="A1092" s="5">
        <v>2961</v>
      </c>
      <c r="B1092" s="6">
        <v>71.08</v>
      </c>
      <c r="C1092" s="8">
        <v>4.52941176470587E-2</v>
      </c>
    </row>
    <row r="1093" spans="1:3" ht="19.5" hidden="1" x14ac:dyDescent="0.35">
      <c r="A1093" s="5">
        <v>2962</v>
      </c>
      <c r="B1093" s="6">
        <v>71.739999999999995</v>
      </c>
      <c r="C1093" s="8">
        <v>9.28531232414187E-3</v>
      </c>
    </row>
    <row r="1094" spans="1:3" ht="19.5" hidden="1" x14ac:dyDescent="0.35">
      <c r="A1094" s="5">
        <v>2963</v>
      </c>
      <c r="B1094" s="6">
        <v>69.069999999999993</v>
      </c>
      <c r="C1094" s="8">
        <v>-3.7217730694173397E-2</v>
      </c>
    </row>
    <row r="1095" spans="1:3" ht="19.5" hidden="1" x14ac:dyDescent="0.35">
      <c r="A1095" s="5">
        <v>2964</v>
      </c>
      <c r="B1095" s="6">
        <v>70.22</v>
      </c>
      <c r="C1095" s="8">
        <v>1.6649775589981299E-2</v>
      </c>
    </row>
    <row r="1096" spans="1:3" ht="19.5" hidden="1" x14ac:dyDescent="0.35">
      <c r="A1096" s="5">
        <v>2965</v>
      </c>
      <c r="B1096" s="6">
        <v>70.290000000000006</v>
      </c>
      <c r="C1096" s="8">
        <v>9.96866989461775E-4</v>
      </c>
    </row>
    <row r="1097" spans="1:3" ht="19.5" hidden="1" x14ac:dyDescent="0.35">
      <c r="A1097" s="5">
        <v>2966</v>
      </c>
      <c r="B1097" s="6">
        <v>68.05</v>
      </c>
      <c r="C1097" s="8">
        <v>-3.1867975529947502E-2</v>
      </c>
    </row>
    <row r="1098" spans="1:3" ht="19.5" x14ac:dyDescent="0.35">
      <c r="A1098" s="5">
        <v>2967</v>
      </c>
      <c r="B1098" s="6">
        <v>62.99</v>
      </c>
      <c r="C1098" s="8">
        <v>-7.4357090374724405E-2</v>
      </c>
    </row>
    <row r="1099" spans="1:3" ht="19.5" x14ac:dyDescent="0.35">
      <c r="A1099" s="5">
        <v>2968</v>
      </c>
      <c r="B1099" s="6">
        <v>55.63</v>
      </c>
      <c r="C1099" s="8">
        <v>-0.11684394348309302</v>
      </c>
    </row>
    <row r="1100" spans="1:3" ht="19.5" hidden="1" x14ac:dyDescent="0.35">
      <c r="A1100" s="5">
        <v>2969</v>
      </c>
      <c r="B1100" s="6">
        <v>56.97</v>
      </c>
      <c r="C1100" s="8">
        <v>2.40877224519143E-2</v>
      </c>
    </row>
    <row r="1101" spans="1:3" ht="19.5" hidden="1" x14ac:dyDescent="0.35">
      <c r="A1101" s="5">
        <v>2970</v>
      </c>
      <c r="B1101" s="6">
        <v>58.52</v>
      </c>
      <c r="C1101" s="8">
        <v>2.7207302088818799E-2</v>
      </c>
    </row>
    <row r="1102" spans="1:3" ht="19.5" hidden="1" x14ac:dyDescent="0.35">
      <c r="A1102" s="5">
        <v>2971</v>
      </c>
      <c r="B1102" s="6">
        <v>58</v>
      </c>
      <c r="C1102" s="8">
        <v>-8.8858509911141602E-3</v>
      </c>
    </row>
    <row r="1103" spans="1:3" ht="19.5" hidden="1" x14ac:dyDescent="0.35">
      <c r="A1103" s="5">
        <v>2972</v>
      </c>
      <c r="B1103" s="6">
        <v>56.17</v>
      </c>
      <c r="C1103" s="8">
        <v>-3.15517241379311E-2</v>
      </c>
    </row>
    <row r="1104" spans="1:3" ht="19.5" hidden="1" x14ac:dyDescent="0.35">
      <c r="A1104" s="5">
        <v>2973</v>
      </c>
      <c r="B1104" s="6">
        <v>60.04</v>
      </c>
      <c r="C1104" s="8">
        <v>6.8897988249955397E-2</v>
      </c>
    </row>
    <row r="1105" spans="1:3" ht="19.5" hidden="1" x14ac:dyDescent="0.35">
      <c r="A1105" s="5">
        <v>2974</v>
      </c>
      <c r="B1105" s="6">
        <v>62.64</v>
      </c>
      <c r="C1105" s="8">
        <v>4.3304463690872798E-2</v>
      </c>
    </row>
    <row r="1106" spans="1:3" ht="19.5" hidden="1" x14ac:dyDescent="0.35">
      <c r="A1106" s="5">
        <v>2975</v>
      </c>
      <c r="B1106" s="6">
        <v>65.06</v>
      </c>
      <c r="C1106" s="8">
        <v>3.8633461047254097E-2</v>
      </c>
    </row>
    <row r="1107" spans="1:3" ht="19.5" hidden="1" x14ac:dyDescent="0.35">
      <c r="A1107" s="5">
        <v>2976</v>
      </c>
      <c r="B1107" s="6">
        <v>65.92</v>
      </c>
      <c r="C1107" s="8">
        <v>1.3218567476175799E-2</v>
      </c>
    </row>
    <row r="1108" spans="1:3" ht="19.5" hidden="1" x14ac:dyDescent="0.35">
      <c r="A1108" s="5">
        <v>2977</v>
      </c>
      <c r="B1108" s="6">
        <v>65.67</v>
      </c>
      <c r="C1108" s="8">
        <v>-3.7924757281553303E-3</v>
      </c>
    </row>
    <row r="1109" spans="1:3" ht="19.5" hidden="1" x14ac:dyDescent="0.35">
      <c r="A1109" s="5">
        <v>2978</v>
      </c>
      <c r="B1109" s="6">
        <v>68.760000000000005</v>
      </c>
      <c r="C1109" s="8">
        <v>4.70534490634993E-2</v>
      </c>
    </row>
    <row r="1110" spans="1:3" ht="19.5" hidden="1" x14ac:dyDescent="0.35">
      <c r="A1110" s="5">
        <v>2979</v>
      </c>
      <c r="B1110" s="6">
        <v>70.14</v>
      </c>
      <c r="C1110" s="8">
        <v>2.0069808027923099E-2</v>
      </c>
    </row>
    <row r="1111" spans="1:3" ht="19.5" hidden="1" x14ac:dyDescent="0.35">
      <c r="A1111" s="5">
        <v>2980</v>
      </c>
      <c r="B1111" s="6">
        <v>70.11</v>
      </c>
      <c r="C1111" s="8">
        <v>-4.2771599657831505E-4</v>
      </c>
    </row>
    <row r="1112" spans="1:3" ht="19.5" hidden="1" x14ac:dyDescent="0.35">
      <c r="A1112" s="5">
        <v>2981</v>
      </c>
      <c r="B1112" s="6">
        <v>69.069999999999993</v>
      </c>
      <c r="C1112" s="8">
        <v>-1.4833832548851799E-2</v>
      </c>
    </row>
    <row r="1113" spans="1:3" ht="19.5" hidden="1" x14ac:dyDescent="0.35">
      <c r="A1113" s="5">
        <v>2982</v>
      </c>
      <c r="B1113" s="6">
        <v>70.98</v>
      </c>
      <c r="C1113" s="8">
        <v>2.76531055450993E-2</v>
      </c>
    </row>
    <row r="1114" spans="1:3" ht="19.5" hidden="1" x14ac:dyDescent="0.35">
      <c r="A1114" s="5">
        <v>2983</v>
      </c>
      <c r="B1114" s="6">
        <v>72.849999999999994</v>
      </c>
      <c r="C1114" s="8">
        <v>2.63454494223723E-2</v>
      </c>
    </row>
    <row r="1115" spans="1:3" ht="19.5" hidden="1" x14ac:dyDescent="0.35">
      <c r="A1115" s="5">
        <v>2984</v>
      </c>
      <c r="B1115" s="6">
        <v>73.03</v>
      </c>
      <c r="C1115" s="8">
        <v>2.4708304735758801E-3</v>
      </c>
    </row>
    <row r="1116" spans="1:3" ht="19.5" hidden="1" x14ac:dyDescent="0.35">
      <c r="A1116" s="5">
        <v>2985</v>
      </c>
      <c r="B1116" s="6">
        <v>72.62</v>
      </c>
      <c r="C1116" s="8">
        <v>-5.6141311789674707E-3</v>
      </c>
    </row>
    <row r="1117" spans="1:3" ht="19.5" hidden="1" x14ac:dyDescent="0.35">
      <c r="A1117" s="5">
        <v>2986</v>
      </c>
      <c r="B1117" s="6">
        <v>74.17</v>
      </c>
      <c r="C1117" s="8">
        <v>2.1343982374001598E-2</v>
      </c>
    </row>
    <row r="1118" spans="1:3" ht="19.5" hidden="1" x14ac:dyDescent="0.35">
      <c r="A1118" s="5">
        <v>2987</v>
      </c>
      <c r="B1118" s="6">
        <v>76.45</v>
      </c>
      <c r="C1118" s="8">
        <v>3.07401914520695E-2</v>
      </c>
    </row>
    <row r="1119" spans="1:3" ht="19.5" hidden="1" x14ac:dyDescent="0.35">
      <c r="A1119" s="5">
        <v>2988</v>
      </c>
      <c r="B1119" s="6">
        <v>77.39</v>
      </c>
      <c r="C1119" s="8">
        <v>1.2295618051013599E-2</v>
      </c>
    </row>
    <row r="1120" spans="1:3" ht="19.5" hidden="1" x14ac:dyDescent="0.35">
      <c r="A1120" s="5">
        <v>2989</v>
      </c>
      <c r="B1120" s="6">
        <v>78.8</v>
      </c>
      <c r="C1120" s="8">
        <v>1.8219408192272898E-2</v>
      </c>
    </row>
    <row r="1121" spans="1:3" ht="19.5" hidden="1" x14ac:dyDescent="0.35">
      <c r="A1121" s="5">
        <v>2990</v>
      </c>
      <c r="B1121" s="6">
        <v>79.94</v>
      </c>
      <c r="C1121" s="8">
        <v>1.44670050761422E-2</v>
      </c>
    </row>
    <row r="1122" spans="1:3" ht="19.5" hidden="1" x14ac:dyDescent="0.35">
      <c r="A1122" s="5">
        <v>2991</v>
      </c>
      <c r="B1122" s="6">
        <v>80.72</v>
      </c>
      <c r="C1122" s="8">
        <v>9.7573179884913302E-3</v>
      </c>
    </row>
    <row r="1123" spans="1:3" ht="19.5" hidden="1" x14ac:dyDescent="0.35">
      <c r="A1123" s="5">
        <v>2992</v>
      </c>
      <c r="B1123" s="6">
        <v>80.239999999999995</v>
      </c>
      <c r="C1123" s="8">
        <v>-5.9464816650148808E-3</v>
      </c>
    </row>
    <row r="1124" spans="1:3" ht="19.5" hidden="1" x14ac:dyDescent="0.35">
      <c r="A1124" s="5">
        <v>2993</v>
      </c>
      <c r="B1124" s="6">
        <v>83.22</v>
      </c>
      <c r="C1124" s="8">
        <v>3.7138584247258202E-2</v>
      </c>
    </row>
    <row r="1125" spans="1:3" ht="19.5" hidden="1" x14ac:dyDescent="0.35">
      <c r="A1125" s="5">
        <v>2994</v>
      </c>
      <c r="B1125" s="6">
        <v>82</v>
      </c>
      <c r="C1125" s="8">
        <v>-1.4659937515020399E-2</v>
      </c>
    </row>
    <row r="1126" spans="1:3" ht="19.5" hidden="1" x14ac:dyDescent="0.35">
      <c r="A1126" s="5">
        <v>2995</v>
      </c>
      <c r="B1126" s="6">
        <v>83.41</v>
      </c>
      <c r="C1126" s="8">
        <v>1.7195121951219399E-2</v>
      </c>
    </row>
    <row r="1127" spans="1:3" ht="19.5" hidden="1" x14ac:dyDescent="0.35">
      <c r="A1127" s="5">
        <v>2996</v>
      </c>
      <c r="B1127" s="6">
        <v>84.85</v>
      </c>
      <c r="C1127" s="8">
        <v>1.72641170123486E-2</v>
      </c>
    </row>
    <row r="1128" spans="1:3" ht="19.5" hidden="1" x14ac:dyDescent="0.35">
      <c r="A1128" s="5">
        <v>2997</v>
      </c>
      <c r="B1128" s="6">
        <v>85.44</v>
      </c>
      <c r="C1128" s="8">
        <v>6.9534472598704608E-3</v>
      </c>
    </row>
    <row r="1129" spans="1:3" ht="19.5" hidden="1" x14ac:dyDescent="0.35">
      <c r="A1129" s="5">
        <v>2998</v>
      </c>
      <c r="B1129" s="6">
        <v>83.96</v>
      </c>
      <c r="C1129" s="8">
        <v>-1.7322097378277199E-2</v>
      </c>
    </row>
    <row r="1130" spans="1:3" ht="19.5" hidden="1" x14ac:dyDescent="0.35">
      <c r="A1130" s="5">
        <v>2999</v>
      </c>
      <c r="B1130" s="6">
        <v>86.12</v>
      </c>
      <c r="C1130" s="8">
        <v>2.57265364459267E-2</v>
      </c>
    </row>
    <row r="1131" spans="1:3" ht="19.5" hidden="1" x14ac:dyDescent="0.35">
      <c r="A1131" s="5">
        <v>3000</v>
      </c>
      <c r="B1131" s="6">
        <v>86.75</v>
      </c>
      <c r="C1131" s="8">
        <v>7.3153738968880803E-3</v>
      </c>
    </row>
    <row r="1132" spans="1:3" ht="19.5" hidden="1" x14ac:dyDescent="0.35">
      <c r="A1132" s="5">
        <v>3001</v>
      </c>
      <c r="B1132" s="6">
        <v>86.83</v>
      </c>
      <c r="C1132" s="8">
        <v>9.2219020172912302E-4</v>
      </c>
    </row>
    <row r="1133" spans="1:3" ht="19.5" hidden="1" x14ac:dyDescent="0.35">
      <c r="A1133" s="5">
        <v>3002</v>
      </c>
      <c r="B1133" s="6">
        <v>87.97</v>
      </c>
      <c r="C1133" s="8">
        <v>1.3129102844639001E-2</v>
      </c>
    </row>
    <row r="1134" spans="1:3" ht="19.5" hidden="1" x14ac:dyDescent="0.35">
      <c r="A1134" s="5">
        <v>3003</v>
      </c>
      <c r="B1134" s="6">
        <v>89.28</v>
      </c>
      <c r="C1134" s="8">
        <v>1.4891440263726399E-2</v>
      </c>
    </row>
    <row r="1135" spans="1:3" ht="19.5" hidden="1" x14ac:dyDescent="0.35">
      <c r="A1135" s="5">
        <v>3004</v>
      </c>
      <c r="B1135" s="6">
        <v>85.04</v>
      </c>
      <c r="C1135" s="8">
        <v>-4.7491039426523197E-2</v>
      </c>
    </row>
    <row r="1136" spans="1:3" ht="19.5" hidden="1" x14ac:dyDescent="0.35">
      <c r="A1136" s="5">
        <v>3005</v>
      </c>
      <c r="B1136" s="6">
        <v>84.91</v>
      </c>
      <c r="C1136" s="8">
        <v>-1.5286923800566E-3</v>
      </c>
    </row>
    <row r="1137" spans="1:3" ht="19.5" hidden="1" x14ac:dyDescent="0.35">
      <c r="A1137" s="5">
        <v>3006</v>
      </c>
      <c r="B1137" s="6">
        <v>86.49</v>
      </c>
      <c r="C1137" s="8">
        <v>1.8607937816511599E-2</v>
      </c>
    </row>
    <row r="1138" spans="1:3" ht="19.5" hidden="1" x14ac:dyDescent="0.35">
      <c r="A1138" s="5">
        <v>3007</v>
      </c>
      <c r="B1138" s="6">
        <v>89.38</v>
      </c>
      <c r="C1138" s="8">
        <v>3.3414267545381002E-2</v>
      </c>
    </row>
    <row r="1139" spans="1:3" ht="19.5" hidden="1" x14ac:dyDescent="0.35">
      <c r="A1139" s="5">
        <v>3008</v>
      </c>
      <c r="B1139" s="6">
        <v>91.39</v>
      </c>
      <c r="C1139" s="8">
        <v>2.2488252405459899E-2</v>
      </c>
    </row>
    <row r="1140" spans="1:3" ht="19.5" hidden="1" x14ac:dyDescent="0.35">
      <c r="A1140" s="5">
        <v>3009</v>
      </c>
      <c r="B1140" s="6">
        <v>92.15</v>
      </c>
      <c r="C1140" s="8">
        <v>8.3160083160083199E-3</v>
      </c>
    </row>
    <row r="1141" spans="1:3" ht="19.5" hidden="1" x14ac:dyDescent="0.35">
      <c r="A1141" s="5">
        <v>3010</v>
      </c>
      <c r="B1141" s="6">
        <v>91.73</v>
      </c>
      <c r="C1141" s="8">
        <v>-4.55778621812264E-3</v>
      </c>
    </row>
    <row r="1142" spans="1:3" ht="19.5" hidden="1" x14ac:dyDescent="0.35">
      <c r="A1142" s="5">
        <v>3011</v>
      </c>
      <c r="B1142" s="6">
        <v>93.32</v>
      </c>
      <c r="C1142" s="8">
        <v>1.7333478687452199E-2</v>
      </c>
    </row>
    <row r="1143" spans="1:3" ht="19.5" hidden="1" x14ac:dyDescent="0.35">
      <c r="A1143" s="5">
        <v>3012</v>
      </c>
      <c r="B1143" s="6">
        <v>92.69</v>
      </c>
      <c r="C1143" s="8">
        <v>-6.7509644234889903E-3</v>
      </c>
    </row>
    <row r="1144" spans="1:3" ht="19.5" hidden="1" x14ac:dyDescent="0.35">
      <c r="A1144" s="5">
        <v>3013</v>
      </c>
      <c r="B1144" s="6">
        <v>88.88</v>
      </c>
      <c r="C1144" s="8">
        <v>-4.1104757794799898E-2</v>
      </c>
    </row>
    <row r="1145" spans="1:3" ht="19.5" hidden="1" x14ac:dyDescent="0.35">
      <c r="A1145" s="5">
        <v>3014</v>
      </c>
      <c r="B1145" s="6">
        <v>91.6</v>
      </c>
      <c r="C1145" s="8">
        <v>3.0603060306030501E-2</v>
      </c>
    </row>
    <row r="1146" spans="1:3" ht="19.5" x14ac:dyDescent="0.35">
      <c r="A1146" s="5">
        <v>3015</v>
      </c>
      <c r="B1146" s="6">
        <v>86.78</v>
      </c>
      <c r="C1146" s="8">
        <v>-5.26200873362445E-2</v>
      </c>
    </row>
    <row r="1147" spans="1:3" ht="19.5" hidden="1" x14ac:dyDescent="0.35">
      <c r="A1147" s="5">
        <v>3016</v>
      </c>
      <c r="B1147" s="6">
        <v>86.06</v>
      </c>
      <c r="C1147" s="8">
        <v>-8.2968425904585991E-3</v>
      </c>
    </row>
    <row r="1148" spans="1:3" ht="19.5" hidden="1" x14ac:dyDescent="0.35">
      <c r="A1148" s="5">
        <v>3017</v>
      </c>
      <c r="B1148" s="6">
        <v>85.84</v>
      </c>
      <c r="C1148" s="8">
        <v>-2.5563560306762802E-3</v>
      </c>
    </row>
    <row r="1149" spans="1:3" ht="19.5" x14ac:dyDescent="0.35">
      <c r="A1149" s="5">
        <v>3018</v>
      </c>
      <c r="B1149" s="6">
        <v>80.650000000000006</v>
      </c>
      <c r="C1149" s="8">
        <v>-6.04613233923579E-2</v>
      </c>
    </row>
    <row r="1150" spans="1:3" ht="19.5" hidden="1" x14ac:dyDescent="0.35">
      <c r="A1150" s="5">
        <v>3019</v>
      </c>
      <c r="B1150" s="6">
        <v>77.81</v>
      </c>
      <c r="C1150" s="8">
        <v>-3.521388716677E-2</v>
      </c>
    </row>
    <row r="1151" spans="1:3" ht="19.5" hidden="1" x14ac:dyDescent="0.35">
      <c r="A1151" s="5">
        <v>3020</v>
      </c>
      <c r="B1151" s="6">
        <v>77.13</v>
      </c>
      <c r="C1151" s="8">
        <v>-8.7392366019792798E-3</v>
      </c>
    </row>
    <row r="1152" spans="1:3" ht="19.5" hidden="1" x14ac:dyDescent="0.35">
      <c r="A1152" s="5">
        <v>3021</v>
      </c>
      <c r="B1152" s="6">
        <v>80.989999999999995</v>
      </c>
      <c r="C1152" s="8">
        <v>5.0045377933359197E-2</v>
      </c>
    </row>
    <row r="1153" spans="1:3" ht="19.5" hidden="1" x14ac:dyDescent="0.35">
      <c r="A1153" s="5">
        <v>3022</v>
      </c>
      <c r="B1153" s="6">
        <v>81.33</v>
      </c>
      <c r="C1153" s="8">
        <v>4.1980491418693901E-3</v>
      </c>
    </row>
    <row r="1154" spans="1:3" ht="19.5" hidden="1" x14ac:dyDescent="0.35">
      <c r="A1154" s="5">
        <v>3023</v>
      </c>
      <c r="B1154" s="6">
        <v>84.45</v>
      </c>
      <c r="C1154" s="8">
        <v>3.8362227960162303E-2</v>
      </c>
    </row>
    <row r="1155" spans="1:3" ht="19.5" hidden="1" x14ac:dyDescent="0.35">
      <c r="A1155" s="5">
        <v>3024</v>
      </c>
      <c r="B1155" s="6">
        <v>87.36</v>
      </c>
      <c r="C1155" s="8">
        <v>3.4458259325044399E-2</v>
      </c>
    </row>
    <row r="1156" spans="1:3" ht="19.5" hidden="1" x14ac:dyDescent="0.35">
      <c r="A1156" s="5">
        <v>3025</v>
      </c>
      <c r="B1156" s="6">
        <v>89.42</v>
      </c>
      <c r="C1156" s="8">
        <v>2.3580586080586E-2</v>
      </c>
    </row>
    <row r="1157" spans="1:3" ht="19.5" hidden="1" x14ac:dyDescent="0.35">
      <c r="A1157" s="5">
        <v>3026</v>
      </c>
      <c r="B1157" s="6">
        <v>90.96</v>
      </c>
      <c r="C1157" s="8">
        <v>1.72220979646611E-2</v>
      </c>
    </row>
    <row r="1158" spans="1:3" ht="19.5" hidden="1" x14ac:dyDescent="0.35">
      <c r="A1158" s="5">
        <v>3027</v>
      </c>
      <c r="B1158" s="6">
        <v>92.59</v>
      </c>
      <c r="C1158" s="8">
        <v>1.7919964819701002E-2</v>
      </c>
    </row>
    <row r="1159" spans="1:3" ht="19.5" hidden="1" x14ac:dyDescent="0.35">
      <c r="A1159" s="5">
        <v>3028</v>
      </c>
      <c r="B1159" s="6">
        <v>91.43</v>
      </c>
      <c r="C1159" s="8">
        <v>-1.25283507938222E-2</v>
      </c>
    </row>
    <row r="1160" spans="1:3" ht="19.5" hidden="1" x14ac:dyDescent="0.35">
      <c r="A1160" s="5">
        <v>3029</v>
      </c>
      <c r="B1160" s="6">
        <v>93.01</v>
      </c>
      <c r="C1160" s="8">
        <v>1.7280979984687798E-2</v>
      </c>
    </row>
    <row r="1161" spans="1:3" ht="19.5" hidden="1" x14ac:dyDescent="0.35">
      <c r="A1161" s="5">
        <v>3030</v>
      </c>
      <c r="B1161" s="6">
        <v>94.49</v>
      </c>
      <c r="C1161" s="8">
        <v>1.5912267498118499E-2</v>
      </c>
    </row>
    <row r="1162" spans="1:3" ht="19.5" hidden="1" x14ac:dyDescent="0.35">
      <c r="A1162" s="5">
        <v>3031</v>
      </c>
      <c r="B1162" s="6">
        <v>95.81</v>
      </c>
      <c r="C1162" s="8">
        <v>1.39697322467987E-2</v>
      </c>
    </row>
    <row r="1163" spans="1:3" ht="19.5" hidden="1" x14ac:dyDescent="0.35">
      <c r="A1163" s="5">
        <v>3032</v>
      </c>
      <c r="B1163" s="6">
        <v>95.66</v>
      </c>
      <c r="C1163" s="8">
        <v>-1.5655985805239601E-3</v>
      </c>
    </row>
    <row r="1164" spans="1:3" ht="19.5" hidden="1" x14ac:dyDescent="0.35">
      <c r="A1164" s="5">
        <v>3033</v>
      </c>
      <c r="B1164" s="6">
        <v>92.66</v>
      </c>
      <c r="C1164" s="8">
        <v>-3.13610704578716E-2</v>
      </c>
    </row>
    <row r="1165" spans="1:3" ht="19.5" hidden="1" x14ac:dyDescent="0.35">
      <c r="A1165" s="5">
        <v>3034</v>
      </c>
      <c r="B1165" s="6">
        <v>95.3</v>
      </c>
      <c r="C1165" s="8">
        <v>2.8491258363911001E-2</v>
      </c>
    </row>
    <row r="1166" spans="1:3" ht="19.5" hidden="1" x14ac:dyDescent="0.35">
      <c r="A1166" s="5">
        <v>3035</v>
      </c>
      <c r="B1166" s="6">
        <v>95.04</v>
      </c>
      <c r="C1166" s="8">
        <v>-2.7282266526756902E-3</v>
      </c>
    </row>
    <row r="1167" spans="1:3" ht="19.5" hidden="1" x14ac:dyDescent="0.35">
      <c r="A1167" s="5">
        <v>3036</v>
      </c>
      <c r="B1167" s="6">
        <v>90.75</v>
      </c>
      <c r="C1167" s="8">
        <v>-4.5138888888888902E-2</v>
      </c>
    </row>
    <row r="1168" spans="1:3" ht="19.5" hidden="1" x14ac:dyDescent="0.35">
      <c r="A1168" s="5">
        <v>3037</v>
      </c>
      <c r="B1168" s="6">
        <v>89.09</v>
      </c>
      <c r="C1168" s="8">
        <v>-1.82920110192837E-2</v>
      </c>
    </row>
    <row r="1169" spans="1:3" ht="19.5" hidden="1" x14ac:dyDescent="0.35">
      <c r="A1169" s="5">
        <v>3038</v>
      </c>
      <c r="B1169" s="6">
        <v>95.67</v>
      </c>
      <c r="C1169" s="8">
        <v>7.3857896509148105E-2</v>
      </c>
    </row>
    <row r="1170" spans="1:3" ht="19.5" hidden="1" x14ac:dyDescent="0.35">
      <c r="A1170" s="5">
        <v>3039</v>
      </c>
      <c r="B1170" s="6">
        <v>97.87</v>
      </c>
      <c r="C1170" s="8">
        <v>2.2995714435037201E-2</v>
      </c>
    </row>
    <row r="1171" spans="1:3" ht="19.5" hidden="1" x14ac:dyDescent="0.35">
      <c r="A1171" s="5">
        <v>3040</v>
      </c>
      <c r="B1171" s="6">
        <v>100.5</v>
      </c>
      <c r="C1171" s="8">
        <v>2.6872381730867399E-2</v>
      </c>
    </row>
    <row r="1172" spans="1:3" ht="19.5" hidden="1" x14ac:dyDescent="0.35">
      <c r="A1172" s="5">
        <v>3041</v>
      </c>
      <c r="B1172" s="6">
        <v>100.3</v>
      </c>
      <c r="C1172" s="8">
        <v>-1.99004975124384E-3</v>
      </c>
    </row>
    <row r="1173" spans="1:3" ht="19.5" hidden="1" x14ac:dyDescent="0.35">
      <c r="A1173" s="5">
        <v>3042</v>
      </c>
      <c r="B1173" s="6">
        <v>98.11</v>
      </c>
      <c r="C1173" s="8">
        <v>-2.1834496510468499E-2</v>
      </c>
    </row>
    <row r="1174" spans="1:3" ht="19.5" hidden="1" x14ac:dyDescent="0.35">
      <c r="A1174" s="5">
        <v>3043</v>
      </c>
      <c r="B1174" s="6">
        <v>101.3</v>
      </c>
      <c r="C1174" s="8">
        <v>3.2514524513301397E-2</v>
      </c>
    </row>
    <row r="1175" spans="1:3" ht="19.5" hidden="1" x14ac:dyDescent="0.35">
      <c r="A1175" s="5">
        <v>3044</v>
      </c>
      <c r="B1175" s="6">
        <v>103.8</v>
      </c>
      <c r="C1175" s="8">
        <v>2.46791707798617E-2</v>
      </c>
    </row>
    <row r="1176" spans="1:3" ht="19.5" hidden="1" x14ac:dyDescent="0.35">
      <c r="A1176" s="5">
        <v>3045</v>
      </c>
      <c r="B1176" s="6">
        <v>105.4</v>
      </c>
      <c r="C1176" s="8">
        <v>1.54142581888248E-2</v>
      </c>
    </row>
    <row r="1177" spans="1:3" ht="19.5" hidden="1" x14ac:dyDescent="0.35">
      <c r="A1177" s="5">
        <v>3046</v>
      </c>
      <c r="B1177" s="6">
        <v>106.5</v>
      </c>
      <c r="C1177" s="8">
        <v>1.04364326375712E-2</v>
      </c>
    </row>
    <row r="1178" spans="1:3" ht="19.5" hidden="1" x14ac:dyDescent="0.35">
      <c r="A1178" s="5">
        <v>3047</v>
      </c>
      <c r="B1178" s="6">
        <v>102</v>
      </c>
      <c r="C1178" s="8">
        <v>-4.2253521126760597E-2</v>
      </c>
    </row>
    <row r="1179" spans="1:3" ht="19.5" hidden="1" x14ac:dyDescent="0.35">
      <c r="A1179" s="5">
        <v>3048</v>
      </c>
      <c r="B1179" s="6">
        <v>101.5</v>
      </c>
      <c r="C1179" s="8">
        <v>-4.9019607843137107E-3</v>
      </c>
    </row>
    <row r="1180" spans="1:3" ht="19.5" hidden="1" x14ac:dyDescent="0.35">
      <c r="A1180" s="5">
        <v>3049</v>
      </c>
      <c r="B1180" s="6">
        <v>99.3</v>
      </c>
      <c r="C1180" s="8">
        <v>-2.1674876847290598E-2</v>
      </c>
    </row>
    <row r="1181" spans="1:3" ht="19.5" hidden="1" x14ac:dyDescent="0.35">
      <c r="A1181" s="5">
        <v>3050</v>
      </c>
      <c r="B1181" s="6">
        <v>101.3</v>
      </c>
      <c r="C1181" s="8">
        <v>2.0140986908358399E-2</v>
      </c>
    </row>
    <row r="1182" spans="1:3" ht="19.5" hidden="1" x14ac:dyDescent="0.35">
      <c r="A1182" s="5">
        <v>3051</v>
      </c>
      <c r="B1182" s="6">
        <v>104.6</v>
      </c>
      <c r="C1182" s="8">
        <v>3.2576505429417597E-2</v>
      </c>
    </row>
    <row r="1183" spans="1:3" ht="19.5" x14ac:dyDescent="0.35">
      <c r="A1183" s="5">
        <v>3052</v>
      </c>
      <c r="B1183" s="6">
        <v>99.14</v>
      </c>
      <c r="C1183" s="8">
        <v>-5.2198852772466497E-2</v>
      </c>
    </row>
    <row r="1184" spans="1:3" ht="19.5" hidden="1" x14ac:dyDescent="0.35">
      <c r="A1184" s="5">
        <v>3053</v>
      </c>
      <c r="B1184" s="6">
        <v>94.71</v>
      </c>
      <c r="C1184" s="8">
        <v>-4.4684284849707497E-2</v>
      </c>
    </row>
    <row r="1185" spans="1:3" ht="19.5" hidden="1" x14ac:dyDescent="0.35">
      <c r="A1185" s="5">
        <v>3054</v>
      </c>
      <c r="B1185" s="6">
        <v>94.18</v>
      </c>
      <c r="C1185" s="8">
        <v>-5.59602998627373E-3</v>
      </c>
    </row>
    <row r="1186" spans="1:3" ht="19.5" hidden="1" x14ac:dyDescent="0.35">
      <c r="A1186" s="5">
        <v>3055</v>
      </c>
      <c r="B1186" s="6">
        <v>94.51</v>
      </c>
      <c r="C1186" s="8">
        <v>3.5039286472711103E-3</v>
      </c>
    </row>
    <row r="1187" spans="1:3" ht="19.5" hidden="1" x14ac:dyDescent="0.35">
      <c r="A1187" s="5">
        <v>3056</v>
      </c>
      <c r="B1187" s="6">
        <v>95.52</v>
      </c>
      <c r="C1187" s="8">
        <v>1.06866998201247E-2</v>
      </c>
    </row>
    <row r="1188" spans="1:3" ht="19.5" hidden="1" x14ac:dyDescent="0.35">
      <c r="A1188" s="5">
        <v>3057</v>
      </c>
      <c r="B1188" s="6">
        <v>96.21</v>
      </c>
      <c r="C1188" s="8">
        <v>7.2236180904521304E-3</v>
      </c>
    </row>
    <row r="1189" spans="1:3" ht="19.5" x14ac:dyDescent="0.35">
      <c r="A1189" s="5">
        <v>3058</v>
      </c>
      <c r="B1189" s="6">
        <v>91.11</v>
      </c>
      <c r="C1189" s="8">
        <v>-5.3009042719052005E-2</v>
      </c>
    </row>
    <row r="1190" spans="1:3" ht="19.5" hidden="1" x14ac:dyDescent="0.35">
      <c r="A1190" s="5">
        <v>3059</v>
      </c>
      <c r="B1190" s="6">
        <v>90.31</v>
      </c>
      <c r="C1190" s="8">
        <v>-8.7805948853034704E-3</v>
      </c>
    </row>
    <row r="1191" spans="1:3" ht="19.5" hidden="1" x14ac:dyDescent="0.35">
      <c r="A1191" s="5">
        <v>3060</v>
      </c>
      <c r="B1191" s="6">
        <v>87.16</v>
      </c>
      <c r="C1191" s="8">
        <v>-3.4879858265972799E-2</v>
      </c>
    </row>
    <row r="1192" spans="1:3" ht="19.5" hidden="1" x14ac:dyDescent="0.35">
      <c r="A1192" s="5">
        <v>3061</v>
      </c>
      <c r="B1192" s="6">
        <v>88.65</v>
      </c>
      <c r="C1192" s="8">
        <v>1.70949977053696E-2</v>
      </c>
    </row>
    <row r="1193" spans="1:3" ht="19.5" hidden="1" x14ac:dyDescent="0.35">
      <c r="A1193" s="5">
        <v>3062</v>
      </c>
      <c r="B1193" s="6">
        <v>85.95</v>
      </c>
      <c r="C1193" s="8">
        <v>-3.0456852791878198E-2</v>
      </c>
    </row>
    <row r="1194" spans="1:3" ht="19.5" x14ac:dyDescent="0.35">
      <c r="A1194" s="5">
        <v>3063</v>
      </c>
      <c r="B1194" s="6">
        <v>76.06</v>
      </c>
      <c r="C1194" s="8">
        <v>-0.11506689936009301</v>
      </c>
    </row>
    <row r="1195" spans="1:3" ht="19.5" hidden="1" x14ac:dyDescent="0.35">
      <c r="A1195" s="5">
        <v>3064</v>
      </c>
      <c r="B1195" s="6">
        <v>75.59</v>
      </c>
      <c r="C1195" s="8">
        <v>-6.1793321062318905E-3</v>
      </c>
    </row>
    <row r="1196" spans="1:3" ht="19.5" hidden="1" x14ac:dyDescent="0.35">
      <c r="A1196" s="5">
        <v>3065</v>
      </c>
      <c r="B1196" s="6">
        <v>75.72</v>
      </c>
      <c r="C1196" s="8">
        <v>1.7198042069055401E-3</v>
      </c>
    </row>
    <row r="1197" spans="1:3" ht="19.5" hidden="1" x14ac:dyDescent="0.35">
      <c r="A1197" s="5">
        <v>3066</v>
      </c>
      <c r="B1197" s="6">
        <v>77.92</v>
      </c>
      <c r="C1197" s="8">
        <v>2.90544109878501E-2</v>
      </c>
    </row>
    <row r="1198" spans="1:3" ht="19.5" hidden="1" x14ac:dyDescent="0.35">
      <c r="A1198" s="5">
        <v>3067</v>
      </c>
      <c r="B1198" s="6">
        <v>82.58</v>
      </c>
      <c r="C1198" s="8">
        <v>5.9804928131416801E-2</v>
      </c>
    </row>
    <row r="1199" spans="1:3" ht="19.5" hidden="1" x14ac:dyDescent="0.35">
      <c r="A1199" s="5">
        <v>3068</v>
      </c>
      <c r="B1199" s="6">
        <v>84.37</v>
      </c>
      <c r="C1199" s="8">
        <v>2.16759505933641E-2</v>
      </c>
    </row>
    <row r="1200" spans="1:3" ht="19.5" hidden="1" x14ac:dyDescent="0.35">
      <c r="A1200" s="5">
        <v>3069</v>
      </c>
      <c r="B1200" s="6">
        <v>84.28</v>
      </c>
      <c r="C1200" s="8">
        <v>-1.06672988028922E-3</v>
      </c>
    </row>
    <row r="1201" spans="1:3" ht="19.5" hidden="1" x14ac:dyDescent="0.35">
      <c r="A1201" s="5">
        <v>3070</v>
      </c>
      <c r="B1201" s="6">
        <v>90.05</v>
      </c>
      <c r="C1201" s="8">
        <v>6.8462268628381603E-2</v>
      </c>
    </row>
    <row r="1202" spans="1:3" ht="19.5" hidden="1" x14ac:dyDescent="0.35">
      <c r="A1202" s="5">
        <v>3071</v>
      </c>
      <c r="B1202" s="6">
        <v>93.49</v>
      </c>
      <c r="C1202" s="8">
        <v>3.8200999444753005E-2</v>
      </c>
    </row>
    <row r="1203" spans="1:3" ht="19.5" hidden="1" x14ac:dyDescent="0.35">
      <c r="A1203" s="5">
        <v>3072</v>
      </c>
      <c r="B1203" s="6">
        <v>97.11</v>
      </c>
      <c r="C1203" s="8">
        <v>3.8720718793454005E-2</v>
      </c>
    </row>
    <row r="1204" spans="1:3" ht="19.5" hidden="1" x14ac:dyDescent="0.35">
      <c r="A1204" s="5">
        <v>3073</v>
      </c>
      <c r="B1204" s="6">
        <v>99.6</v>
      </c>
      <c r="C1204" s="8">
        <v>2.5641025641025498E-2</v>
      </c>
    </row>
    <row r="1205" spans="1:3" ht="19.5" hidden="1" x14ac:dyDescent="0.35">
      <c r="A1205" s="5">
        <v>3074</v>
      </c>
      <c r="B1205" s="6">
        <v>103</v>
      </c>
      <c r="C1205" s="8">
        <v>3.4136546184738902E-2</v>
      </c>
    </row>
    <row r="1206" spans="1:3" ht="19.5" hidden="1" x14ac:dyDescent="0.35">
      <c r="A1206" s="5">
        <v>3075</v>
      </c>
      <c r="B1206" s="6">
        <v>101.6</v>
      </c>
      <c r="C1206" s="8">
        <v>-1.35922330097088E-2</v>
      </c>
    </row>
    <row r="1207" spans="1:3" ht="19.5" hidden="1" x14ac:dyDescent="0.35">
      <c r="A1207" s="5">
        <v>3076</v>
      </c>
      <c r="B1207" s="6">
        <v>99.72</v>
      </c>
      <c r="C1207" s="8">
        <v>-1.8503937007874002E-2</v>
      </c>
    </row>
    <row r="1208" spans="1:3" ht="19.5" hidden="1" x14ac:dyDescent="0.35">
      <c r="A1208" s="5">
        <v>3077</v>
      </c>
      <c r="B1208" s="6">
        <v>99</v>
      </c>
      <c r="C1208" s="8">
        <v>-7.2202166064981909E-3</v>
      </c>
    </row>
    <row r="1209" spans="1:3" ht="19.5" hidden="1" x14ac:dyDescent="0.35">
      <c r="A1209" s="5">
        <v>3078</v>
      </c>
      <c r="B1209" s="6">
        <v>97.24</v>
      </c>
      <c r="C1209" s="8">
        <v>-1.7777777777777799E-2</v>
      </c>
    </row>
    <row r="1210" spans="1:3" ht="19.5" hidden="1" x14ac:dyDescent="0.35">
      <c r="A1210" s="5">
        <v>3079</v>
      </c>
      <c r="B1210" s="6">
        <v>99.4</v>
      </c>
      <c r="C1210" s="8">
        <v>2.2213081036610599E-2</v>
      </c>
    </row>
    <row r="1211" spans="1:3" ht="19.5" hidden="1" x14ac:dyDescent="0.35">
      <c r="A1211" s="5">
        <v>3080</v>
      </c>
      <c r="B1211" s="6">
        <v>97.29</v>
      </c>
      <c r="C1211" s="8">
        <v>-2.1227364185110599E-2</v>
      </c>
    </row>
    <row r="1212" spans="1:3" ht="19.5" hidden="1" x14ac:dyDescent="0.35">
      <c r="A1212" s="5">
        <v>3081</v>
      </c>
      <c r="B1212" s="6">
        <v>92.78</v>
      </c>
      <c r="C1212" s="8">
        <v>-4.6356254496865097E-2</v>
      </c>
    </row>
    <row r="1213" spans="1:3" ht="19.5" hidden="1" x14ac:dyDescent="0.35">
      <c r="A1213" s="5">
        <v>3082</v>
      </c>
      <c r="B1213" s="6">
        <v>99.17</v>
      </c>
      <c r="C1213" s="8">
        <v>6.8872601853847901E-2</v>
      </c>
    </row>
    <row r="1214" spans="1:3" ht="19.5" hidden="1" x14ac:dyDescent="0.35">
      <c r="A1214" s="5">
        <v>3083</v>
      </c>
      <c r="B1214" s="6">
        <v>103.3</v>
      </c>
      <c r="C1214" s="8">
        <v>4.1645658969446296E-2</v>
      </c>
    </row>
    <row r="1215" spans="1:3" ht="19.5" hidden="1" x14ac:dyDescent="0.35">
      <c r="A1215" s="5">
        <v>3084</v>
      </c>
      <c r="B1215" s="6">
        <v>105.2</v>
      </c>
      <c r="C1215" s="8">
        <v>1.8393030009680601E-2</v>
      </c>
    </row>
    <row r="1216" spans="1:3" ht="19.5" hidden="1" x14ac:dyDescent="0.35">
      <c r="A1216" s="5">
        <v>3085</v>
      </c>
      <c r="B1216" s="6">
        <v>107.7</v>
      </c>
      <c r="C1216" s="8">
        <v>2.3764258555133002E-2</v>
      </c>
    </row>
    <row r="1217" spans="1:3" ht="19.5" hidden="1" x14ac:dyDescent="0.35">
      <c r="A1217" s="5">
        <v>3086</v>
      </c>
      <c r="B1217" s="6">
        <v>108.8</v>
      </c>
      <c r="C1217" s="8">
        <v>1.0213556174558899E-2</v>
      </c>
    </row>
    <row r="1218" spans="1:3" ht="19.5" hidden="1" x14ac:dyDescent="0.35">
      <c r="A1218" s="5">
        <v>3087</v>
      </c>
      <c r="B1218" s="6">
        <v>107.7</v>
      </c>
      <c r="C1218" s="8">
        <v>-1.0110294117647E-2</v>
      </c>
    </row>
    <row r="1219" spans="1:3" ht="19.5" hidden="1" x14ac:dyDescent="0.35">
      <c r="A1219" s="5">
        <v>3088</v>
      </c>
      <c r="B1219" s="6">
        <v>108</v>
      </c>
      <c r="C1219" s="8">
        <v>2.7855153203342202E-3</v>
      </c>
    </row>
    <row r="1220" spans="1:3" ht="19.5" hidden="1" x14ac:dyDescent="0.35">
      <c r="A1220" s="5">
        <v>3089</v>
      </c>
      <c r="B1220" s="6">
        <v>107.2</v>
      </c>
      <c r="C1220" s="8">
        <v>-7.4074074074074207E-3</v>
      </c>
    </row>
    <row r="1221" spans="1:3" ht="19.5" hidden="1" x14ac:dyDescent="0.35">
      <c r="A1221" s="5">
        <v>3090</v>
      </c>
      <c r="B1221" s="6">
        <v>111</v>
      </c>
      <c r="C1221" s="8">
        <v>3.54477611940298E-2</v>
      </c>
    </row>
    <row r="1222" spans="1:3" ht="19.5" hidden="1" x14ac:dyDescent="0.35">
      <c r="A1222" s="5">
        <v>3091</v>
      </c>
      <c r="B1222" s="6">
        <v>109.4</v>
      </c>
      <c r="C1222" s="8">
        <v>-1.4414414414414399E-2</v>
      </c>
    </row>
    <row r="1223" spans="1:3" ht="19.5" hidden="1" x14ac:dyDescent="0.35">
      <c r="A1223" s="5">
        <v>3092</v>
      </c>
      <c r="B1223" s="6">
        <v>109.6</v>
      </c>
      <c r="C1223" s="8">
        <v>1.8281535648993999E-3</v>
      </c>
    </row>
    <row r="1224" spans="1:3" ht="19.5" hidden="1" x14ac:dyDescent="0.35">
      <c r="A1224" s="5">
        <v>3093</v>
      </c>
      <c r="B1224" s="6">
        <v>115.1</v>
      </c>
      <c r="C1224" s="8">
        <v>5.0182481751824798E-2</v>
      </c>
    </row>
    <row r="1225" spans="1:3" ht="19.5" hidden="1" x14ac:dyDescent="0.35">
      <c r="A1225" s="5">
        <v>3094</v>
      </c>
      <c r="B1225" s="6">
        <v>117.5</v>
      </c>
      <c r="C1225" s="8">
        <v>2.0851433536055699E-2</v>
      </c>
    </row>
    <row r="1226" spans="1:3" ht="19.5" hidden="1" x14ac:dyDescent="0.35">
      <c r="A1226" s="5">
        <v>3095</v>
      </c>
      <c r="B1226" s="6">
        <v>118.4</v>
      </c>
      <c r="C1226" s="8">
        <v>7.6595744680851806E-3</v>
      </c>
    </row>
    <row r="1227" spans="1:3" ht="19.5" hidden="1" x14ac:dyDescent="0.35">
      <c r="A1227" s="5">
        <v>3096</v>
      </c>
      <c r="B1227" s="6">
        <v>114.2</v>
      </c>
      <c r="C1227" s="8">
        <v>-3.5472972972973006E-2</v>
      </c>
    </row>
    <row r="1228" spans="1:3" ht="19.5" hidden="1" x14ac:dyDescent="0.35">
      <c r="A1228" s="5">
        <v>3097</v>
      </c>
      <c r="B1228" s="6">
        <v>112.4</v>
      </c>
      <c r="C1228" s="8">
        <v>-1.5761821366024401E-2</v>
      </c>
    </row>
    <row r="1229" spans="1:3" ht="19.5" hidden="1" x14ac:dyDescent="0.35">
      <c r="A1229" s="5">
        <v>3098</v>
      </c>
      <c r="B1229" s="6">
        <v>110.3</v>
      </c>
      <c r="C1229" s="8">
        <v>-1.8683274021352399E-2</v>
      </c>
    </row>
    <row r="1230" spans="1:3" ht="19.5" hidden="1" x14ac:dyDescent="0.35">
      <c r="A1230" s="5">
        <v>3099</v>
      </c>
      <c r="B1230" s="6">
        <v>107.2</v>
      </c>
      <c r="C1230" s="8">
        <v>-2.8105167724388001E-2</v>
      </c>
    </row>
    <row r="1231" spans="1:3" ht="19.5" hidden="1" x14ac:dyDescent="0.35">
      <c r="A1231" s="5">
        <v>3100</v>
      </c>
      <c r="B1231" s="6">
        <v>104.8</v>
      </c>
      <c r="C1231" s="8">
        <v>-2.2388059701492598E-2</v>
      </c>
    </row>
    <row r="1232" spans="1:3" ht="19.5" hidden="1" x14ac:dyDescent="0.35">
      <c r="A1232" s="5">
        <v>3101</v>
      </c>
      <c r="B1232" s="6">
        <v>105.8</v>
      </c>
      <c r="C1232" s="8">
        <v>9.5419847328244208E-3</v>
      </c>
    </row>
    <row r="1233" spans="1:3" ht="19.5" hidden="1" x14ac:dyDescent="0.35">
      <c r="A1233" s="5">
        <v>3102</v>
      </c>
      <c r="B1233" s="6">
        <v>103.8</v>
      </c>
      <c r="C1233" s="8">
        <v>-1.8903591682419601E-2</v>
      </c>
    </row>
    <row r="1234" spans="1:3" ht="19.5" hidden="1" x14ac:dyDescent="0.35">
      <c r="A1234" s="5">
        <v>3103</v>
      </c>
      <c r="B1234" s="6">
        <v>105.6</v>
      </c>
      <c r="C1234" s="8">
        <v>1.7341040462427699E-2</v>
      </c>
    </row>
    <row r="1235" spans="1:3" ht="19.5" hidden="1" x14ac:dyDescent="0.35">
      <c r="A1235" s="5">
        <v>3104</v>
      </c>
      <c r="B1235" s="6">
        <v>109.8</v>
      </c>
      <c r="C1235" s="8">
        <v>3.97727272727273E-2</v>
      </c>
    </row>
    <row r="1236" spans="1:3" ht="19.5" x14ac:dyDescent="0.35">
      <c r="A1236" s="5">
        <v>3105</v>
      </c>
      <c r="B1236" s="6">
        <v>102</v>
      </c>
      <c r="C1236" s="8">
        <v>-7.10382513661202E-2</v>
      </c>
    </row>
    <row r="1237" spans="1:3" ht="19.5" x14ac:dyDescent="0.35">
      <c r="A1237" s="5">
        <v>3106</v>
      </c>
      <c r="B1237" s="6">
        <v>94.78</v>
      </c>
      <c r="C1237" s="8">
        <v>-7.0784313725490197E-2</v>
      </c>
    </row>
    <row r="1238" spans="1:3" ht="19.5" hidden="1" x14ac:dyDescent="0.35">
      <c r="A1238" s="5">
        <v>3107</v>
      </c>
      <c r="B1238" s="6">
        <v>96.11</v>
      </c>
      <c r="C1238" s="8">
        <v>1.40324963072378E-2</v>
      </c>
    </row>
    <row r="1239" spans="1:3" ht="19.5" hidden="1" x14ac:dyDescent="0.35">
      <c r="A1239" s="5">
        <v>3108</v>
      </c>
      <c r="B1239" s="6">
        <v>93.45</v>
      </c>
      <c r="C1239" s="8">
        <v>-2.7676620538965701E-2</v>
      </c>
    </row>
    <row r="1240" spans="1:3" ht="19.5" hidden="1" x14ac:dyDescent="0.35">
      <c r="A1240" s="5">
        <v>3109</v>
      </c>
      <c r="B1240" s="6">
        <v>97.44</v>
      </c>
      <c r="C1240" s="8">
        <v>4.2696629213483196E-2</v>
      </c>
    </row>
    <row r="1241" spans="1:3" ht="19.5" x14ac:dyDescent="0.35">
      <c r="A1241" s="5">
        <v>3110</v>
      </c>
      <c r="B1241" s="6">
        <v>92.46</v>
      </c>
      <c r="C1241" s="8">
        <v>-5.1108374384236502E-2</v>
      </c>
    </row>
    <row r="1242" spans="1:3" ht="19.5" hidden="1" x14ac:dyDescent="0.35">
      <c r="A1242" s="5">
        <v>3111</v>
      </c>
      <c r="B1242" s="6">
        <v>89.67</v>
      </c>
      <c r="C1242" s="8">
        <v>-3.0175210902011598E-2</v>
      </c>
    </row>
    <row r="1243" spans="1:3" ht="19.5" hidden="1" x14ac:dyDescent="0.35">
      <c r="A1243" s="5">
        <v>3112</v>
      </c>
      <c r="B1243" s="6">
        <v>89.79</v>
      </c>
      <c r="C1243" s="8">
        <v>1.3382402141184401E-3</v>
      </c>
    </row>
    <row r="1244" spans="1:3" ht="19.5" x14ac:dyDescent="0.35">
      <c r="A1244" s="5">
        <v>3113</v>
      </c>
      <c r="B1244" s="6">
        <v>79.31</v>
      </c>
      <c r="C1244" s="8">
        <v>-0.116716783606192</v>
      </c>
    </row>
    <row r="1245" spans="1:3" ht="19.5" hidden="1" x14ac:dyDescent="0.35">
      <c r="A1245" s="5">
        <v>3114</v>
      </c>
      <c r="B1245" s="6">
        <v>76.03</v>
      </c>
      <c r="C1245" s="8">
        <v>-4.1356701550876299E-2</v>
      </c>
    </row>
    <row r="1246" spans="1:3" ht="19.5" x14ac:dyDescent="0.35">
      <c r="A1246" s="5">
        <v>3115</v>
      </c>
      <c r="B1246" s="6">
        <v>68.12</v>
      </c>
      <c r="C1246" s="8">
        <v>-0.104037879784296</v>
      </c>
    </row>
    <row r="1247" spans="1:3" ht="19.5" hidden="1" x14ac:dyDescent="0.35">
      <c r="A1247" s="5">
        <v>3116</v>
      </c>
      <c r="B1247" s="6">
        <v>69.44</v>
      </c>
      <c r="C1247" s="8">
        <v>1.9377568995889501E-2</v>
      </c>
    </row>
    <row r="1248" spans="1:3" ht="19.5" hidden="1" x14ac:dyDescent="0.35">
      <c r="A1248" s="5">
        <v>3117</v>
      </c>
      <c r="B1248" s="6">
        <v>71.739999999999995</v>
      </c>
      <c r="C1248" s="8">
        <v>3.3122119815668101E-2</v>
      </c>
    </row>
    <row r="1249" spans="1:3" ht="19.5" x14ac:dyDescent="0.35">
      <c r="A1249" s="5">
        <v>3118</v>
      </c>
      <c r="B1249" s="6">
        <v>67.069999999999993</v>
      </c>
      <c r="C1249" s="8">
        <v>-6.5096180652355798E-2</v>
      </c>
    </row>
    <row r="1250" spans="1:3" ht="19.5" hidden="1" x14ac:dyDescent="0.35">
      <c r="A1250" s="5">
        <v>3119</v>
      </c>
      <c r="B1250" s="6">
        <v>72.56</v>
      </c>
      <c r="C1250" s="8">
        <v>8.1854778589533397E-2</v>
      </c>
    </row>
    <row r="1251" spans="1:3" ht="19.5" hidden="1" x14ac:dyDescent="0.35">
      <c r="A1251" s="5">
        <v>3120</v>
      </c>
      <c r="B1251" s="6">
        <v>80.099999999999994</v>
      </c>
      <c r="C1251" s="8">
        <v>0.10391400220507201</v>
      </c>
    </row>
    <row r="1252" spans="1:3" ht="19.5" hidden="1" x14ac:dyDescent="0.35">
      <c r="A1252" s="5">
        <v>3121</v>
      </c>
      <c r="B1252" s="6">
        <v>83.78</v>
      </c>
      <c r="C1252" s="8">
        <v>4.59425717852684E-2</v>
      </c>
    </row>
    <row r="1253" spans="1:3" ht="19.5" hidden="1" x14ac:dyDescent="0.35">
      <c r="A1253" s="5">
        <v>3122</v>
      </c>
      <c r="B1253" s="6">
        <v>84.72</v>
      </c>
      <c r="C1253" s="8">
        <v>1.12198615421342E-2</v>
      </c>
    </row>
    <row r="1254" spans="1:3" ht="19.5" hidden="1" x14ac:dyDescent="0.35">
      <c r="A1254" s="5">
        <v>3123</v>
      </c>
      <c r="B1254" s="6">
        <v>90.1</v>
      </c>
      <c r="C1254" s="8">
        <v>6.3503305004721303E-2</v>
      </c>
    </row>
    <row r="1255" spans="1:3" ht="19.5" hidden="1" x14ac:dyDescent="0.35">
      <c r="A1255" s="5">
        <v>3124</v>
      </c>
      <c r="B1255" s="6">
        <v>92.4</v>
      </c>
      <c r="C1255" s="8">
        <v>2.5527192008879099E-2</v>
      </c>
    </row>
    <row r="1256" spans="1:3" ht="19.5" hidden="1" x14ac:dyDescent="0.35">
      <c r="A1256" s="5">
        <v>3125</v>
      </c>
      <c r="B1256" s="6">
        <v>92.49</v>
      </c>
      <c r="C1256" s="8">
        <v>9.7402597402584902E-4</v>
      </c>
    </row>
    <row r="1257" spans="1:3" ht="19.5" x14ac:dyDescent="0.35">
      <c r="A1257" s="5">
        <v>3126</v>
      </c>
      <c r="B1257" s="6">
        <v>85.71</v>
      </c>
      <c r="C1257" s="8">
        <v>-7.3305222186182295E-2</v>
      </c>
    </row>
    <row r="1258" spans="1:3" ht="19.5" hidden="1" x14ac:dyDescent="0.35">
      <c r="A1258" s="5">
        <v>3127</v>
      </c>
      <c r="B1258" s="6">
        <v>84.67</v>
      </c>
      <c r="C1258" s="8">
        <v>-1.2133940030334699E-2</v>
      </c>
    </row>
    <row r="1259" spans="1:3" ht="19.5" hidden="1" x14ac:dyDescent="0.35">
      <c r="A1259" s="5">
        <v>3128</v>
      </c>
      <c r="B1259" s="6">
        <v>88.57</v>
      </c>
      <c r="C1259" s="8">
        <v>4.6061178693752196E-2</v>
      </c>
    </row>
    <row r="1260" spans="1:3" ht="19.5" hidden="1" x14ac:dyDescent="0.35">
      <c r="A1260" s="5">
        <v>3129</v>
      </c>
      <c r="B1260" s="6">
        <v>90.07</v>
      </c>
      <c r="C1260" s="8">
        <v>1.6935757028339299E-2</v>
      </c>
    </row>
    <row r="1261" spans="1:3" ht="19.5" hidden="1" x14ac:dyDescent="0.35">
      <c r="A1261" s="5">
        <v>3130</v>
      </c>
      <c r="B1261" s="6">
        <v>88.7</v>
      </c>
      <c r="C1261" s="8">
        <v>-1.52103919173975E-2</v>
      </c>
    </row>
    <row r="1262" spans="1:3" ht="19.5" hidden="1" x14ac:dyDescent="0.35">
      <c r="A1262" s="5">
        <v>3131</v>
      </c>
      <c r="B1262" s="6">
        <v>96.86</v>
      </c>
      <c r="C1262" s="8">
        <v>9.1995490417136297E-2</v>
      </c>
    </row>
    <row r="1263" spans="1:3" ht="19.5" hidden="1" x14ac:dyDescent="0.35">
      <c r="A1263" s="5">
        <v>3132</v>
      </c>
      <c r="B1263" s="6">
        <v>100.6</v>
      </c>
      <c r="C1263" s="8">
        <v>3.8612430311790097E-2</v>
      </c>
    </row>
    <row r="1264" spans="1:3" ht="19.5" hidden="1" x14ac:dyDescent="0.35">
      <c r="A1264" s="5">
        <v>3133</v>
      </c>
      <c r="B1264" s="6">
        <v>101.1</v>
      </c>
      <c r="C1264" s="8">
        <v>4.9701789264413607E-3</v>
      </c>
    </row>
    <row r="1265" spans="1:3" ht="19.5" hidden="1" x14ac:dyDescent="0.35">
      <c r="A1265" s="5">
        <v>3134</v>
      </c>
      <c r="B1265" s="6">
        <v>101.9</v>
      </c>
      <c r="C1265" s="8">
        <v>7.9129574678538112E-3</v>
      </c>
    </row>
    <row r="1266" spans="1:3" ht="19.5" hidden="1" x14ac:dyDescent="0.35">
      <c r="A1266" s="5">
        <v>3135</v>
      </c>
      <c r="B1266" s="6">
        <v>101.2</v>
      </c>
      <c r="C1266" s="8">
        <v>-6.8694798822375204E-3</v>
      </c>
    </row>
    <row r="1267" spans="1:3" ht="19.5" hidden="1" x14ac:dyDescent="0.35">
      <c r="A1267" s="5">
        <v>3136</v>
      </c>
      <c r="B1267" s="6">
        <v>101.8</v>
      </c>
      <c r="C1267" s="8">
        <v>5.9288537549406807E-3</v>
      </c>
    </row>
    <row r="1268" spans="1:3" ht="19.5" hidden="1" x14ac:dyDescent="0.35">
      <c r="A1268" s="5">
        <v>3137</v>
      </c>
      <c r="B1268" s="6">
        <v>104.2</v>
      </c>
      <c r="C1268" s="8">
        <v>2.3575638506876398E-2</v>
      </c>
    </row>
    <row r="1269" spans="1:3" ht="19.5" hidden="1" x14ac:dyDescent="0.35">
      <c r="A1269" s="5">
        <v>3138</v>
      </c>
      <c r="B1269" s="6">
        <v>103.3</v>
      </c>
      <c r="C1269" s="8">
        <v>-8.637236084452991E-3</v>
      </c>
    </row>
    <row r="1270" spans="1:3" ht="19.5" hidden="1" x14ac:dyDescent="0.35">
      <c r="A1270" s="5">
        <v>3139</v>
      </c>
      <c r="B1270" s="6">
        <v>105.5</v>
      </c>
      <c r="C1270" s="8">
        <v>2.12971926427881E-2</v>
      </c>
    </row>
    <row r="1271" spans="1:3" ht="19.5" hidden="1" x14ac:dyDescent="0.35">
      <c r="A1271" s="5">
        <v>3140</v>
      </c>
      <c r="B1271" s="6">
        <v>101.9</v>
      </c>
      <c r="C1271" s="8">
        <v>-3.4123222748815102E-2</v>
      </c>
    </row>
    <row r="1272" spans="1:3" ht="19.5" hidden="1" x14ac:dyDescent="0.35">
      <c r="A1272" s="5">
        <v>3141</v>
      </c>
      <c r="B1272" s="6">
        <v>101.2</v>
      </c>
      <c r="C1272" s="8">
        <v>-6.8694798822375204E-3</v>
      </c>
    </row>
    <row r="1273" spans="1:3" ht="19.5" hidden="1" x14ac:dyDescent="0.35">
      <c r="A1273" s="5">
        <v>3142</v>
      </c>
      <c r="B1273" s="6">
        <v>104.7</v>
      </c>
      <c r="C1273" s="8">
        <v>3.4584980237154096E-2</v>
      </c>
    </row>
    <row r="1274" spans="1:3" ht="19.5" hidden="1" x14ac:dyDescent="0.35">
      <c r="A1274" s="5">
        <v>3143</v>
      </c>
      <c r="B1274" s="6">
        <v>103.8</v>
      </c>
      <c r="C1274" s="8">
        <v>-8.5959885386820405E-3</v>
      </c>
    </row>
    <row r="1275" spans="1:3" ht="19.5" hidden="1" x14ac:dyDescent="0.35">
      <c r="A1275" s="5">
        <v>3144</v>
      </c>
      <c r="B1275" s="6">
        <v>101</v>
      </c>
      <c r="C1275" s="8">
        <v>-2.6974951830443201E-2</v>
      </c>
    </row>
    <row r="1276" spans="1:3" ht="19.5" hidden="1" x14ac:dyDescent="0.35">
      <c r="A1276" s="5">
        <v>3145</v>
      </c>
      <c r="B1276" s="6">
        <v>100.6</v>
      </c>
      <c r="C1276" s="8">
        <v>-3.9603960396039604E-3</v>
      </c>
    </row>
    <row r="1277" spans="1:3" ht="19.5" hidden="1" x14ac:dyDescent="0.35">
      <c r="A1277" s="5">
        <v>3146</v>
      </c>
      <c r="B1277" s="6">
        <v>99.05</v>
      </c>
      <c r="C1277" s="8">
        <v>-1.54075546719682E-2</v>
      </c>
    </row>
    <row r="1278" spans="1:3" ht="19.5" hidden="1" x14ac:dyDescent="0.35">
      <c r="A1278" s="5">
        <v>3147</v>
      </c>
      <c r="B1278" s="6">
        <v>98.76</v>
      </c>
      <c r="C1278" s="8">
        <v>-2.9278142352346902E-3</v>
      </c>
    </row>
    <row r="1279" spans="1:3" ht="19.5" hidden="1" x14ac:dyDescent="0.35">
      <c r="A1279" s="5">
        <v>3148</v>
      </c>
      <c r="B1279" s="6">
        <v>99.29</v>
      </c>
      <c r="C1279" s="8">
        <v>5.3665451599838E-3</v>
      </c>
    </row>
    <row r="1280" spans="1:3" ht="19.5" hidden="1" x14ac:dyDescent="0.35">
      <c r="A1280" s="5">
        <v>3149</v>
      </c>
      <c r="B1280" s="6">
        <v>100.2</v>
      </c>
      <c r="C1280" s="8">
        <v>9.1650720112801398E-3</v>
      </c>
    </row>
    <row r="1281" spans="1:3" ht="19.5" hidden="1" x14ac:dyDescent="0.35">
      <c r="A1281" s="5">
        <v>3150</v>
      </c>
      <c r="B1281" s="6">
        <v>97.75</v>
      </c>
      <c r="C1281" s="8">
        <v>-2.4451097804391298E-2</v>
      </c>
    </row>
    <row r="1282" spans="1:3" ht="19.5" hidden="1" x14ac:dyDescent="0.35">
      <c r="A1282" s="5">
        <v>3151</v>
      </c>
      <c r="B1282" s="6">
        <v>96.23</v>
      </c>
      <c r="C1282" s="8">
        <v>-1.5549872122762199E-2</v>
      </c>
    </row>
    <row r="1283" spans="1:3" ht="19.5" hidden="1" x14ac:dyDescent="0.35">
      <c r="A1283" s="5">
        <v>3152</v>
      </c>
      <c r="B1283" s="6">
        <v>93.74</v>
      </c>
      <c r="C1283" s="8">
        <v>-2.5875506598773898E-2</v>
      </c>
    </row>
    <row r="1284" spans="1:3" ht="19.5" hidden="1" x14ac:dyDescent="0.35">
      <c r="A1284" s="5">
        <v>3153</v>
      </c>
      <c r="B1284" s="6">
        <v>94.28</v>
      </c>
      <c r="C1284" s="8">
        <v>5.7606144655430996E-3</v>
      </c>
    </row>
    <row r="1285" spans="1:3" ht="19.5" hidden="1" x14ac:dyDescent="0.35">
      <c r="A1285" s="5">
        <v>3154</v>
      </c>
      <c r="B1285" s="6">
        <v>93.82</v>
      </c>
      <c r="C1285" s="8">
        <v>-4.8790835808231207E-3</v>
      </c>
    </row>
    <row r="1286" spans="1:3" ht="19.5" hidden="1" x14ac:dyDescent="0.35">
      <c r="A1286" s="5">
        <v>3155</v>
      </c>
      <c r="B1286" s="6">
        <v>90.25</v>
      </c>
      <c r="C1286" s="8">
        <v>-3.8051588147516399E-2</v>
      </c>
    </row>
    <row r="1287" spans="1:3" ht="19.5" hidden="1" x14ac:dyDescent="0.35">
      <c r="A1287" s="5">
        <v>3156</v>
      </c>
      <c r="B1287" s="6">
        <v>88.98</v>
      </c>
      <c r="C1287" s="8">
        <v>-1.40720221606647E-2</v>
      </c>
    </row>
    <row r="1288" spans="1:3" ht="19.5" hidden="1" x14ac:dyDescent="0.35">
      <c r="A1288" s="5">
        <v>3157</v>
      </c>
      <c r="B1288" s="6">
        <v>88.82</v>
      </c>
      <c r="C1288" s="8">
        <v>-1.79815688918872E-3</v>
      </c>
    </row>
    <row r="1289" spans="1:3" ht="19.5" hidden="1" x14ac:dyDescent="0.35">
      <c r="A1289" s="5">
        <v>3158</v>
      </c>
      <c r="B1289" s="6">
        <v>92.71</v>
      </c>
      <c r="C1289" s="8">
        <v>4.3796442242738202E-2</v>
      </c>
    </row>
    <row r="1290" spans="1:3" ht="19.5" hidden="1" x14ac:dyDescent="0.35">
      <c r="A1290" s="5">
        <v>3159</v>
      </c>
      <c r="B1290" s="6">
        <v>97.41</v>
      </c>
      <c r="C1290" s="8">
        <v>5.0695717829791799E-2</v>
      </c>
    </row>
    <row r="1291" spans="1:3" ht="19.5" hidden="1" x14ac:dyDescent="0.35">
      <c r="A1291" s="5">
        <v>3160</v>
      </c>
      <c r="B1291" s="6">
        <v>97.66</v>
      </c>
      <c r="C1291" s="8">
        <v>2.5664716148239303E-3</v>
      </c>
    </row>
    <row r="1292" spans="1:3" ht="19.5" hidden="1" x14ac:dyDescent="0.35">
      <c r="A1292" s="5">
        <v>3161</v>
      </c>
      <c r="B1292" s="6">
        <v>97.19</v>
      </c>
      <c r="C1292" s="8">
        <v>-4.8126151955765204E-3</v>
      </c>
    </row>
    <row r="1293" spans="1:3" ht="19.5" hidden="1" x14ac:dyDescent="0.35">
      <c r="A1293" s="5">
        <v>3162</v>
      </c>
      <c r="B1293" s="6">
        <v>103.9</v>
      </c>
      <c r="C1293" s="8">
        <v>6.9040024693898694E-2</v>
      </c>
    </row>
    <row r="1294" spans="1:3" ht="19.5" hidden="1" x14ac:dyDescent="0.35">
      <c r="A1294" s="5">
        <v>3163</v>
      </c>
      <c r="B1294" s="6">
        <v>103.9</v>
      </c>
      <c r="C1294" s="8">
        <v>0</v>
      </c>
    </row>
    <row r="1295" spans="1:3" ht="19.5" hidden="1" x14ac:dyDescent="0.35">
      <c r="A1295" s="5">
        <v>3164</v>
      </c>
      <c r="B1295" s="6">
        <v>100.6</v>
      </c>
      <c r="C1295" s="8">
        <v>-3.1761308950914398E-2</v>
      </c>
    </row>
    <row r="1296" spans="1:3" ht="19.5" x14ac:dyDescent="0.35">
      <c r="A1296" s="5">
        <v>3165</v>
      </c>
      <c r="B1296" s="6">
        <v>94.71</v>
      </c>
      <c r="C1296" s="8">
        <v>-5.8548707753479097E-2</v>
      </c>
    </row>
    <row r="1297" spans="1:3" ht="19.5" hidden="1" x14ac:dyDescent="0.35">
      <c r="A1297" s="5">
        <v>3166</v>
      </c>
      <c r="B1297" s="6">
        <v>96.11</v>
      </c>
      <c r="C1297" s="8">
        <v>1.4781966001478299E-2</v>
      </c>
    </row>
    <row r="1298" spans="1:3" ht="19.5" hidden="1" x14ac:dyDescent="0.35">
      <c r="A1298" s="5">
        <v>3167</v>
      </c>
      <c r="B1298" s="6">
        <v>99.71</v>
      </c>
      <c r="C1298" s="8">
        <v>3.74570804286753E-2</v>
      </c>
    </row>
    <row r="1299" spans="1:3" ht="19.5" hidden="1" x14ac:dyDescent="0.35">
      <c r="A1299" s="5">
        <v>3168</v>
      </c>
      <c r="B1299" s="6">
        <v>98.23</v>
      </c>
      <c r="C1299" s="8">
        <v>-1.48430448300069E-2</v>
      </c>
    </row>
    <row r="1300" spans="1:3" ht="19.5" hidden="1" x14ac:dyDescent="0.35">
      <c r="A1300" s="5">
        <v>3169</v>
      </c>
      <c r="B1300" s="6">
        <v>100.1</v>
      </c>
      <c r="C1300" s="8">
        <v>1.9036954087345799E-2</v>
      </c>
    </row>
    <row r="1301" spans="1:3" ht="19.5" hidden="1" x14ac:dyDescent="0.35">
      <c r="A1301" s="5">
        <v>3170</v>
      </c>
      <c r="B1301" s="6">
        <v>102.1</v>
      </c>
      <c r="C1301" s="8">
        <v>1.9980019980020001E-2</v>
      </c>
    </row>
    <row r="1302" spans="1:3" ht="19.5" hidden="1" x14ac:dyDescent="0.35">
      <c r="A1302" s="5">
        <v>3171</v>
      </c>
      <c r="B1302" s="6">
        <v>99.73</v>
      </c>
      <c r="C1302" s="8">
        <v>-2.3212536728697299E-2</v>
      </c>
    </row>
    <row r="1303" spans="1:3" ht="19.5" hidden="1" x14ac:dyDescent="0.35">
      <c r="A1303" s="5">
        <v>3172</v>
      </c>
      <c r="B1303" s="6">
        <v>101.7</v>
      </c>
      <c r="C1303" s="8">
        <v>1.97533340018048E-2</v>
      </c>
    </row>
    <row r="1304" spans="1:3" ht="19.5" hidden="1" x14ac:dyDescent="0.35">
      <c r="A1304" s="5">
        <v>3173</v>
      </c>
      <c r="B1304" s="6">
        <v>102.7</v>
      </c>
      <c r="C1304" s="8">
        <v>9.8328416912487615E-3</v>
      </c>
    </row>
    <row r="1305" spans="1:3" ht="19.5" hidden="1" x14ac:dyDescent="0.35">
      <c r="A1305" s="5">
        <v>3174</v>
      </c>
      <c r="B1305" s="6">
        <v>107.4</v>
      </c>
      <c r="C1305" s="8">
        <v>4.5764362220058502E-2</v>
      </c>
    </row>
    <row r="1306" spans="1:3" ht="19.5" hidden="1" x14ac:dyDescent="0.35">
      <c r="A1306" s="5">
        <v>3175</v>
      </c>
      <c r="B1306" s="6">
        <v>108.6</v>
      </c>
      <c r="C1306" s="8">
        <v>1.1173184357541799E-2</v>
      </c>
    </row>
    <row r="1307" spans="1:3" ht="19.5" hidden="1" x14ac:dyDescent="0.35">
      <c r="A1307" s="5">
        <v>3176</v>
      </c>
      <c r="B1307" s="6">
        <v>104.5</v>
      </c>
      <c r="C1307" s="8">
        <v>-3.7753222836095703E-2</v>
      </c>
    </row>
    <row r="1308" spans="1:3" ht="19.5" hidden="1" x14ac:dyDescent="0.35">
      <c r="A1308" s="5">
        <v>3177</v>
      </c>
      <c r="B1308" s="6">
        <v>103.7</v>
      </c>
      <c r="C1308" s="8">
        <v>-7.6555023923444709E-3</v>
      </c>
    </row>
    <row r="1309" spans="1:3" ht="19.5" hidden="1" x14ac:dyDescent="0.35">
      <c r="A1309" s="5">
        <v>3178</v>
      </c>
      <c r="B1309" s="6">
        <v>107.8</v>
      </c>
      <c r="C1309" s="8">
        <v>3.95371263259401E-2</v>
      </c>
    </row>
    <row r="1310" spans="1:3" ht="19.5" hidden="1" x14ac:dyDescent="0.35">
      <c r="A1310" s="5">
        <v>3179</v>
      </c>
      <c r="B1310" s="6">
        <v>110.9</v>
      </c>
      <c r="C1310" s="8">
        <v>2.8756957328385898E-2</v>
      </c>
    </row>
    <row r="1311" spans="1:3" ht="19.5" hidden="1" x14ac:dyDescent="0.35">
      <c r="A1311" s="5">
        <v>3180</v>
      </c>
      <c r="B1311" s="6">
        <v>115.3</v>
      </c>
      <c r="C1311" s="8">
        <v>3.9675383228133403E-2</v>
      </c>
    </row>
    <row r="1312" spans="1:3" ht="19.5" x14ac:dyDescent="0.35">
      <c r="A1312" s="5">
        <v>3181</v>
      </c>
      <c r="B1312" s="6">
        <v>104.7</v>
      </c>
      <c r="C1312" s="8">
        <v>-9.1934084995663495E-2</v>
      </c>
    </row>
    <row r="1313" spans="1:3" ht="19.5" hidden="1" x14ac:dyDescent="0.35">
      <c r="A1313" s="5">
        <v>3182</v>
      </c>
      <c r="B1313" s="6">
        <v>103</v>
      </c>
      <c r="C1313" s="8">
        <v>-1.62368672397326E-2</v>
      </c>
    </row>
    <row r="1314" spans="1:3" ht="19.5" hidden="1" x14ac:dyDescent="0.35">
      <c r="A1314" s="5">
        <v>3183</v>
      </c>
      <c r="B1314" s="6">
        <v>107.7</v>
      </c>
      <c r="C1314" s="8">
        <v>4.5631067961165096E-2</v>
      </c>
    </row>
    <row r="1315" spans="1:3" ht="19.5" hidden="1" x14ac:dyDescent="0.35">
      <c r="A1315" s="5">
        <v>3184</v>
      </c>
      <c r="B1315" s="6">
        <v>114.6</v>
      </c>
      <c r="C1315" s="8">
        <v>6.4066852367687901E-2</v>
      </c>
    </row>
    <row r="1316" spans="1:3" ht="19.5" hidden="1" x14ac:dyDescent="0.35">
      <c r="A1316" s="5">
        <v>3185</v>
      </c>
      <c r="B1316" s="6">
        <v>119.8</v>
      </c>
      <c r="C1316" s="8">
        <v>4.5375218150087299E-2</v>
      </c>
    </row>
    <row r="1317" spans="1:3" ht="19.5" hidden="1" x14ac:dyDescent="0.35">
      <c r="A1317" s="5">
        <v>3186</v>
      </c>
      <c r="B1317" s="6">
        <v>123.5</v>
      </c>
      <c r="C1317" s="8">
        <v>3.0884808013355698E-2</v>
      </c>
    </row>
    <row r="1318" spans="1:3" ht="19.5" hidden="1" x14ac:dyDescent="0.35">
      <c r="A1318" s="5">
        <v>3187</v>
      </c>
      <c r="B1318" s="6">
        <v>126.5</v>
      </c>
      <c r="C1318" s="8">
        <v>2.4291497975708499E-2</v>
      </c>
    </row>
    <row r="1319" spans="1:3" ht="19.5" hidden="1" x14ac:dyDescent="0.35">
      <c r="A1319" s="5">
        <v>3188</v>
      </c>
      <c r="B1319" s="6">
        <v>130.19999999999999</v>
      </c>
      <c r="C1319" s="8">
        <v>2.9249011857707299E-2</v>
      </c>
    </row>
    <row r="1320" spans="1:3" ht="19.5" hidden="1" x14ac:dyDescent="0.35">
      <c r="A1320" s="5">
        <v>3189</v>
      </c>
      <c r="B1320" s="6">
        <v>135.69999999999999</v>
      </c>
      <c r="C1320" s="8">
        <v>4.2242703533026199E-2</v>
      </c>
    </row>
    <row r="1321" spans="1:3" ht="19.5" hidden="1" x14ac:dyDescent="0.35">
      <c r="A1321" s="5">
        <v>3190</v>
      </c>
      <c r="B1321" s="6">
        <v>133.5</v>
      </c>
      <c r="C1321" s="8">
        <v>-1.6212232866617399E-2</v>
      </c>
    </row>
    <row r="1322" spans="1:3" ht="19.5" hidden="1" x14ac:dyDescent="0.35">
      <c r="A1322" s="5">
        <v>3191</v>
      </c>
      <c r="B1322" s="6">
        <v>133</v>
      </c>
      <c r="C1322" s="8">
        <v>-3.7453183520599303E-3</v>
      </c>
    </row>
    <row r="1323" spans="1:3" ht="19.5" hidden="1" x14ac:dyDescent="0.35">
      <c r="A1323" s="5">
        <v>3192</v>
      </c>
      <c r="B1323" s="6">
        <v>128.4</v>
      </c>
      <c r="C1323" s="8">
        <v>-3.4586466165413499E-2</v>
      </c>
    </row>
    <row r="1324" spans="1:3" ht="19.5" hidden="1" x14ac:dyDescent="0.35">
      <c r="A1324" s="5">
        <v>3193</v>
      </c>
      <c r="B1324" s="6">
        <v>133.19999999999999</v>
      </c>
      <c r="C1324" s="8">
        <v>3.7383177570093198E-2</v>
      </c>
    </row>
    <row r="1325" spans="1:3" ht="19.5" hidden="1" x14ac:dyDescent="0.35">
      <c r="A1325" s="5">
        <v>3194</v>
      </c>
      <c r="B1325" s="6">
        <v>134.4</v>
      </c>
      <c r="C1325" s="8">
        <v>9.0090090090091408E-3</v>
      </c>
    </row>
    <row r="1326" spans="1:3" ht="19.5" hidden="1" x14ac:dyDescent="0.35">
      <c r="A1326" s="5">
        <v>3195</v>
      </c>
      <c r="B1326" s="6">
        <v>131.69999999999999</v>
      </c>
      <c r="C1326" s="8">
        <v>-2.0089285714285799E-2</v>
      </c>
    </row>
    <row r="1327" spans="1:3" ht="19.5" hidden="1" x14ac:dyDescent="0.35">
      <c r="A1327" s="5">
        <v>3196</v>
      </c>
      <c r="B1327" s="6">
        <v>132.30000000000001</v>
      </c>
      <c r="C1327" s="8">
        <v>4.5558086560366605E-3</v>
      </c>
    </row>
    <row r="1328" spans="1:3" ht="19.5" hidden="1" x14ac:dyDescent="0.35">
      <c r="A1328" s="5">
        <v>3197</v>
      </c>
      <c r="B1328" s="6">
        <v>129.1</v>
      </c>
      <c r="C1328" s="8">
        <v>-2.4187452758881501E-2</v>
      </c>
    </row>
    <row r="1329" spans="1:3" ht="19.5" hidden="1" x14ac:dyDescent="0.35">
      <c r="A1329" s="5">
        <v>3198</v>
      </c>
      <c r="B1329" s="6">
        <v>129.6</v>
      </c>
      <c r="C1329" s="8">
        <v>3.8729666924863801E-3</v>
      </c>
    </row>
    <row r="1330" spans="1:3" ht="19.5" x14ac:dyDescent="0.35">
      <c r="A1330" s="5">
        <v>3199</v>
      </c>
      <c r="B1330" s="6">
        <v>118.3</v>
      </c>
      <c r="C1330" s="8">
        <v>-8.7191358024691398E-2</v>
      </c>
    </row>
    <row r="1331" spans="1:3" ht="19.5" hidden="1" x14ac:dyDescent="0.35">
      <c r="A1331" s="5">
        <v>3200</v>
      </c>
      <c r="B1331" s="6">
        <v>119.8</v>
      </c>
      <c r="C1331" s="8">
        <v>1.2679628064243399E-2</v>
      </c>
    </row>
    <row r="1332" spans="1:3" ht="19.5" hidden="1" x14ac:dyDescent="0.35">
      <c r="A1332" s="5">
        <v>3201</v>
      </c>
      <c r="B1332" s="6">
        <v>122.9</v>
      </c>
      <c r="C1332" s="8">
        <v>2.58764607679467E-2</v>
      </c>
    </row>
    <row r="1333" spans="1:3" ht="19.5" hidden="1" x14ac:dyDescent="0.35">
      <c r="A1333" s="5">
        <v>3202</v>
      </c>
      <c r="B1333" s="6">
        <v>123.8</v>
      </c>
      <c r="C1333" s="8">
        <v>7.3230268510984207E-3</v>
      </c>
    </row>
    <row r="1334" spans="1:3" ht="19.5" x14ac:dyDescent="0.35">
      <c r="A1334" s="5">
        <v>3203</v>
      </c>
      <c r="B1334" s="6">
        <v>117.3</v>
      </c>
      <c r="C1334" s="8">
        <v>-5.2504038772213199E-2</v>
      </c>
    </row>
    <row r="1335" spans="1:3" ht="19.5" hidden="1" x14ac:dyDescent="0.35">
      <c r="A1335" s="5">
        <v>3204</v>
      </c>
      <c r="B1335" s="6">
        <v>114.5</v>
      </c>
      <c r="C1335" s="8">
        <v>-2.38704177323102E-2</v>
      </c>
    </row>
    <row r="1336" spans="1:3" ht="19.5" hidden="1" x14ac:dyDescent="0.35">
      <c r="A1336" s="5">
        <v>3205</v>
      </c>
      <c r="B1336" s="6">
        <v>110.8</v>
      </c>
      <c r="C1336" s="8">
        <v>-3.2314410480349297E-2</v>
      </c>
    </row>
    <row r="1337" spans="1:3" ht="19.5" hidden="1" x14ac:dyDescent="0.35">
      <c r="A1337" s="5">
        <v>3206</v>
      </c>
      <c r="B1337" s="6">
        <v>116.3</v>
      </c>
      <c r="C1337" s="8">
        <v>4.9638989169675102E-2</v>
      </c>
    </row>
    <row r="1338" spans="1:3" ht="19.5" hidden="1" x14ac:dyDescent="0.35">
      <c r="A1338" s="5">
        <v>3207</v>
      </c>
      <c r="B1338" s="6">
        <v>116.4</v>
      </c>
      <c r="C1338" s="8">
        <v>8.5984522785898009E-4</v>
      </c>
    </row>
    <row r="1339" spans="1:3" ht="19.5" x14ac:dyDescent="0.35">
      <c r="A1339" s="5">
        <v>3208</v>
      </c>
      <c r="B1339" s="6">
        <v>109.7</v>
      </c>
      <c r="C1339" s="8">
        <v>-5.7560137457044698E-2</v>
      </c>
    </row>
    <row r="1340" spans="1:3" ht="19.5" hidden="1" x14ac:dyDescent="0.35">
      <c r="A1340" s="5">
        <v>3209</v>
      </c>
      <c r="B1340" s="6">
        <v>109.4</v>
      </c>
      <c r="C1340" s="8">
        <v>-2.73473108477662E-3</v>
      </c>
    </row>
    <row r="1341" spans="1:3" ht="19.5" hidden="1" x14ac:dyDescent="0.35">
      <c r="A1341" s="5">
        <v>3210</v>
      </c>
      <c r="B1341" s="6">
        <v>109.7</v>
      </c>
      <c r="C1341" s="8">
        <v>2.7422303473492201E-3</v>
      </c>
    </row>
    <row r="1342" spans="1:3" ht="19.5" hidden="1" x14ac:dyDescent="0.35">
      <c r="A1342" s="5">
        <v>3211</v>
      </c>
      <c r="B1342" s="6">
        <v>122.4</v>
      </c>
      <c r="C1342" s="8">
        <v>0.115770282588879</v>
      </c>
    </row>
    <row r="1343" spans="1:3" ht="19.5" hidden="1" x14ac:dyDescent="0.35">
      <c r="A1343" s="5">
        <v>3212</v>
      </c>
      <c r="B1343" s="6">
        <v>132.69999999999999</v>
      </c>
      <c r="C1343" s="8">
        <v>8.41503267973856E-2</v>
      </c>
    </row>
    <row r="1344" spans="1:3" ht="19.5" hidden="1" x14ac:dyDescent="0.35">
      <c r="A1344" s="5">
        <v>3213</v>
      </c>
      <c r="B1344" s="6">
        <v>138.1</v>
      </c>
      <c r="C1344" s="8">
        <v>4.0693293142426597E-2</v>
      </c>
    </row>
    <row r="1345" spans="1:3" ht="19.5" hidden="1" x14ac:dyDescent="0.35">
      <c r="A1345" s="5">
        <v>3214</v>
      </c>
      <c r="B1345" s="6">
        <v>139.4</v>
      </c>
      <c r="C1345" s="8">
        <v>9.4134685010862605E-3</v>
      </c>
    </row>
    <row r="1346" spans="1:3" ht="19.5" hidden="1" x14ac:dyDescent="0.35">
      <c r="A1346" s="5">
        <v>3215</v>
      </c>
      <c r="B1346" s="6">
        <v>144.30000000000001</v>
      </c>
      <c r="C1346" s="8">
        <v>3.5150645624103298E-2</v>
      </c>
    </row>
    <row r="1347" spans="1:3" ht="19.5" hidden="1" x14ac:dyDescent="0.35">
      <c r="A1347" s="5">
        <v>3216</v>
      </c>
      <c r="B1347" s="6">
        <v>146.80000000000001</v>
      </c>
      <c r="C1347" s="8">
        <v>1.7325017325017199E-2</v>
      </c>
    </row>
    <row r="1348" spans="1:3" ht="19.5" hidden="1" x14ac:dyDescent="0.35">
      <c r="A1348" s="5">
        <v>3217</v>
      </c>
      <c r="B1348" s="6">
        <v>151.9</v>
      </c>
      <c r="C1348" s="8">
        <v>3.4741144414168999E-2</v>
      </c>
    </row>
    <row r="1349" spans="1:3" ht="19.5" hidden="1" x14ac:dyDescent="0.35">
      <c r="A1349" s="5">
        <v>3218</v>
      </c>
      <c r="B1349" s="6">
        <v>157.69999999999999</v>
      </c>
      <c r="C1349" s="8">
        <v>3.8183015141540301E-2</v>
      </c>
    </row>
    <row r="1350" spans="1:3" ht="19.5" hidden="1" x14ac:dyDescent="0.35">
      <c r="A1350" s="5">
        <v>3219</v>
      </c>
      <c r="B1350" s="6">
        <v>164.1</v>
      </c>
      <c r="C1350" s="8">
        <v>4.0583386176284098E-2</v>
      </c>
    </row>
    <row r="1351" spans="1:3" ht="19.5" hidden="1" x14ac:dyDescent="0.35">
      <c r="A1351" s="5">
        <v>3220</v>
      </c>
      <c r="B1351" s="6">
        <v>166.4</v>
      </c>
      <c r="C1351" s="8">
        <v>1.40158439975626E-2</v>
      </c>
    </row>
    <row r="1352" spans="1:3" ht="19.5" hidden="1" x14ac:dyDescent="0.35">
      <c r="A1352" s="5">
        <v>3221</v>
      </c>
      <c r="B1352" s="6">
        <v>167</v>
      </c>
      <c r="C1352" s="8">
        <v>3.6057692307691603E-3</v>
      </c>
    </row>
    <row r="1353" spans="1:3" ht="19.5" hidden="1" x14ac:dyDescent="0.35">
      <c r="A1353" s="5">
        <v>3222</v>
      </c>
      <c r="B1353" s="6">
        <v>162.4</v>
      </c>
      <c r="C1353" s="8">
        <v>-2.75449101796407E-2</v>
      </c>
    </row>
    <row r="1354" spans="1:3" ht="19.5" hidden="1" x14ac:dyDescent="0.35">
      <c r="A1354" s="5">
        <v>3223</v>
      </c>
      <c r="B1354" s="6">
        <v>167.2</v>
      </c>
      <c r="C1354" s="8">
        <v>2.95566502463054E-2</v>
      </c>
    </row>
    <row r="1355" spans="1:3" ht="19.5" hidden="1" x14ac:dyDescent="0.35">
      <c r="A1355" s="5">
        <v>3224</v>
      </c>
      <c r="B1355" s="6">
        <v>167.7</v>
      </c>
      <c r="C1355" s="8">
        <v>2.99043062200965E-3</v>
      </c>
    </row>
    <row r="1356" spans="1:3" ht="19.5" hidden="1" x14ac:dyDescent="0.35">
      <c r="A1356" s="5">
        <v>3225</v>
      </c>
      <c r="B1356" s="6">
        <v>165.2</v>
      </c>
      <c r="C1356" s="8">
        <v>-1.49075730471079E-2</v>
      </c>
    </row>
    <row r="1357" spans="1:3" ht="19.5" hidden="1" x14ac:dyDescent="0.35">
      <c r="A1357" s="5">
        <v>3226</v>
      </c>
      <c r="B1357" s="6">
        <v>164.4</v>
      </c>
      <c r="C1357" s="8">
        <v>-4.8426150121064805E-3</v>
      </c>
    </row>
    <row r="1358" spans="1:3" ht="19.5" hidden="1" x14ac:dyDescent="0.35">
      <c r="A1358" s="5">
        <v>3227</v>
      </c>
      <c r="B1358" s="6">
        <v>166.4</v>
      </c>
      <c r="C1358" s="8">
        <v>1.2165450121654599E-2</v>
      </c>
    </row>
    <row r="1359" spans="1:3" ht="19.5" x14ac:dyDescent="0.35">
      <c r="A1359" s="5">
        <v>3228</v>
      </c>
      <c r="B1359" s="6">
        <v>157.30000000000001</v>
      </c>
      <c r="C1359" s="8">
        <v>-5.46875E-2</v>
      </c>
    </row>
    <row r="1360" spans="1:3" ht="19.5" hidden="1" x14ac:dyDescent="0.35">
      <c r="A1360" s="5">
        <v>3229</v>
      </c>
      <c r="B1360" s="6">
        <v>157.4</v>
      </c>
      <c r="C1360" s="8">
        <v>6.3572790845523009E-4</v>
      </c>
    </row>
    <row r="1361" spans="1:3" ht="19.5" hidden="1" x14ac:dyDescent="0.35">
      <c r="A1361" s="5">
        <v>3230</v>
      </c>
      <c r="B1361" s="6">
        <v>157.6</v>
      </c>
      <c r="C1361" s="8">
        <v>1.2706480304955901E-3</v>
      </c>
    </row>
    <row r="1362" spans="1:3" ht="19.5" hidden="1" x14ac:dyDescent="0.35">
      <c r="A1362" s="5">
        <v>3231</v>
      </c>
      <c r="B1362" s="6">
        <v>156.6</v>
      </c>
      <c r="C1362" s="8">
        <v>-6.3451776649746704E-3</v>
      </c>
    </row>
    <row r="1363" spans="1:3" ht="19.5" hidden="1" x14ac:dyDescent="0.35">
      <c r="A1363" s="5">
        <v>3232</v>
      </c>
      <c r="B1363" s="6">
        <v>153.1</v>
      </c>
      <c r="C1363" s="8">
        <v>-2.2349936143039598E-2</v>
      </c>
    </row>
    <row r="1364" spans="1:3" ht="19.5" hidden="1" x14ac:dyDescent="0.35">
      <c r="A1364" s="5">
        <v>3233</v>
      </c>
      <c r="B1364" s="6">
        <v>151.1</v>
      </c>
      <c r="C1364" s="8">
        <v>-1.3063357282821699E-2</v>
      </c>
    </row>
    <row r="1365" spans="1:3" ht="19.5" hidden="1" x14ac:dyDescent="0.35">
      <c r="A1365" s="5">
        <v>3234</v>
      </c>
      <c r="B1365" s="6">
        <v>164.4</v>
      </c>
      <c r="C1365" s="8">
        <v>8.8021178027796201E-2</v>
      </c>
    </row>
    <row r="1366" spans="1:3" ht="19.5" hidden="1" x14ac:dyDescent="0.35">
      <c r="A1366" s="5">
        <v>3235</v>
      </c>
      <c r="B1366" s="6">
        <v>166.1</v>
      </c>
      <c r="C1366" s="8">
        <v>1.03406326034063E-2</v>
      </c>
    </row>
    <row r="1367" spans="1:3" ht="19.5" hidden="1" x14ac:dyDescent="0.35">
      <c r="A1367" s="5">
        <v>3236</v>
      </c>
      <c r="B1367" s="6">
        <v>164.8</v>
      </c>
      <c r="C1367" s="8">
        <v>-7.8266104756169498E-3</v>
      </c>
    </row>
    <row r="1368" spans="1:3" ht="19.5" hidden="1" x14ac:dyDescent="0.35">
      <c r="A1368" s="5">
        <v>3237</v>
      </c>
      <c r="B1368" s="6">
        <v>166.3</v>
      </c>
      <c r="C1368" s="8">
        <v>9.101941747572841E-3</v>
      </c>
    </row>
    <row r="1369" spans="1:3" ht="19.5" hidden="1" x14ac:dyDescent="0.35">
      <c r="A1369" s="5">
        <v>3238</v>
      </c>
      <c r="B1369" s="6">
        <v>164.5</v>
      </c>
      <c r="C1369" s="8">
        <v>-1.0823812387252101E-2</v>
      </c>
    </row>
    <row r="1370" spans="1:3" ht="19.5" hidden="1" x14ac:dyDescent="0.35">
      <c r="A1370" s="5">
        <v>3239</v>
      </c>
      <c r="B1370" s="6">
        <v>171.6</v>
      </c>
      <c r="C1370" s="8">
        <v>4.3161094224923896E-2</v>
      </c>
    </row>
    <row r="1371" spans="1:3" ht="19.5" hidden="1" x14ac:dyDescent="0.35">
      <c r="A1371" s="5">
        <v>3240</v>
      </c>
      <c r="B1371" s="6">
        <v>180.9</v>
      </c>
      <c r="C1371" s="8">
        <v>5.4195804195804199E-2</v>
      </c>
    </row>
    <row r="1372" spans="1:3" ht="19.5" hidden="1" x14ac:dyDescent="0.35">
      <c r="A1372" s="5">
        <v>3241</v>
      </c>
      <c r="B1372" s="6">
        <v>179.4</v>
      </c>
      <c r="C1372" s="8">
        <v>-8.2918739635157203E-3</v>
      </c>
    </row>
    <row r="1373" spans="1:3" ht="19.5" hidden="1" x14ac:dyDescent="0.35">
      <c r="A1373" s="5">
        <v>3242</v>
      </c>
      <c r="B1373" s="6">
        <v>180.6</v>
      </c>
      <c r="C1373" s="8">
        <v>6.6889632107023402E-3</v>
      </c>
    </row>
    <row r="1374" spans="1:3" ht="19.5" hidden="1" x14ac:dyDescent="0.35">
      <c r="A1374" s="5">
        <v>3243</v>
      </c>
      <c r="B1374" s="6">
        <v>184.9</v>
      </c>
      <c r="C1374" s="8">
        <v>2.3809523809523898E-2</v>
      </c>
    </row>
    <row r="1375" spans="1:3" ht="19.5" hidden="1" x14ac:dyDescent="0.35">
      <c r="A1375" s="5">
        <v>3244</v>
      </c>
      <c r="B1375" s="6">
        <v>188.9</v>
      </c>
      <c r="C1375" s="8">
        <v>2.16333153055706E-2</v>
      </c>
    </row>
    <row r="1376" spans="1:3" ht="19.5" hidden="1" x14ac:dyDescent="0.35">
      <c r="A1376" s="5">
        <v>3245</v>
      </c>
      <c r="B1376" s="6">
        <v>192.5</v>
      </c>
      <c r="C1376" s="8">
        <v>1.9057702488088898E-2</v>
      </c>
    </row>
    <row r="1377" spans="1:3" ht="19.5" hidden="1" x14ac:dyDescent="0.35">
      <c r="A1377" s="5">
        <v>3246</v>
      </c>
      <c r="B1377" s="6">
        <v>188.3</v>
      </c>
      <c r="C1377" s="8">
        <v>-2.1818181818181698E-2</v>
      </c>
    </row>
    <row r="1378" spans="1:3" ht="19.5" hidden="1" x14ac:dyDescent="0.35">
      <c r="A1378" s="5">
        <v>3247</v>
      </c>
      <c r="B1378" s="6">
        <v>184.1</v>
      </c>
      <c r="C1378" s="8">
        <v>-2.2304832713754698E-2</v>
      </c>
    </row>
    <row r="1379" spans="1:3" ht="19.5" hidden="1" x14ac:dyDescent="0.35">
      <c r="A1379" s="5">
        <v>3248</v>
      </c>
      <c r="B1379" s="6">
        <v>186.2</v>
      </c>
      <c r="C1379" s="8">
        <v>1.14068441064639E-2</v>
      </c>
    </row>
    <row r="1380" spans="1:3" ht="19.5" hidden="1" x14ac:dyDescent="0.35">
      <c r="A1380" s="5">
        <v>3249</v>
      </c>
      <c r="B1380" s="6">
        <v>197.5</v>
      </c>
      <c r="C1380" s="8">
        <v>6.0687432867884097E-2</v>
      </c>
    </row>
    <row r="1381" spans="1:3" ht="19.5" hidden="1" x14ac:dyDescent="0.35">
      <c r="A1381" s="5">
        <v>3250</v>
      </c>
      <c r="B1381" s="6">
        <v>207.3</v>
      </c>
      <c r="C1381" s="8">
        <v>4.96202531645571E-2</v>
      </c>
    </row>
    <row r="1382" spans="1:3" ht="19.5" hidden="1" x14ac:dyDescent="0.35">
      <c r="A1382" s="5">
        <v>3251</v>
      </c>
      <c r="B1382" s="6">
        <v>208.2</v>
      </c>
      <c r="C1382" s="8">
        <v>4.3415340086829807E-3</v>
      </c>
    </row>
    <row r="1383" spans="1:3" ht="19.5" hidden="1" x14ac:dyDescent="0.35">
      <c r="A1383" s="5">
        <v>3252</v>
      </c>
      <c r="B1383" s="6">
        <v>219.4</v>
      </c>
      <c r="C1383" s="8">
        <v>5.3794428434198002E-2</v>
      </c>
    </row>
    <row r="1384" spans="1:3" ht="19.5" hidden="1" x14ac:dyDescent="0.35">
      <c r="A1384" s="5">
        <v>3253</v>
      </c>
      <c r="B1384" s="6">
        <v>232.3</v>
      </c>
      <c r="C1384" s="8">
        <v>5.8796718322698296E-2</v>
      </c>
    </row>
    <row r="1385" spans="1:3" ht="19.5" hidden="1" x14ac:dyDescent="0.35">
      <c r="A1385" s="5">
        <v>3254</v>
      </c>
      <c r="B1385" s="6">
        <v>238</v>
      </c>
      <c r="C1385" s="8">
        <v>2.45372363323288E-2</v>
      </c>
    </row>
    <row r="1386" spans="1:3" ht="19.5" hidden="1" x14ac:dyDescent="0.35">
      <c r="A1386" s="5">
        <v>3255</v>
      </c>
      <c r="B1386" s="6">
        <v>238.5</v>
      </c>
      <c r="C1386" s="8">
        <v>2.1008403361344502E-3</v>
      </c>
    </row>
    <row r="1387" spans="1:3" ht="19.5" hidden="1" x14ac:dyDescent="0.35">
      <c r="A1387" s="5">
        <v>3256</v>
      </c>
      <c r="B1387" s="6">
        <v>245.3</v>
      </c>
      <c r="C1387" s="8">
        <v>2.8511530398323003E-2</v>
      </c>
    </row>
    <row r="1388" spans="1:3" ht="19.5" hidden="1" x14ac:dyDescent="0.35">
      <c r="A1388" s="5">
        <v>3257</v>
      </c>
      <c r="B1388" s="6">
        <v>240.2</v>
      </c>
      <c r="C1388" s="8">
        <v>-2.0790868324500701E-2</v>
      </c>
    </row>
    <row r="1389" spans="1:3" ht="19.5" hidden="1" x14ac:dyDescent="0.35">
      <c r="A1389" s="5">
        <v>3258</v>
      </c>
      <c r="B1389" s="6">
        <v>245</v>
      </c>
      <c r="C1389" s="8">
        <v>1.9983347210657899E-2</v>
      </c>
    </row>
    <row r="1390" spans="1:3" ht="19.5" hidden="1" x14ac:dyDescent="0.35">
      <c r="A1390" s="5">
        <v>3259</v>
      </c>
      <c r="B1390" s="6">
        <v>238.3</v>
      </c>
      <c r="C1390" s="8">
        <v>-2.7346938775510199E-2</v>
      </c>
    </row>
    <row r="1391" spans="1:3" ht="19.5" hidden="1" x14ac:dyDescent="0.35">
      <c r="A1391" s="5">
        <v>3260</v>
      </c>
      <c r="B1391" s="6">
        <v>237.4</v>
      </c>
      <c r="C1391" s="8">
        <v>-3.7767519932857502E-3</v>
      </c>
    </row>
    <row r="1392" spans="1:3" ht="19.5" hidden="1" x14ac:dyDescent="0.35">
      <c r="A1392" s="5">
        <v>3261</v>
      </c>
      <c r="B1392" s="6">
        <v>245.1</v>
      </c>
      <c r="C1392" s="8">
        <v>3.2434709351305796E-2</v>
      </c>
    </row>
    <row r="1393" spans="1:3" ht="19.5" hidden="1" x14ac:dyDescent="0.35">
      <c r="A1393" s="5">
        <v>3262</v>
      </c>
      <c r="B1393" s="6">
        <v>248.6</v>
      </c>
      <c r="C1393" s="8">
        <v>1.42798857609139E-2</v>
      </c>
    </row>
    <row r="1394" spans="1:3" ht="19.5" hidden="1" x14ac:dyDescent="0.35">
      <c r="A1394" s="5">
        <v>3263</v>
      </c>
      <c r="B1394" s="6">
        <v>264.5</v>
      </c>
      <c r="C1394" s="8">
        <v>6.3958165728077193E-2</v>
      </c>
    </row>
    <row r="1395" spans="1:3" ht="19.5" hidden="1" x14ac:dyDescent="0.35">
      <c r="A1395" s="5">
        <v>3264</v>
      </c>
      <c r="B1395" s="6">
        <v>280.89999999999998</v>
      </c>
      <c r="C1395" s="8">
        <v>6.2003780718336496E-2</v>
      </c>
    </row>
    <row r="1396" spans="1:3" ht="19.5" hidden="1" x14ac:dyDescent="0.35">
      <c r="A1396" s="5">
        <v>3265</v>
      </c>
      <c r="B1396" s="6">
        <v>292.5</v>
      </c>
      <c r="C1396" s="8">
        <v>4.1295834816660798E-2</v>
      </c>
    </row>
    <row r="1397" spans="1:3" ht="19.5" hidden="1" x14ac:dyDescent="0.35">
      <c r="A1397" s="5">
        <v>3266</v>
      </c>
      <c r="B1397" s="6">
        <v>289.3</v>
      </c>
      <c r="C1397" s="8">
        <v>-1.09401709401709E-2</v>
      </c>
    </row>
    <row r="1398" spans="1:3" ht="19.5" hidden="1" x14ac:dyDescent="0.35">
      <c r="A1398" s="5">
        <v>3267</v>
      </c>
      <c r="B1398" s="6">
        <v>289.10000000000002</v>
      </c>
      <c r="C1398" s="8">
        <v>-6.9132388524018008E-4</v>
      </c>
    </row>
    <row r="1399" spans="1:3" ht="19.5" hidden="1" x14ac:dyDescent="0.35">
      <c r="A1399" s="5">
        <v>3268</v>
      </c>
      <c r="B1399" s="6">
        <v>301.39999999999998</v>
      </c>
      <c r="C1399" s="8">
        <v>4.2545831892078598E-2</v>
      </c>
    </row>
    <row r="1400" spans="1:3" ht="19.5" hidden="1" x14ac:dyDescent="0.35">
      <c r="A1400" s="5">
        <v>3269</v>
      </c>
      <c r="B1400" s="6">
        <v>310.10000000000002</v>
      </c>
      <c r="C1400" s="8">
        <v>2.8865295288653003E-2</v>
      </c>
    </row>
    <row r="1401" spans="1:3" ht="19.5" hidden="1" x14ac:dyDescent="0.35">
      <c r="A1401" s="5">
        <v>3270</v>
      </c>
      <c r="B1401" s="6">
        <v>329.4</v>
      </c>
      <c r="C1401" s="8">
        <v>6.2237987745888297E-2</v>
      </c>
    </row>
    <row r="1402" spans="1:3" ht="19.5" hidden="1" x14ac:dyDescent="0.35">
      <c r="A1402" s="5">
        <v>3271</v>
      </c>
      <c r="B1402" s="6">
        <v>318.7</v>
      </c>
      <c r="C1402" s="8">
        <v>-3.24833029751063E-2</v>
      </c>
    </row>
    <row r="1403" spans="1:3" ht="19.5" x14ac:dyDescent="0.35">
      <c r="A1403" s="5">
        <v>3272</v>
      </c>
      <c r="B1403" s="6">
        <v>280.2</v>
      </c>
      <c r="C1403" s="8">
        <v>-0.12080326325698201</v>
      </c>
    </row>
    <row r="1404" spans="1:3" ht="19.5" x14ac:dyDescent="0.35">
      <c r="A1404" s="5">
        <v>3273</v>
      </c>
      <c r="B1404" s="6">
        <v>245</v>
      </c>
      <c r="C1404" s="8">
        <v>-0.12562455389007801</v>
      </c>
    </row>
    <row r="1405" spans="1:3" ht="19.5" hidden="1" x14ac:dyDescent="0.35">
      <c r="A1405" s="5">
        <v>3274</v>
      </c>
      <c r="B1405" s="6">
        <v>241</v>
      </c>
      <c r="C1405" s="8">
        <v>-1.6326530612244899E-2</v>
      </c>
    </row>
    <row r="1406" spans="1:3" ht="19.5" hidden="1" x14ac:dyDescent="0.35">
      <c r="A1406" s="5">
        <v>3275</v>
      </c>
      <c r="B1406" s="6">
        <v>250.5</v>
      </c>
      <c r="C1406" s="8">
        <v>3.9419087136929501E-2</v>
      </c>
    </row>
    <row r="1407" spans="1:3" ht="19.5" hidden="1" x14ac:dyDescent="0.35">
      <c r="A1407" s="5">
        <v>3276</v>
      </c>
      <c r="B1407" s="6">
        <v>258.10000000000002</v>
      </c>
      <c r="C1407" s="8">
        <v>3.0339321357285599E-2</v>
      </c>
    </row>
    <row r="1408" spans="1:3" ht="19.5" hidden="1" x14ac:dyDescent="0.35">
      <c r="A1408" s="5">
        <v>3277</v>
      </c>
      <c r="B1408" s="6">
        <v>265.7</v>
      </c>
      <c r="C1408" s="8">
        <v>2.94459511817124E-2</v>
      </c>
    </row>
    <row r="1409" spans="1:3" ht="19.5" hidden="1" x14ac:dyDescent="0.35">
      <c r="A1409" s="5">
        <v>3278</v>
      </c>
      <c r="B1409" s="6">
        <v>262.60000000000002</v>
      </c>
      <c r="C1409" s="8">
        <v>-1.16672939405343E-2</v>
      </c>
    </row>
    <row r="1410" spans="1:3" ht="19.5" hidden="1" x14ac:dyDescent="0.35">
      <c r="A1410" s="5">
        <v>3279</v>
      </c>
      <c r="B1410" s="6">
        <v>256.10000000000002</v>
      </c>
      <c r="C1410" s="8">
        <v>-2.4752475247524799E-2</v>
      </c>
    </row>
    <row r="1411" spans="1:3" ht="19.5" hidden="1" x14ac:dyDescent="0.35">
      <c r="A1411" s="5">
        <v>3280</v>
      </c>
      <c r="B1411" s="6">
        <v>270.7</v>
      </c>
      <c r="C1411" s="8">
        <v>5.7008980866848802E-2</v>
      </c>
    </row>
    <row r="1412" spans="1:3" ht="19.5" hidden="1" x14ac:dyDescent="0.35">
      <c r="A1412" s="5">
        <v>3281</v>
      </c>
      <c r="B1412" s="6">
        <v>269.10000000000002</v>
      </c>
      <c r="C1412" s="8">
        <v>-5.9106021425931994E-3</v>
      </c>
    </row>
    <row r="1413" spans="1:3" ht="19.5" hidden="1" x14ac:dyDescent="0.35">
      <c r="A1413" s="5">
        <v>3282</v>
      </c>
      <c r="B1413" s="6">
        <v>263.7</v>
      </c>
      <c r="C1413" s="8">
        <v>-2.00668896321071E-2</v>
      </c>
    </row>
    <row r="1414" spans="1:3" ht="19.5" hidden="1" x14ac:dyDescent="0.35">
      <c r="A1414" s="5">
        <v>3283</v>
      </c>
      <c r="B1414" s="6">
        <v>268</v>
      </c>
      <c r="C1414" s="8">
        <v>1.6306408797876398E-2</v>
      </c>
    </row>
    <row r="1415" spans="1:3" ht="19.5" hidden="1" x14ac:dyDescent="0.35">
      <c r="A1415" s="5">
        <v>3284</v>
      </c>
      <c r="B1415" s="6">
        <v>277.39999999999998</v>
      </c>
      <c r="C1415" s="8">
        <v>3.5074626865671601E-2</v>
      </c>
    </row>
    <row r="1416" spans="1:3" ht="19.5" hidden="1" x14ac:dyDescent="0.35">
      <c r="A1416" s="5">
        <v>3285</v>
      </c>
      <c r="B1416" s="6">
        <v>271</v>
      </c>
      <c r="C1416" s="8">
        <v>-2.3071377072818901E-2</v>
      </c>
    </row>
    <row r="1417" spans="1:3" ht="19.5" hidden="1" x14ac:dyDescent="0.35">
      <c r="A1417" s="5">
        <v>3286</v>
      </c>
      <c r="B1417" s="6">
        <v>276.5</v>
      </c>
      <c r="C1417" s="8">
        <v>2.0295202952029599E-2</v>
      </c>
    </row>
    <row r="1418" spans="1:3" ht="19.5" hidden="1" x14ac:dyDescent="0.35">
      <c r="A1418" s="5">
        <v>3287</v>
      </c>
      <c r="B1418" s="6">
        <v>285.39999999999998</v>
      </c>
      <c r="C1418" s="8">
        <v>3.21880650994575E-2</v>
      </c>
    </row>
    <row r="1419" spans="1:3" ht="19.5" hidden="1" x14ac:dyDescent="0.35">
      <c r="A1419" s="5">
        <v>3288</v>
      </c>
      <c r="B1419" s="6">
        <v>294</v>
      </c>
      <c r="C1419" s="8">
        <v>3.0133146461107201E-2</v>
      </c>
    </row>
    <row r="1420" spans="1:3" ht="19.5" hidden="1" x14ac:dyDescent="0.35">
      <c r="A1420" s="5">
        <v>3289</v>
      </c>
      <c r="B1420" s="6">
        <v>292.7</v>
      </c>
      <c r="C1420" s="8">
        <v>-4.4217687074830101E-3</v>
      </c>
    </row>
    <row r="1421" spans="1:3" ht="19.5" hidden="1" x14ac:dyDescent="0.35">
      <c r="A1421" s="5">
        <v>3290</v>
      </c>
      <c r="B1421" s="6">
        <v>302.3</v>
      </c>
      <c r="C1421" s="8">
        <v>3.2798086778271299E-2</v>
      </c>
    </row>
    <row r="1422" spans="1:3" ht="19.5" hidden="1" x14ac:dyDescent="0.35">
      <c r="A1422" s="5">
        <v>3291</v>
      </c>
      <c r="B1422" s="6">
        <v>313.89999999999998</v>
      </c>
      <c r="C1422" s="8">
        <v>3.8372477671187302E-2</v>
      </c>
    </row>
    <row r="1423" spans="1:3" ht="19.5" hidden="1" x14ac:dyDescent="0.35">
      <c r="A1423" s="5">
        <v>3292</v>
      </c>
      <c r="B1423" s="6">
        <v>323.7</v>
      </c>
      <c r="C1423" s="8">
        <v>3.12201338005735E-2</v>
      </c>
    </row>
    <row r="1424" spans="1:3" ht="19.5" hidden="1" x14ac:dyDescent="0.35">
      <c r="A1424" s="5">
        <v>3293</v>
      </c>
      <c r="B1424" s="6">
        <v>331.9</v>
      </c>
      <c r="C1424" s="8">
        <v>2.5332097621254299E-2</v>
      </c>
    </row>
    <row r="1425" spans="1:3" ht="19.5" hidden="1" x14ac:dyDescent="0.35">
      <c r="A1425" s="5">
        <v>3294</v>
      </c>
      <c r="B1425" s="6">
        <v>346.6</v>
      </c>
      <c r="C1425" s="8">
        <v>4.4290448930400801E-2</v>
      </c>
    </row>
    <row r="1426" spans="1:3" ht="19.5" hidden="1" x14ac:dyDescent="0.35">
      <c r="A1426" s="5">
        <v>3295</v>
      </c>
      <c r="B1426" s="6">
        <v>347.3</v>
      </c>
      <c r="C1426" s="8">
        <v>2.0196191575303502E-3</v>
      </c>
    </row>
    <row r="1427" spans="1:3" ht="19.5" hidden="1" x14ac:dyDescent="0.35">
      <c r="A1427" s="5">
        <v>3296</v>
      </c>
      <c r="B1427" s="6">
        <v>347.4</v>
      </c>
      <c r="C1427" s="8">
        <v>2.8793550244743404E-4</v>
      </c>
    </row>
    <row r="1428" spans="1:3" ht="19.5" hidden="1" x14ac:dyDescent="0.35">
      <c r="A1428" s="5">
        <v>3297</v>
      </c>
      <c r="B1428" s="6">
        <v>340.2</v>
      </c>
      <c r="C1428" s="8">
        <v>-2.0725388601036201E-2</v>
      </c>
    </row>
    <row r="1429" spans="1:3" ht="19.5" hidden="1" x14ac:dyDescent="0.35">
      <c r="A1429" s="5">
        <v>3298</v>
      </c>
      <c r="B1429" s="6">
        <v>348.6</v>
      </c>
      <c r="C1429" s="8">
        <v>2.4691358024691499E-2</v>
      </c>
    </row>
    <row r="1430" spans="1:3" ht="19.5" hidden="1" x14ac:dyDescent="0.35">
      <c r="A1430" s="5">
        <v>3299</v>
      </c>
      <c r="B1430" s="6">
        <v>339.97</v>
      </c>
      <c r="C1430" s="8">
        <v>-2.47561675272518E-2</v>
      </c>
    </row>
    <row r="1431" spans="1:3" ht="19.5" hidden="1" x14ac:dyDescent="0.35">
      <c r="A1431" s="5">
        <v>3300</v>
      </c>
      <c r="B1431" s="6">
        <v>330.45</v>
      </c>
      <c r="C1431" s="8">
        <v>-2.8002470806247699E-2</v>
      </c>
    </row>
    <row r="1432" spans="1:3" ht="19.5" hidden="1" x14ac:dyDescent="0.35">
      <c r="A1432" s="5">
        <v>3301</v>
      </c>
      <c r="B1432" s="6">
        <v>338.46</v>
      </c>
      <c r="C1432" s="8">
        <v>2.4239673172946001E-2</v>
      </c>
    </row>
    <row r="1433" spans="1:3" ht="19.5" hidden="1" x14ac:dyDescent="0.35">
      <c r="A1433" s="5">
        <v>3302</v>
      </c>
      <c r="B1433" s="6">
        <v>338.18</v>
      </c>
      <c r="C1433" s="8">
        <v>-8.2727648762026507E-4</v>
      </c>
    </row>
    <row r="1434" spans="1:3" ht="19.5" hidden="1" x14ac:dyDescent="0.35">
      <c r="A1434" s="5">
        <v>3303</v>
      </c>
      <c r="B1434" s="6">
        <v>350.25</v>
      </c>
      <c r="C1434" s="8">
        <v>3.5691052102430697E-2</v>
      </c>
    </row>
    <row r="1435" spans="1:3" ht="19.5" hidden="1" x14ac:dyDescent="0.35">
      <c r="A1435" s="5">
        <v>3304</v>
      </c>
      <c r="B1435" s="6">
        <v>360.39</v>
      </c>
      <c r="C1435" s="8">
        <v>2.89507494646681E-2</v>
      </c>
    </row>
    <row r="1436" spans="1:3" ht="19.5" hidden="1" x14ac:dyDescent="0.35">
      <c r="A1436" s="5">
        <v>3305</v>
      </c>
      <c r="B1436" s="6">
        <v>360.03</v>
      </c>
      <c r="C1436" s="8">
        <v>-9.9891783900774001E-4</v>
      </c>
    </row>
    <row r="1437" spans="1:3" ht="19.5" x14ac:dyDescent="0.35">
      <c r="A1437" s="5">
        <v>3306</v>
      </c>
      <c r="B1437" s="6">
        <v>330.75</v>
      </c>
      <c r="C1437" s="8">
        <v>-8.1326556120323301E-2</v>
      </c>
    </row>
    <row r="1438" spans="1:3" ht="19.5" hidden="1" x14ac:dyDescent="0.35">
      <c r="A1438" s="5">
        <v>3307</v>
      </c>
      <c r="B1438" s="6">
        <v>315.41000000000003</v>
      </c>
      <c r="C1438" s="8">
        <v>-4.6379440665154897E-2</v>
      </c>
    </row>
    <row r="1439" spans="1:3" ht="19.5" hidden="1" x14ac:dyDescent="0.35">
      <c r="A1439" s="5">
        <v>3308</v>
      </c>
      <c r="B1439" s="6">
        <v>307.12</v>
      </c>
      <c r="C1439" s="8">
        <v>-2.6283250372531101E-2</v>
      </c>
    </row>
    <row r="1440" spans="1:3" ht="19.5" hidden="1" x14ac:dyDescent="0.35">
      <c r="A1440" s="5">
        <v>3309</v>
      </c>
      <c r="B1440" s="6">
        <v>315.29000000000002</v>
      </c>
      <c r="C1440" s="8">
        <v>2.6601979682209002E-2</v>
      </c>
    </row>
    <row r="1441" spans="1:3" ht="19.5" hidden="1" x14ac:dyDescent="0.35">
      <c r="A1441" s="5">
        <v>3310</v>
      </c>
      <c r="B1441" s="6">
        <v>328.75</v>
      </c>
      <c r="C1441" s="8">
        <v>4.2690856037298899E-2</v>
      </c>
    </row>
    <row r="1442" spans="1:3" ht="19.5" hidden="1" x14ac:dyDescent="0.35">
      <c r="A1442" s="5">
        <v>3311</v>
      </c>
      <c r="B1442" s="6">
        <v>325.49</v>
      </c>
      <c r="C1442" s="8">
        <v>-9.9163498098858716E-3</v>
      </c>
    </row>
    <row r="1443" spans="1:3" ht="19.5" hidden="1" x14ac:dyDescent="0.35">
      <c r="A1443" s="5">
        <v>3312</v>
      </c>
      <c r="B1443" s="6">
        <v>362.26</v>
      </c>
      <c r="C1443" s="8">
        <v>0.11296814034225301</v>
      </c>
    </row>
    <row r="1444" spans="1:3" ht="19.5" hidden="1" x14ac:dyDescent="0.35">
      <c r="A1444" s="5">
        <v>3313</v>
      </c>
      <c r="B1444" s="6">
        <v>372.28</v>
      </c>
      <c r="C1444" s="8">
        <v>2.7659691933969999E-2</v>
      </c>
    </row>
    <row r="1445" spans="1:3" ht="19.5" hidden="1" x14ac:dyDescent="0.35">
      <c r="A1445" s="5">
        <v>3314</v>
      </c>
      <c r="B1445" s="6">
        <v>379.68</v>
      </c>
      <c r="C1445" s="8">
        <v>1.9877511550445901E-2</v>
      </c>
    </row>
    <row r="1446" spans="1:3" ht="19.5" hidden="1" x14ac:dyDescent="0.35">
      <c r="A1446" s="5">
        <v>3315</v>
      </c>
      <c r="B1446" s="6">
        <v>377.99</v>
      </c>
      <c r="C1446" s="8">
        <v>-4.45111672987775E-3</v>
      </c>
    </row>
    <row r="1447" spans="1:3" ht="19.5" hidden="1" x14ac:dyDescent="0.35">
      <c r="A1447" s="5">
        <v>3316</v>
      </c>
      <c r="B1447" s="6">
        <v>378.29</v>
      </c>
      <c r="C1447" s="8">
        <v>7.9367179025902101E-4</v>
      </c>
    </row>
    <row r="1448" spans="1:3" ht="19.5" hidden="1" x14ac:dyDescent="0.35">
      <c r="A1448" s="5">
        <v>3317</v>
      </c>
      <c r="B1448" s="6">
        <v>380.23</v>
      </c>
      <c r="C1448" s="8">
        <v>5.1283406910043201E-3</v>
      </c>
    </row>
    <row r="1449" spans="1:3" ht="19.5" hidden="1" x14ac:dyDescent="0.35">
      <c r="A1449" s="5">
        <v>3318</v>
      </c>
      <c r="B1449" s="6">
        <v>389.4</v>
      </c>
      <c r="C1449" s="8">
        <v>2.4116981826789001E-2</v>
      </c>
    </row>
    <row r="1450" spans="1:3" ht="19.5" hidden="1" x14ac:dyDescent="0.35">
      <c r="A1450" s="5">
        <v>3319</v>
      </c>
      <c r="B1450" s="6">
        <v>387.2</v>
      </c>
      <c r="C1450" s="8">
        <v>-5.64971751412424E-3</v>
      </c>
    </row>
    <row r="1451" spans="1:3" ht="19.5" hidden="1" x14ac:dyDescent="0.35">
      <c r="A1451" s="5">
        <v>3320</v>
      </c>
      <c r="B1451" s="6">
        <v>386.88</v>
      </c>
      <c r="C1451" s="8">
        <v>-8.2644628099171101E-4</v>
      </c>
    </row>
    <row r="1452" spans="1:3" ht="19.5" hidden="1" x14ac:dyDescent="0.35">
      <c r="A1452" s="5">
        <v>3321</v>
      </c>
      <c r="B1452" s="6">
        <v>385.92</v>
      </c>
      <c r="C1452" s="8">
        <v>-2.4813895781636802E-3</v>
      </c>
    </row>
    <row r="1453" spans="1:3" ht="19.5" hidden="1" x14ac:dyDescent="0.35">
      <c r="A1453" s="5">
        <v>3322</v>
      </c>
      <c r="B1453" s="6">
        <v>388.51</v>
      </c>
      <c r="C1453" s="8">
        <v>6.7112354892204804E-3</v>
      </c>
    </row>
    <row r="1454" spans="1:3" ht="19.5" hidden="1" x14ac:dyDescent="0.35">
      <c r="A1454" s="5">
        <v>3323</v>
      </c>
      <c r="B1454" s="6">
        <v>416.08</v>
      </c>
      <c r="C1454" s="8">
        <v>7.0963424364881095E-2</v>
      </c>
    </row>
    <row r="1455" spans="1:3" ht="19.5" hidden="1" x14ac:dyDescent="0.35">
      <c r="A1455" s="5">
        <v>3324</v>
      </c>
      <c r="B1455" s="6">
        <v>412.56</v>
      </c>
      <c r="C1455" s="8">
        <v>-8.4599115554700993E-3</v>
      </c>
    </row>
    <row r="1456" spans="1:3" ht="19.5" hidden="1" x14ac:dyDescent="0.35">
      <c r="A1456" s="5">
        <v>3325</v>
      </c>
      <c r="B1456" s="6">
        <v>407.36</v>
      </c>
      <c r="C1456" s="8">
        <v>-1.2604227263913101E-2</v>
      </c>
    </row>
    <row r="1457" spans="1:3" ht="19.5" hidden="1" x14ac:dyDescent="0.35">
      <c r="A1457" s="5">
        <v>3326</v>
      </c>
      <c r="B1457" s="6">
        <v>407.41</v>
      </c>
      <c r="C1457" s="8">
        <v>1.22741555381056E-4</v>
      </c>
    </row>
    <row r="1458" spans="1:3" ht="19.5" hidden="1" x14ac:dyDescent="0.35">
      <c r="A1458" s="5">
        <v>3327</v>
      </c>
      <c r="B1458" s="6">
        <v>414.81</v>
      </c>
      <c r="C1458" s="8">
        <v>1.8163520777595001E-2</v>
      </c>
    </row>
    <row r="1459" spans="1:3" ht="19.5" hidden="1" x14ac:dyDescent="0.35">
      <c r="A1459" s="5">
        <v>3328</v>
      </c>
      <c r="B1459" s="6">
        <v>408.27</v>
      </c>
      <c r="C1459" s="8">
        <v>-1.5766254429739002E-2</v>
      </c>
    </row>
    <row r="1460" spans="1:3" ht="19.5" hidden="1" x14ac:dyDescent="0.35">
      <c r="A1460" s="5">
        <v>3329</v>
      </c>
      <c r="B1460" s="6">
        <v>415.05</v>
      </c>
      <c r="C1460" s="8">
        <v>1.66066573591006E-2</v>
      </c>
    </row>
    <row r="1461" spans="1:3" ht="19.5" hidden="1" x14ac:dyDescent="0.35">
      <c r="A1461" s="5">
        <v>3330</v>
      </c>
      <c r="B1461" s="6">
        <v>417.93</v>
      </c>
      <c r="C1461" s="8">
        <v>6.9389230213228207E-3</v>
      </c>
    </row>
    <row r="1462" spans="1:3" ht="19.5" hidden="1" x14ac:dyDescent="0.35">
      <c r="A1462" s="5">
        <v>3331</v>
      </c>
      <c r="B1462" s="6">
        <v>418.48</v>
      </c>
      <c r="C1462" s="8">
        <v>1.3160098581102E-3</v>
      </c>
    </row>
    <row r="1463" spans="1:3" ht="19.5" hidden="1" x14ac:dyDescent="0.35">
      <c r="A1463" s="5">
        <v>3332</v>
      </c>
      <c r="B1463" s="6">
        <v>412.5</v>
      </c>
      <c r="C1463" s="8">
        <v>-1.42898107436437E-2</v>
      </c>
    </row>
    <row r="1464" spans="1:3" ht="19.5" hidden="1" x14ac:dyDescent="0.35">
      <c r="A1464" s="5">
        <v>3333</v>
      </c>
      <c r="B1464" s="6">
        <v>422.84</v>
      </c>
      <c r="C1464" s="8">
        <v>2.5066666666666598E-2</v>
      </c>
    </row>
    <row r="1465" spans="1:3" ht="19.5" hidden="1" x14ac:dyDescent="0.35">
      <c r="A1465" s="5">
        <v>3334</v>
      </c>
      <c r="B1465" s="6">
        <v>435.64</v>
      </c>
      <c r="C1465" s="8">
        <v>3.0271497493141699E-2</v>
      </c>
    </row>
    <row r="1466" spans="1:3" ht="19.5" hidden="1" x14ac:dyDescent="0.35">
      <c r="A1466" s="5">
        <v>3335</v>
      </c>
      <c r="B1466" s="6">
        <v>435.23</v>
      </c>
      <c r="C1466" s="8">
        <v>-9.4114406390588502E-4</v>
      </c>
    </row>
    <row r="1467" spans="1:3" ht="19.5" hidden="1" x14ac:dyDescent="0.35">
      <c r="A1467" s="5">
        <v>3336</v>
      </c>
      <c r="B1467" s="6">
        <v>441.7</v>
      </c>
      <c r="C1467" s="8">
        <v>1.48657031914159E-2</v>
      </c>
    </row>
    <row r="1468" spans="1:3" ht="19.5" hidden="1" x14ac:dyDescent="0.35">
      <c r="A1468" s="5">
        <v>3337</v>
      </c>
      <c r="B1468" s="6">
        <v>450.16</v>
      </c>
      <c r="C1468" s="8">
        <v>1.91532714512113E-2</v>
      </c>
    </row>
    <row r="1469" spans="1:3" ht="19.5" hidden="1" x14ac:dyDescent="0.35">
      <c r="A1469" s="5">
        <v>3338</v>
      </c>
      <c r="B1469" s="6">
        <v>443.08</v>
      </c>
      <c r="C1469" s="8">
        <v>-1.57277412475565E-2</v>
      </c>
    </row>
    <row r="1470" spans="1:3" ht="19.5" hidden="1" x14ac:dyDescent="0.35">
      <c r="A1470" s="5">
        <v>3339</v>
      </c>
      <c r="B1470" s="6">
        <v>445.25</v>
      </c>
      <c r="C1470" s="8">
        <v>4.89753543378169E-3</v>
      </c>
    </row>
    <row r="1471" spans="1:3" ht="19.5" hidden="1" x14ac:dyDescent="0.35">
      <c r="A1471" s="5">
        <v>3340</v>
      </c>
      <c r="B1471" s="6">
        <v>448.06</v>
      </c>
      <c r="C1471" s="8">
        <v>6.3110612015722101E-3</v>
      </c>
    </row>
    <row r="1472" spans="1:3" ht="19.5" hidden="1" x14ac:dyDescent="0.35">
      <c r="A1472" s="5">
        <v>3341</v>
      </c>
      <c r="B1472" s="6">
        <v>447.29</v>
      </c>
      <c r="C1472" s="8">
        <v>-1.7185198410927301E-3</v>
      </c>
    </row>
    <row r="1473" spans="1:3" ht="19.5" hidden="1" x14ac:dyDescent="0.35">
      <c r="A1473" s="5">
        <v>3342</v>
      </c>
      <c r="B1473" s="6">
        <v>454.13</v>
      </c>
      <c r="C1473" s="8">
        <v>1.52920923785462E-2</v>
      </c>
    </row>
    <row r="1474" spans="1:3" ht="19.5" hidden="1" x14ac:dyDescent="0.35">
      <c r="A1474" s="5">
        <v>3343</v>
      </c>
      <c r="B1474" s="6">
        <v>459.24</v>
      </c>
      <c r="C1474" s="8">
        <v>1.1252284588113599E-2</v>
      </c>
    </row>
    <row r="1475" spans="1:3" ht="19.5" hidden="1" x14ac:dyDescent="0.35">
      <c r="A1475" s="5">
        <v>3344</v>
      </c>
      <c r="B1475" s="6">
        <v>463.9</v>
      </c>
      <c r="C1475" s="8">
        <v>1.01471997212785E-2</v>
      </c>
    </row>
    <row r="1476" spans="1:3" ht="19.5" hidden="1" x14ac:dyDescent="0.35">
      <c r="A1476" s="5">
        <v>3345</v>
      </c>
      <c r="B1476" s="6">
        <v>462.89</v>
      </c>
      <c r="C1476" s="8">
        <v>-2.1771933606380403E-3</v>
      </c>
    </row>
    <row r="1477" spans="1:3" ht="19.5" hidden="1" x14ac:dyDescent="0.35">
      <c r="A1477" s="5">
        <v>3346</v>
      </c>
      <c r="B1477" s="6">
        <v>465.95</v>
      </c>
      <c r="C1477" s="8">
        <v>6.6106418371534303E-3</v>
      </c>
    </row>
    <row r="1478" spans="1:3" ht="19.5" hidden="1" x14ac:dyDescent="0.35">
      <c r="A1478" s="5">
        <v>3347</v>
      </c>
      <c r="B1478" s="6">
        <v>472.99</v>
      </c>
      <c r="C1478" s="8">
        <v>1.5108917265801E-2</v>
      </c>
    </row>
    <row r="1479" spans="1:3" ht="19.5" hidden="1" x14ac:dyDescent="0.35">
      <c r="A1479" s="5">
        <v>3348</v>
      </c>
      <c r="B1479" s="6">
        <v>471.58</v>
      </c>
      <c r="C1479" s="8">
        <v>-2.9810355398635102E-3</v>
      </c>
    </row>
    <row r="1480" spans="1:3" ht="19.5" hidden="1" x14ac:dyDescent="0.35">
      <c r="A1480" s="5">
        <v>3349</v>
      </c>
      <c r="B1480" s="6">
        <v>463.81</v>
      </c>
      <c r="C1480" s="8">
        <v>-1.64765257220407E-2</v>
      </c>
    </row>
    <row r="1481" spans="1:3" ht="19.5" hidden="1" x14ac:dyDescent="0.35">
      <c r="A1481" s="5">
        <v>3350</v>
      </c>
      <c r="B1481" s="6">
        <v>447.23</v>
      </c>
      <c r="C1481" s="8">
        <v>-3.57473965632479E-2</v>
      </c>
    </row>
    <row r="1482" spans="1:3" ht="19.5" hidden="1" x14ac:dyDescent="0.35">
      <c r="A1482" s="5">
        <v>3351</v>
      </c>
      <c r="B1482" s="6">
        <v>450.9</v>
      </c>
      <c r="C1482" s="8">
        <v>8.2060684658900006E-3</v>
      </c>
    </row>
    <row r="1483" spans="1:3" ht="19.5" hidden="1" x14ac:dyDescent="0.35">
      <c r="A1483" s="5">
        <v>3352</v>
      </c>
      <c r="B1483" s="6">
        <v>454.83</v>
      </c>
      <c r="C1483" s="8">
        <v>8.7159015302729105E-3</v>
      </c>
    </row>
    <row r="1484" spans="1:3" ht="19.5" hidden="1" x14ac:dyDescent="0.35">
      <c r="A1484" s="5">
        <v>3353</v>
      </c>
      <c r="B1484" s="6">
        <v>451.4</v>
      </c>
      <c r="C1484" s="8">
        <v>-7.5412791592462903E-3</v>
      </c>
    </row>
    <row r="1485" spans="1:3" ht="19.5" hidden="1" x14ac:dyDescent="0.35">
      <c r="A1485" s="5">
        <v>3354</v>
      </c>
      <c r="B1485" s="6">
        <v>464.24</v>
      </c>
      <c r="C1485" s="8">
        <v>2.8444838280903901E-2</v>
      </c>
    </row>
    <row r="1486" spans="1:3" ht="19.5" hidden="1" x14ac:dyDescent="0.35">
      <c r="A1486" s="5">
        <v>3355</v>
      </c>
      <c r="B1486" s="6">
        <v>466.96</v>
      </c>
      <c r="C1486" s="8">
        <v>5.8590384283989704E-3</v>
      </c>
    </row>
    <row r="1487" spans="1:3" ht="19.5" hidden="1" x14ac:dyDescent="0.35">
      <c r="A1487" s="5">
        <v>3356</v>
      </c>
      <c r="B1487" s="6">
        <v>463.81</v>
      </c>
      <c r="C1487" s="8">
        <v>-6.7457598081205302E-3</v>
      </c>
    </row>
    <row r="1488" spans="1:3" ht="19.5" hidden="1" x14ac:dyDescent="0.35">
      <c r="A1488" s="5">
        <v>3357</v>
      </c>
      <c r="B1488" s="6">
        <v>461.01</v>
      </c>
      <c r="C1488" s="8">
        <v>-6.0369547875207506E-3</v>
      </c>
    </row>
    <row r="1489" spans="1:3" ht="19.5" hidden="1" x14ac:dyDescent="0.35">
      <c r="A1489" s="5">
        <v>3358</v>
      </c>
      <c r="B1489" s="6">
        <v>455.19</v>
      </c>
      <c r="C1489" s="8">
        <v>-1.2624455000976099E-2</v>
      </c>
    </row>
    <row r="1490" spans="1:3" ht="19.5" hidden="1" x14ac:dyDescent="0.35">
      <c r="A1490" s="5">
        <v>3359</v>
      </c>
      <c r="B1490" s="6">
        <v>465.25</v>
      </c>
      <c r="C1490" s="8">
        <v>2.2100661262329999E-2</v>
      </c>
    </row>
    <row r="1491" spans="1:3" ht="19.5" hidden="1" x14ac:dyDescent="0.35">
      <c r="A1491" s="5">
        <v>3360</v>
      </c>
      <c r="B1491" s="6">
        <v>481.92</v>
      </c>
      <c r="C1491" s="8">
        <v>3.5830198817839998E-2</v>
      </c>
    </row>
    <row r="1492" spans="1:3" ht="19.5" hidden="1" x14ac:dyDescent="0.35">
      <c r="A1492" s="5">
        <v>3361</v>
      </c>
      <c r="B1492" s="6">
        <v>493.15</v>
      </c>
      <c r="C1492" s="8">
        <v>2.3302622841965499E-2</v>
      </c>
    </row>
    <row r="1493" spans="1:3" ht="19.5" hidden="1" x14ac:dyDescent="0.35">
      <c r="A1493" s="5">
        <v>3362</v>
      </c>
      <c r="B1493" s="6">
        <v>507.91</v>
      </c>
      <c r="C1493" s="8">
        <v>2.99300415695023E-2</v>
      </c>
    </row>
    <row r="1494" spans="1:3" ht="19.5" hidden="1" x14ac:dyDescent="0.35">
      <c r="A1494" s="5">
        <v>3363</v>
      </c>
      <c r="B1494" s="6">
        <v>523.80999999999995</v>
      </c>
      <c r="C1494" s="8">
        <v>3.1304758717095399E-2</v>
      </c>
    </row>
    <row r="1495" spans="1:3" ht="19.5" hidden="1" x14ac:dyDescent="0.35">
      <c r="A1495" s="5">
        <v>3364</v>
      </c>
      <c r="B1495" s="6">
        <v>539.35</v>
      </c>
      <c r="C1495" s="8">
        <v>2.9667245757049498E-2</v>
      </c>
    </row>
    <row r="1496" spans="1:3" ht="19.5" hidden="1" x14ac:dyDescent="0.35">
      <c r="A1496" s="5">
        <v>3365</v>
      </c>
      <c r="B1496" s="6">
        <v>557.37</v>
      </c>
      <c r="C1496" s="8">
        <v>3.34105868174654E-2</v>
      </c>
    </row>
    <row r="1497" spans="1:3" ht="19.5" hidden="1" x14ac:dyDescent="0.35">
      <c r="A1497" s="5">
        <v>3366</v>
      </c>
      <c r="B1497" s="6">
        <v>559.11</v>
      </c>
      <c r="C1497" s="8">
        <v>3.1218041875236101E-3</v>
      </c>
    </row>
    <row r="1498" spans="1:3" ht="19.5" hidden="1" x14ac:dyDescent="0.35">
      <c r="A1498" s="5">
        <v>3367</v>
      </c>
      <c r="B1498" s="6">
        <v>578.77</v>
      </c>
      <c r="C1498" s="8">
        <v>3.5163026953551196E-2</v>
      </c>
    </row>
    <row r="1499" spans="1:3" ht="19.5" hidden="1" x14ac:dyDescent="0.35">
      <c r="A1499" s="5">
        <v>3368</v>
      </c>
      <c r="B1499" s="6">
        <v>582.91999999999996</v>
      </c>
      <c r="C1499" s="8">
        <v>7.1703785614318808E-3</v>
      </c>
    </row>
    <row r="1500" spans="1:3" ht="19.5" hidden="1" x14ac:dyDescent="0.35">
      <c r="A1500" s="5">
        <v>3369</v>
      </c>
      <c r="B1500" s="6">
        <v>595.53</v>
      </c>
      <c r="C1500" s="8">
        <v>2.16324710080287E-2</v>
      </c>
    </row>
    <row r="1501" spans="1:3" ht="19.5" hidden="1" x14ac:dyDescent="0.35">
      <c r="A1501" s="5">
        <v>3370</v>
      </c>
      <c r="B1501" s="6">
        <v>614.57000000000005</v>
      </c>
      <c r="C1501" s="8">
        <v>3.1971521166020297E-2</v>
      </c>
    </row>
    <row r="1502" spans="1:3" ht="19.5" hidden="1" x14ac:dyDescent="0.35">
      <c r="A1502" s="5">
        <v>3371</v>
      </c>
      <c r="B1502" s="6">
        <v>614.41999999999996</v>
      </c>
      <c r="C1502" s="8">
        <v>-2.44073091755337E-4</v>
      </c>
    </row>
    <row r="1503" spans="1:3" ht="19.5" hidden="1" x14ac:dyDescent="0.35">
      <c r="A1503" s="5">
        <v>3372</v>
      </c>
      <c r="B1503" s="6">
        <v>649.54</v>
      </c>
      <c r="C1503" s="8">
        <v>5.7159597669346598E-2</v>
      </c>
    </row>
    <row r="1504" spans="1:3" ht="19.5" hidden="1" x14ac:dyDescent="0.35">
      <c r="A1504" s="5">
        <v>3373</v>
      </c>
      <c r="B1504" s="6">
        <v>647.07000000000005</v>
      </c>
      <c r="C1504" s="8">
        <v>-3.8026911352647703E-3</v>
      </c>
    </row>
    <row r="1505" spans="1:3" ht="19.5" hidden="1" x14ac:dyDescent="0.35">
      <c r="A1505" s="5">
        <v>3374</v>
      </c>
      <c r="B1505" s="6">
        <v>647.16999999999996</v>
      </c>
      <c r="C1505" s="8">
        <v>1.5454278516990901E-4</v>
      </c>
    </row>
    <row r="1506" spans="1:3" ht="19.5" hidden="1" x14ac:dyDescent="0.35">
      <c r="A1506" s="5">
        <v>3375</v>
      </c>
      <c r="B1506" s="6">
        <v>661.23</v>
      </c>
      <c r="C1506" s="8">
        <v>2.1725358097563399E-2</v>
      </c>
    </row>
    <row r="1507" spans="1:3" ht="19.5" hidden="1" x14ac:dyDescent="0.35">
      <c r="A1507" s="5">
        <v>3376</v>
      </c>
      <c r="B1507" s="6">
        <v>668.5</v>
      </c>
      <c r="C1507" s="8">
        <v>1.09946614642409E-2</v>
      </c>
    </row>
    <row r="1508" spans="1:3" ht="19.5" hidden="1" x14ac:dyDescent="0.35">
      <c r="A1508" s="5">
        <v>3377</v>
      </c>
      <c r="B1508" s="6">
        <v>644.07000000000005</v>
      </c>
      <c r="C1508" s="8">
        <v>-3.6544502617801004E-2</v>
      </c>
    </row>
    <row r="1509" spans="1:3" ht="19.5" hidden="1" x14ac:dyDescent="0.35">
      <c r="A1509" s="5">
        <v>3378</v>
      </c>
      <c r="B1509" s="6">
        <v>662.68</v>
      </c>
      <c r="C1509" s="8">
        <v>2.8894374835033199E-2</v>
      </c>
    </row>
    <row r="1510" spans="1:3" ht="19.5" hidden="1" x14ac:dyDescent="0.35">
      <c r="A1510" s="5">
        <v>3379</v>
      </c>
      <c r="B1510" s="6">
        <v>674.88</v>
      </c>
      <c r="C1510" s="8">
        <v>1.84100923522665E-2</v>
      </c>
    </row>
    <row r="1511" spans="1:3" ht="19.5" hidden="1" x14ac:dyDescent="0.35">
      <c r="A1511" s="5">
        <v>3380</v>
      </c>
      <c r="B1511" s="6">
        <v>701.46</v>
      </c>
      <c r="C1511" s="8">
        <v>3.9384779516358402E-2</v>
      </c>
    </row>
    <row r="1512" spans="1:3" ht="19.5" hidden="1" x14ac:dyDescent="0.35">
      <c r="A1512" s="5">
        <v>3381</v>
      </c>
      <c r="B1512" s="6">
        <v>735.67</v>
      </c>
      <c r="C1512" s="8">
        <v>4.8769708892880501E-2</v>
      </c>
    </row>
    <row r="1513" spans="1:3" ht="19.5" hidden="1" x14ac:dyDescent="0.35">
      <c r="A1513" s="5">
        <v>3382</v>
      </c>
      <c r="B1513" s="6">
        <v>743.25</v>
      </c>
      <c r="C1513" s="8">
        <v>1.03035328340153E-2</v>
      </c>
    </row>
    <row r="1514" spans="1:3" ht="19.5" hidden="1" x14ac:dyDescent="0.35">
      <c r="A1514" s="5">
        <v>3383</v>
      </c>
      <c r="B1514" s="6">
        <v>766.22</v>
      </c>
      <c r="C1514" s="8">
        <v>3.0904809956273198E-2</v>
      </c>
    </row>
    <row r="1515" spans="1:3" ht="19.5" hidden="1" x14ac:dyDescent="0.35">
      <c r="A1515" s="5">
        <v>3384</v>
      </c>
      <c r="B1515" s="6">
        <v>798.39</v>
      </c>
      <c r="C1515" s="8">
        <v>4.19853305839053E-2</v>
      </c>
    </row>
    <row r="1516" spans="1:3" ht="19.5" hidden="1" x14ac:dyDescent="0.35">
      <c r="A1516" s="5">
        <v>3385</v>
      </c>
      <c r="B1516" s="6">
        <v>792.16</v>
      </c>
      <c r="C1516" s="8">
        <v>-7.8032039479453107E-3</v>
      </c>
    </row>
    <row r="1517" spans="1:3" ht="19.5" hidden="1" x14ac:dyDescent="0.35">
      <c r="A1517" s="5">
        <v>3386</v>
      </c>
      <c r="B1517" s="6">
        <v>763.93</v>
      </c>
      <c r="C1517" s="8">
        <v>-3.5636740052514701E-2</v>
      </c>
    </row>
    <row r="1518" spans="1:3" ht="19.5" hidden="1" x14ac:dyDescent="0.35">
      <c r="A1518" s="5">
        <v>3387</v>
      </c>
      <c r="B1518" s="6">
        <v>833.09</v>
      </c>
      <c r="C1518" s="8">
        <v>9.0531855012894014E-2</v>
      </c>
    </row>
    <row r="1519" spans="1:3" ht="19.5" hidden="1" x14ac:dyDescent="0.35">
      <c r="A1519" s="5">
        <v>3388</v>
      </c>
      <c r="B1519" s="6">
        <v>876.29</v>
      </c>
      <c r="C1519" s="8">
        <v>5.1855141701376596E-2</v>
      </c>
    </row>
    <row r="1520" spans="1:3" ht="19.5" hidden="1" x14ac:dyDescent="0.35">
      <c r="A1520" s="5">
        <v>3389</v>
      </c>
      <c r="B1520" s="6">
        <v>925.29</v>
      </c>
      <c r="C1520" s="8">
        <v>5.5917561537847098E-2</v>
      </c>
    </row>
    <row r="1521" spans="1:3" ht="19.5" hidden="1" x14ac:dyDescent="0.35">
      <c r="A1521" s="5">
        <v>3390</v>
      </c>
      <c r="B1521" s="6">
        <v>927.24</v>
      </c>
      <c r="C1521" s="8">
        <v>2.1074473948707903E-3</v>
      </c>
    </row>
    <row r="1522" spans="1:3" ht="19.5" hidden="1" x14ac:dyDescent="0.35">
      <c r="A1522" s="5">
        <v>3391</v>
      </c>
      <c r="B1522" s="6">
        <v>937.02</v>
      </c>
      <c r="C1522" s="8">
        <v>1.0547431085802899E-2</v>
      </c>
    </row>
    <row r="1523" spans="1:3" ht="19.5" hidden="1" x14ac:dyDescent="0.35">
      <c r="A1523" s="5">
        <v>3392</v>
      </c>
      <c r="B1523" s="6">
        <v>951.16</v>
      </c>
      <c r="C1523" s="8">
        <v>1.5090392947855899E-2</v>
      </c>
    </row>
    <row r="1524" spans="1:3" ht="19.5" hidden="1" x14ac:dyDescent="0.35">
      <c r="A1524" s="5">
        <v>3393</v>
      </c>
      <c r="B1524" s="6">
        <v>938.92</v>
      </c>
      <c r="C1524" s="8">
        <v>-1.28684974136843E-2</v>
      </c>
    </row>
    <row r="1525" spans="1:3" ht="19.5" hidden="1" x14ac:dyDescent="0.35">
      <c r="A1525" s="5">
        <v>3394</v>
      </c>
      <c r="B1525" s="6">
        <v>962.37</v>
      </c>
      <c r="C1525" s="8">
        <v>2.49755037702892E-2</v>
      </c>
    </row>
    <row r="1526" spans="1:3" ht="19.5" hidden="1" x14ac:dyDescent="0.35">
      <c r="A1526" s="5">
        <v>3395</v>
      </c>
      <c r="B1526" s="6">
        <v>963.36</v>
      </c>
      <c r="C1526" s="8">
        <v>1.0287103712709501E-3</v>
      </c>
    </row>
    <row r="1527" spans="1:3" ht="19.5" hidden="1" x14ac:dyDescent="0.35">
      <c r="A1527" s="5">
        <v>3396</v>
      </c>
      <c r="B1527" s="6">
        <v>1023.74</v>
      </c>
      <c r="C1527" s="8">
        <v>6.2676465703371598E-2</v>
      </c>
    </row>
    <row r="1528" spans="1:3" ht="19.5" hidden="1" x14ac:dyDescent="0.35">
      <c r="A1528" s="5">
        <v>3397</v>
      </c>
      <c r="B1528" s="6">
        <v>1076.83</v>
      </c>
      <c r="C1528" s="8">
        <v>5.1858870416316497E-2</v>
      </c>
    </row>
    <row r="1529" spans="1:3" ht="19.5" hidden="1" x14ac:dyDescent="0.35">
      <c r="A1529" s="5">
        <v>3398</v>
      </c>
      <c r="B1529" s="6">
        <v>1112.2</v>
      </c>
      <c r="C1529" s="8">
        <v>3.2846410296889901E-2</v>
      </c>
    </row>
    <row r="1530" spans="1:3" ht="19.5" hidden="1" x14ac:dyDescent="0.35">
      <c r="A1530" s="5">
        <v>3399</v>
      </c>
      <c r="B1530" s="6">
        <v>1108.42</v>
      </c>
      <c r="C1530" s="8">
        <v>-3.3986693040819502E-3</v>
      </c>
    </row>
    <row r="1531" spans="1:3" ht="19.5" hidden="1" x14ac:dyDescent="0.35">
      <c r="A1531" s="5">
        <v>3400</v>
      </c>
      <c r="B1531" s="6">
        <v>1108.3900000000001</v>
      </c>
      <c r="C1531" s="8">
        <v>-2.7065552768768003E-5</v>
      </c>
    </row>
    <row r="1532" spans="1:3" ht="19.5" hidden="1" x14ac:dyDescent="0.35">
      <c r="A1532" s="5">
        <v>3401</v>
      </c>
      <c r="B1532" s="6">
        <v>1156.58</v>
      </c>
      <c r="C1532" s="8">
        <v>4.3477476339555302E-2</v>
      </c>
    </row>
    <row r="1533" spans="1:3" ht="19.5" x14ac:dyDescent="0.35">
      <c r="A1533" s="5">
        <v>3402</v>
      </c>
      <c r="B1533" s="6">
        <v>1074.6199999999999</v>
      </c>
      <c r="C1533" s="8">
        <v>-7.0864099327327193E-2</v>
      </c>
    </row>
    <row r="1534" spans="1:3" ht="19.5" x14ac:dyDescent="0.35">
      <c r="A1534" s="5">
        <v>3403</v>
      </c>
      <c r="B1534" s="6">
        <v>1020.64</v>
      </c>
      <c r="C1534" s="8">
        <v>-5.0231709813701501E-2</v>
      </c>
    </row>
    <row r="1535" spans="1:3" ht="19.5" hidden="1" x14ac:dyDescent="0.35">
      <c r="A1535" s="5">
        <v>3404</v>
      </c>
      <c r="B1535" s="6">
        <v>1032.47</v>
      </c>
      <c r="C1535" s="8">
        <v>1.1590766577833599E-2</v>
      </c>
    </row>
    <row r="1536" spans="1:3" ht="19.5" hidden="1" x14ac:dyDescent="0.35">
      <c r="A1536" s="5">
        <v>3405</v>
      </c>
      <c r="B1536" s="6">
        <v>1144.43</v>
      </c>
      <c r="C1536" s="8">
        <v>0.10843898612066201</v>
      </c>
    </row>
    <row r="1537" spans="1:3" ht="19.5" hidden="1" x14ac:dyDescent="0.35">
      <c r="A1537" s="5">
        <v>3406</v>
      </c>
      <c r="B1537" s="6">
        <v>1190.05</v>
      </c>
      <c r="C1537" s="8">
        <v>3.9862639043017005E-2</v>
      </c>
    </row>
    <row r="1538" spans="1:3" ht="19.5" hidden="1" x14ac:dyDescent="0.35">
      <c r="A1538" s="5">
        <v>3407</v>
      </c>
      <c r="B1538" s="6">
        <v>1248.77</v>
      </c>
      <c r="C1538" s="8">
        <v>4.9342464602327697E-2</v>
      </c>
    </row>
    <row r="1539" spans="1:3" ht="19.5" hidden="1" x14ac:dyDescent="0.35">
      <c r="A1539" s="5">
        <v>3408</v>
      </c>
      <c r="B1539" s="6">
        <v>1246.58</v>
      </c>
      <c r="C1539" s="8">
        <v>-1.7537256660554701E-3</v>
      </c>
    </row>
    <row r="1540" spans="1:3" ht="19.5" hidden="1" x14ac:dyDescent="0.35">
      <c r="A1540" s="5">
        <v>3409</v>
      </c>
      <c r="B1540" s="6">
        <v>1281.6600000000001</v>
      </c>
      <c r="C1540" s="8">
        <v>2.8140993758924499E-2</v>
      </c>
    </row>
    <row r="1541" spans="1:3" ht="19.5" hidden="1" x14ac:dyDescent="0.35">
      <c r="A1541" s="5">
        <v>3410</v>
      </c>
      <c r="B1541" s="6">
        <v>1334.76</v>
      </c>
      <c r="C1541" s="8">
        <v>4.1430644632741896E-2</v>
      </c>
    </row>
    <row r="1542" spans="1:3" ht="19.5" hidden="1" x14ac:dyDescent="0.35">
      <c r="A1542" s="5">
        <v>3411</v>
      </c>
      <c r="B1542" s="6">
        <v>1332.07</v>
      </c>
      <c r="C1542" s="8">
        <v>-2.0153435823668801E-3</v>
      </c>
    </row>
    <row r="1543" spans="1:3" ht="19.5" hidden="1" x14ac:dyDescent="0.35">
      <c r="A1543" s="5">
        <v>3412</v>
      </c>
      <c r="B1543" s="6">
        <v>1322.55</v>
      </c>
      <c r="C1543" s="8">
        <v>-7.1467715660588106E-3</v>
      </c>
    </row>
    <row r="1544" spans="1:3" ht="19.5" hidden="1" x14ac:dyDescent="0.35">
      <c r="A1544" s="5">
        <v>3413</v>
      </c>
      <c r="B1544" s="6">
        <v>1380.99</v>
      </c>
      <c r="C1544" s="8">
        <v>4.4187365317001299E-2</v>
      </c>
    </row>
    <row r="1545" spans="1:3" ht="19.5" hidden="1" x14ac:dyDescent="0.35">
      <c r="A1545" s="5">
        <v>3414</v>
      </c>
      <c r="B1545" s="6">
        <v>1327.49</v>
      </c>
      <c r="C1545" s="8">
        <v>-3.8740323970485005E-2</v>
      </c>
    </row>
    <row r="1546" spans="1:3" ht="19.5" hidden="1" x14ac:dyDescent="0.35">
      <c r="A1546" s="5">
        <v>3415</v>
      </c>
      <c r="B1546" s="6">
        <v>1318.17</v>
      </c>
      <c r="C1546" s="8">
        <v>-7.0207685180302404E-3</v>
      </c>
    </row>
    <row r="1547" spans="1:3" ht="19.5" hidden="1" x14ac:dyDescent="0.35">
      <c r="A1547" s="5">
        <v>3416</v>
      </c>
      <c r="B1547" s="6">
        <v>1300.01</v>
      </c>
      <c r="C1547" s="8">
        <v>-1.3776675239157399E-2</v>
      </c>
    </row>
    <row r="1548" spans="1:3" ht="19.5" hidden="1" x14ac:dyDescent="0.35">
      <c r="A1548" s="5">
        <v>3417</v>
      </c>
      <c r="B1548" s="6">
        <v>1391</v>
      </c>
      <c r="C1548" s="8">
        <v>6.9991769294082393E-2</v>
      </c>
    </row>
    <row r="1549" spans="1:3" ht="19.5" hidden="1" x14ac:dyDescent="0.35">
      <c r="A1549" s="5">
        <v>3418</v>
      </c>
      <c r="B1549" s="6">
        <v>1428.68</v>
      </c>
      <c r="C1549" s="8">
        <v>2.70884255930985E-2</v>
      </c>
    </row>
    <row r="1550" spans="1:3" ht="19.5" hidden="1" x14ac:dyDescent="0.35">
      <c r="A1550" s="5">
        <v>3419</v>
      </c>
      <c r="B1550" s="6">
        <v>1425.59</v>
      </c>
      <c r="C1550" s="8">
        <v>-2.1628356244926001E-3</v>
      </c>
    </row>
    <row r="1551" spans="1:3" ht="19.5" hidden="1" x14ac:dyDescent="0.35">
      <c r="A1551" s="5">
        <v>3420</v>
      </c>
      <c r="B1551" s="6">
        <v>1388.87</v>
      </c>
      <c r="C1551" s="8">
        <v>-2.5757756437685499E-2</v>
      </c>
    </row>
    <row r="1552" spans="1:3" ht="19.5" hidden="1" x14ac:dyDescent="0.35">
      <c r="A1552" s="5">
        <v>3421</v>
      </c>
      <c r="B1552" s="6">
        <v>1442.21</v>
      </c>
      <c r="C1552" s="8">
        <v>3.84053223123835E-2</v>
      </c>
    </row>
    <row r="1553" spans="1:3" ht="19.5" hidden="1" x14ac:dyDescent="0.35">
      <c r="A1553" s="5">
        <v>3422</v>
      </c>
      <c r="B1553" s="6">
        <v>1461.36</v>
      </c>
      <c r="C1553" s="8">
        <v>1.32782327122956E-2</v>
      </c>
    </row>
    <row r="1554" spans="1:3" ht="19.5" hidden="1" x14ac:dyDescent="0.35">
      <c r="A1554" s="5">
        <v>3423</v>
      </c>
      <c r="B1554" s="6">
        <v>1418.48</v>
      </c>
      <c r="C1554" s="8">
        <v>-2.9342530245798401E-2</v>
      </c>
    </row>
    <row r="1555" spans="1:3" ht="19.5" hidden="1" x14ac:dyDescent="0.35">
      <c r="A1555" s="5">
        <v>3424</v>
      </c>
      <c r="B1555" s="6">
        <v>1461.96</v>
      </c>
      <c r="C1555" s="8">
        <v>3.06525294681632E-2</v>
      </c>
    </row>
    <row r="1556" spans="1:3" ht="19.5" hidden="1" x14ac:dyDescent="0.35">
      <c r="A1556" s="5">
        <v>3425</v>
      </c>
      <c r="B1556" s="6">
        <v>1473</v>
      </c>
      <c r="C1556" s="8">
        <v>7.5515061971600508E-3</v>
      </c>
    </row>
    <row r="1557" spans="1:3" ht="19.5" hidden="1" x14ac:dyDescent="0.35">
      <c r="A1557" s="5">
        <v>3426</v>
      </c>
      <c r="B1557" s="6">
        <v>1485.46</v>
      </c>
      <c r="C1557" s="8">
        <v>8.4589273591311204E-3</v>
      </c>
    </row>
    <row r="1558" spans="1:3" ht="19.5" hidden="1" x14ac:dyDescent="0.35">
      <c r="A1558" s="5">
        <v>3427</v>
      </c>
      <c r="B1558" s="6">
        <v>1468.05</v>
      </c>
      <c r="C1558" s="8">
        <v>-1.1720275200947899E-2</v>
      </c>
    </row>
    <row r="1559" spans="1:3" ht="19.5" x14ac:dyDescent="0.35">
      <c r="A1559" s="5">
        <v>3428</v>
      </c>
      <c r="B1559" s="6">
        <v>1390.14</v>
      </c>
      <c r="C1559" s="8">
        <v>-5.3070399509553397E-2</v>
      </c>
    </row>
    <row r="1560" spans="1:3" ht="19.5" hidden="1" x14ac:dyDescent="0.35">
      <c r="A1560" s="5">
        <v>3429</v>
      </c>
      <c r="B1560" s="6">
        <v>1378.04</v>
      </c>
      <c r="C1560" s="8">
        <v>-8.7041592933086998E-3</v>
      </c>
    </row>
    <row r="1561" spans="1:3" ht="19.5" hidden="1" x14ac:dyDescent="0.35">
      <c r="A1561" s="5">
        <v>3430</v>
      </c>
      <c r="B1561" s="6">
        <v>1330.93</v>
      </c>
      <c r="C1561" s="8">
        <v>-3.4186235522916601E-2</v>
      </c>
    </row>
    <row r="1562" spans="1:3" ht="19.5" hidden="1" x14ac:dyDescent="0.35">
      <c r="A1562" s="5">
        <v>3431</v>
      </c>
      <c r="B1562" s="6">
        <v>1335.63</v>
      </c>
      <c r="C1562" s="8">
        <v>3.5313652859279001E-3</v>
      </c>
    </row>
    <row r="1563" spans="1:3" ht="19.5" hidden="1" x14ac:dyDescent="0.35">
      <c r="A1563" s="5">
        <v>3432</v>
      </c>
      <c r="B1563" s="6">
        <v>1305.75</v>
      </c>
      <c r="C1563" s="8">
        <v>-2.2371465151277001E-2</v>
      </c>
    </row>
    <row r="1564" spans="1:3" ht="19.5" x14ac:dyDescent="0.35">
      <c r="A1564" s="5">
        <v>3433</v>
      </c>
      <c r="B1564" s="6">
        <v>1185.8499999999999</v>
      </c>
      <c r="C1564" s="8">
        <v>-9.1824621864828801E-2</v>
      </c>
    </row>
    <row r="1565" spans="1:3" ht="19.5" hidden="1" x14ac:dyDescent="0.35">
      <c r="A1565" s="5">
        <v>3434</v>
      </c>
      <c r="B1565" s="6">
        <v>1189.8399999999999</v>
      </c>
      <c r="C1565" s="8">
        <v>3.3646751275455702E-3</v>
      </c>
    </row>
    <row r="1566" spans="1:3" ht="19.5" hidden="1" x14ac:dyDescent="0.35">
      <c r="A1566" s="5">
        <v>3435</v>
      </c>
      <c r="B1566" s="6">
        <v>1270.3699999999999</v>
      </c>
      <c r="C1566" s="8">
        <v>6.7681368923552698E-2</v>
      </c>
    </row>
    <row r="1567" spans="1:3" ht="19.5" hidden="1" x14ac:dyDescent="0.35">
      <c r="A1567" s="5">
        <v>3436</v>
      </c>
      <c r="B1567" s="6">
        <v>1238.71</v>
      </c>
      <c r="C1567" s="8">
        <v>-2.4921873155065003E-2</v>
      </c>
    </row>
    <row r="1568" spans="1:3" ht="19.5" hidden="1" x14ac:dyDescent="0.35">
      <c r="A1568" s="5">
        <v>3437</v>
      </c>
      <c r="B1568" s="6">
        <v>1204.45</v>
      </c>
      <c r="C1568" s="8">
        <v>-2.7657805297446499E-2</v>
      </c>
    </row>
    <row r="1569" spans="1:3" ht="19.5" hidden="1" x14ac:dyDescent="0.35">
      <c r="A1569" s="5">
        <v>3438</v>
      </c>
      <c r="B1569" s="6">
        <v>1178.5</v>
      </c>
      <c r="C1569" s="8">
        <v>-2.1545103574245498E-2</v>
      </c>
    </row>
    <row r="1570" spans="1:3" ht="19.5" x14ac:dyDescent="0.35">
      <c r="A1570" s="5">
        <v>3439</v>
      </c>
      <c r="B1570" s="6">
        <v>1044.6400000000001</v>
      </c>
      <c r="C1570" s="8">
        <v>-0.11358506576156101</v>
      </c>
    </row>
    <row r="1571" spans="1:3" ht="19.5" hidden="1" x14ac:dyDescent="0.35">
      <c r="A1571" s="5">
        <v>3440</v>
      </c>
      <c r="B1571" s="6">
        <v>1076.5899999999999</v>
      </c>
      <c r="C1571" s="8">
        <v>3.05846990350742E-2</v>
      </c>
    </row>
    <row r="1572" spans="1:3" ht="19.5" hidden="1" x14ac:dyDescent="0.35">
      <c r="A1572" s="5">
        <v>3441</v>
      </c>
      <c r="B1572" s="6">
        <v>1129.68</v>
      </c>
      <c r="C1572" s="8">
        <v>4.93131089829928E-2</v>
      </c>
    </row>
    <row r="1573" spans="1:3" ht="19.5" hidden="1" x14ac:dyDescent="0.35">
      <c r="A1573" s="5">
        <v>3442</v>
      </c>
      <c r="B1573" s="6">
        <v>1144.93</v>
      </c>
      <c r="C1573" s="8">
        <v>1.3499398059627399E-2</v>
      </c>
    </row>
    <row r="1574" spans="1:3" ht="19.5" hidden="1" x14ac:dyDescent="0.35">
      <c r="A1574" s="5">
        <v>3443</v>
      </c>
      <c r="B1574" s="6">
        <v>1140.21</v>
      </c>
      <c r="C1574" s="8">
        <v>-4.1225227743181304E-3</v>
      </c>
    </row>
    <row r="1575" spans="1:3" ht="19.5" hidden="1" x14ac:dyDescent="0.35">
      <c r="A1575" s="5">
        <v>3444</v>
      </c>
      <c r="B1575" s="6">
        <v>1100.67</v>
      </c>
      <c r="C1575" s="8">
        <v>-3.46778225063804E-2</v>
      </c>
    </row>
    <row r="1576" spans="1:3" ht="19.5" hidden="1" x14ac:dyDescent="0.35">
      <c r="A1576" s="5">
        <v>3445</v>
      </c>
      <c r="B1576" s="6">
        <v>1153.79</v>
      </c>
      <c r="C1576" s="8">
        <v>4.8261513441812502E-2</v>
      </c>
    </row>
    <row r="1577" spans="1:3" ht="19.5" hidden="1" x14ac:dyDescent="0.35">
      <c r="A1577" s="5">
        <v>3446</v>
      </c>
      <c r="B1577" s="6">
        <v>1112.04</v>
      </c>
      <c r="C1577" s="8">
        <v>-3.6185094341257898E-2</v>
      </c>
    </row>
    <row r="1578" spans="1:3" ht="19.5" hidden="1" x14ac:dyDescent="0.35">
      <c r="A1578" s="5">
        <v>3447</v>
      </c>
      <c r="B1578" s="6">
        <v>1079.06</v>
      </c>
      <c r="C1578" s="8">
        <v>-2.9657206575303002E-2</v>
      </c>
    </row>
    <row r="1579" spans="1:3" ht="19.5" x14ac:dyDescent="0.35">
      <c r="A1579" s="5">
        <v>3448</v>
      </c>
      <c r="B1579" s="6">
        <v>1015.28</v>
      </c>
      <c r="C1579" s="8">
        <v>-5.9107000537504797E-2</v>
      </c>
    </row>
    <row r="1580" spans="1:3" ht="19.5" x14ac:dyDescent="0.35">
      <c r="A1580" s="5">
        <v>3449</v>
      </c>
      <c r="B1580" s="6">
        <v>903.59</v>
      </c>
      <c r="C1580" s="8">
        <v>-0.11000906153967401</v>
      </c>
    </row>
    <row r="1581" spans="1:3" ht="19.5" hidden="1" x14ac:dyDescent="0.35">
      <c r="A1581" s="5">
        <v>3450</v>
      </c>
      <c r="B1581" s="6">
        <v>912.55</v>
      </c>
      <c r="C1581" s="8">
        <v>9.9160017264465806E-3</v>
      </c>
    </row>
    <row r="1582" spans="1:3" ht="19.5" hidden="1" x14ac:dyDescent="0.35">
      <c r="A1582" s="5">
        <v>3451</v>
      </c>
      <c r="B1582" s="6">
        <v>867.81</v>
      </c>
      <c r="C1582" s="8">
        <v>-4.9027450550654696E-2</v>
      </c>
    </row>
    <row r="1583" spans="1:3" ht="19.5" hidden="1" x14ac:dyDescent="0.35">
      <c r="A1583" s="5">
        <v>3452</v>
      </c>
      <c r="B1583" s="6">
        <v>854.63</v>
      </c>
      <c r="C1583" s="8">
        <v>-1.5187656284209599E-2</v>
      </c>
    </row>
  </sheetData>
  <autoFilter ref="A1:C1583">
    <filterColumn colId="2">
      <colorFilter dxfId="6"/>
    </filterColumn>
  </autoFilter>
  <conditionalFormatting sqref="C2:C1048576">
    <cfRule type="cellIs" dxfId="5" priority="2" operator="greaterThan">
      <formula>0.05</formula>
    </cfRule>
    <cfRule type="cellIs" dxfId="4" priority="3" operator="lessThan">
      <formula>-0.05</formula>
    </cfRule>
  </conditionalFormatting>
  <conditionalFormatting sqref="C1:C1048576">
    <cfRule type="cellIs" dxfId="3" priority="1" operator="between">
      <formula>-0.05</formula>
      <formula>-0.03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workbookViewId="0">
      <selection activeCell="D11" sqref="D11"/>
    </sheetView>
  </sheetViews>
  <sheetFormatPr defaultRowHeight="15" x14ac:dyDescent="0.25"/>
  <cols>
    <col min="1" max="1" width="22" customWidth="1"/>
  </cols>
  <sheetData>
    <row r="1" spans="1:4" ht="19.5" x14ac:dyDescent="0.35">
      <c r="A1" s="8">
        <v>-5.16528925619835E-2</v>
      </c>
    </row>
    <row r="2" spans="1:4" ht="19.5" x14ac:dyDescent="0.35">
      <c r="A2" s="8">
        <v>-7.6458752515090503E-2</v>
      </c>
      <c r="C2" s="79" t="s">
        <v>91</v>
      </c>
      <c r="D2" s="80"/>
    </row>
    <row r="3" spans="1:4" ht="19.5" x14ac:dyDescent="0.35">
      <c r="A3" s="8">
        <v>-8.71459694989105E-2</v>
      </c>
      <c r="C3" s="81">
        <f>COUNT(A1:A108)</f>
        <v>108</v>
      </c>
      <c r="D3" s="82"/>
    </row>
    <row r="4" spans="1:4" ht="19.5" x14ac:dyDescent="0.35">
      <c r="A4" s="8">
        <v>-6.1068702290076396E-2</v>
      </c>
    </row>
    <row r="5" spans="1:4" ht="19.5" x14ac:dyDescent="0.35">
      <c r="A5" s="8">
        <v>-5.91549295774648E-2</v>
      </c>
    </row>
    <row r="6" spans="1:4" ht="19.5" x14ac:dyDescent="0.35">
      <c r="A6" s="8">
        <v>-5.0898203592814398E-2</v>
      </c>
    </row>
    <row r="7" spans="1:4" ht="19.5" x14ac:dyDescent="0.35">
      <c r="A7" s="8">
        <v>-7.2555205047318605E-2</v>
      </c>
    </row>
    <row r="8" spans="1:4" ht="19.5" x14ac:dyDescent="0.35">
      <c r="A8" s="8">
        <v>-7.1428571428571397E-2</v>
      </c>
    </row>
    <row r="9" spans="1:4" ht="19.5" x14ac:dyDescent="0.35">
      <c r="A9" s="8">
        <v>-7.9150579150579201E-2</v>
      </c>
    </row>
    <row r="10" spans="1:4" ht="19.5" x14ac:dyDescent="0.35">
      <c r="A10" s="8">
        <v>-8.1027667984189602E-2</v>
      </c>
    </row>
    <row r="11" spans="1:4" ht="19.5" x14ac:dyDescent="0.35">
      <c r="A11" s="8">
        <v>-7.2834645669291292E-2</v>
      </c>
    </row>
    <row r="12" spans="1:4" ht="19.5" x14ac:dyDescent="0.35">
      <c r="A12" s="8">
        <v>-8.8512241054613902E-2</v>
      </c>
    </row>
    <row r="13" spans="1:4" ht="19.5" x14ac:dyDescent="0.35">
      <c r="A13" s="8">
        <v>-9.3275488069414395E-2</v>
      </c>
    </row>
    <row r="14" spans="1:4" ht="19.5" x14ac:dyDescent="0.35">
      <c r="A14" s="8">
        <v>-5.8823529411764601E-2</v>
      </c>
    </row>
    <row r="15" spans="1:4" ht="19.5" x14ac:dyDescent="0.35">
      <c r="A15" s="8">
        <v>-6.4814814814814894E-2</v>
      </c>
    </row>
    <row r="16" spans="1:4" ht="19.5" x14ac:dyDescent="0.35">
      <c r="A16" s="8">
        <v>-5.6930693069307002E-2</v>
      </c>
    </row>
    <row r="17" spans="1:1" ht="19.5" x14ac:dyDescent="0.35">
      <c r="A17" s="8">
        <v>-6.8111455108359101E-2</v>
      </c>
    </row>
    <row r="18" spans="1:1" ht="19.5" x14ac:dyDescent="0.35">
      <c r="A18" s="8">
        <v>-5.0368550368550397E-2</v>
      </c>
    </row>
    <row r="19" spans="1:1" ht="19.5" x14ac:dyDescent="0.35">
      <c r="A19" s="8">
        <v>-6.7058823529411796E-2</v>
      </c>
    </row>
    <row r="20" spans="1:1" ht="19.5" x14ac:dyDescent="0.35">
      <c r="A20" s="8">
        <v>-5.5263157894736799E-2</v>
      </c>
    </row>
    <row r="21" spans="1:1" ht="19.5" x14ac:dyDescent="0.35">
      <c r="A21" s="8">
        <v>-9.8272138228941694E-2</v>
      </c>
    </row>
    <row r="22" spans="1:1" ht="19.5" x14ac:dyDescent="0.35">
      <c r="A22" s="8">
        <v>-7.4938574938574892E-2</v>
      </c>
    </row>
    <row r="23" spans="1:1" ht="19.5" x14ac:dyDescent="0.35">
      <c r="A23" s="8">
        <v>-0.108724832214765</v>
      </c>
    </row>
    <row r="24" spans="1:1" ht="19.5" x14ac:dyDescent="0.35">
      <c r="A24" s="8">
        <v>-5.8734939759036098E-2</v>
      </c>
    </row>
    <row r="25" spans="1:1" ht="19.5" x14ac:dyDescent="0.35">
      <c r="A25" s="8">
        <v>-5.0549450549450502E-2</v>
      </c>
    </row>
    <row r="26" spans="1:1" ht="19.5" x14ac:dyDescent="0.35">
      <c r="A26" s="8">
        <v>-5.4525627044711006E-2</v>
      </c>
    </row>
    <row r="27" spans="1:1" ht="19.5" x14ac:dyDescent="0.35">
      <c r="A27" s="8">
        <v>-5.0292397660818798E-2</v>
      </c>
    </row>
    <row r="28" spans="1:1" ht="19.5" x14ac:dyDescent="0.35">
      <c r="A28" s="8">
        <v>-5.5350553505535201E-2</v>
      </c>
    </row>
    <row r="29" spans="1:1" ht="19.5" x14ac:dyDescent="0.35">
      <c r="A29" s="8">
        <v>-5.6426332288401299E-2</v>
      </c>
    </row>
    <row r="30" spans="1:1" ht="19.5" x14ac:dyDescent="0.35">
      <c r="A30" s="8">
        <v>-5.41871921182265E-2</v>
      </c>
    </row>
    <row r="31" spans="1:1" ht="19.5" x14ac:dyDescent="0.35">
      <c r="A31" s="8">
        <v>-8.3333333333333301E-2</v>
      </c>
    </row>
    <row r="32" spans="1:1" ht="19.5" x14ac:dyDescent="0.35">
      <c r="A32" s="8">
        <v>-6.7297581493165101E-2</v>
      </c>
    </row>
    <row r="33" spans="1:1" ht="19.5" x14ac:dyDescent="0.35">
      <c r="A33" s="8">
        <v>-8.2672706681766794E-2</v>
      </c>
    </row>
    <row r="34" spans="1:1" ht="19.5" x14ac:dyDescent="0.35">
      <c r="A34" s="8">
        <v>-6.27906976744185E-2</v>
      </c>
    </row>
    <row r="35" spans="1:1" ht="19.5" x14ac:dyDescent="0.35">
      <c r="A35" s="8">
        <v>-5.0761421319796898E-2</v>
      </c>
    </row>
    <row r="36" spans="1:1" ht="19.5" x14ac:dyDescent="0.35">
      <c r="A36" s="8">
        <v>-8.9572192513369092E-2</v>
      </c>
    </row>
    <row r="37" spans="1:1" ht="19.5" x14ac:dyDescent="0.35">
      <c r="A37" s="8">
        <v>-8.00561797752809E-2</v>
      </c>
    </row>
    <row r="38" spans="1:1" ht="19.5" x14ac:dyDescent="0.35">
      <c r="A38" s="8">
        <v>-6.7876874506708804E-2</v>
      </c>
    </row>
    <row r="39" spans="1:1" ht="19.5" x14ac:dyDescent="0.35">
      <c r="A39" s="8">
        <v>-0.10575079872204501</v>
      </c>
    </row>
    <row r="40" spans="1:1" ht="19.5" x14ac:dyDescent="0.35">
      <c r="A40" s="8">
        <v>-0.26473740621650604</v>
      </c>
    </row>
    <row r="41" spans="1:1" ht="19.5" x14ac:dyDescent="0.35">
      <c r="A41" s="8">
        <v>-5.9701492537313397E-2</v>
      </c>
    </row>
    <row r="42" spans="1:1" ht="19.5" x14ac:dyDescent="0.35">
      <c r="A42" s="8">
        <v>-0.10108604845447</v>
      </c>
    </row>
    <row r="43" spans="1:1" ht="19.5" x14ac:dyDescent="0.35">
      <c r="A43" s="8">
        <v>-0.137632338787295</v>
      </c>
    </row>
    <row r="44" spans="1:1" ht="19.5" x14ac:dyDescent="0.35">
      <c r="A44" s="8">
        <v>-7.2544642857142905E-2</v>
      </c>
    </row>
    <row r="45" spans="1:1" ht="19.5" x14ac:dyDescent="0.35">
      <c r="A45" s="8">
        <v>-6.6787003610108392E-2</v>
      </c>
    </row>
    <row r="46" spans="1:1" ht="19.5" x14ac:dyDescent="0.35">
      <c r="A46" s="8">
        <v>-9.5265259555048595E-2</v>
      </c>
    </row>
    <row r="47" spans="1:1" ht="19.5" x14ac:dyDescent="0.35">
      <c r="A47" s="8">
        <v>-9.6469104665825894E-2</v>
      </c>
    </row>
    <row r="48" spans="1:1" ht="19.5" x14ac:dyDescent="0.35">
      <c r="A48" s="8">
        <v>-0.148920863309353</v>
      </c>
    </row>
    <row r="49" spans="1:1" ht="19.5" x14ac:dyDescent="0.35">
      <c r="A49" s="8">
        <v>-0.133558748943364</v>
      </c>
    </row>
    <row r="50" spans="1:1" ht="19.5" x14ac:dyDescent="0.35">
      <c r="A50" s="8">
        <v>-0.18768046198267602</v>
      </c>
    </row>
    <row r="51" spans="1:1" ht="19.5" x14ac:dyDescent="0.35">
      <c r="A51" s="8">
        <v>-0.23970944309927403</v>
      </c>
    </row>
    <row r="52" spans="1:1" ht="19.5" x14ac:dyDescent="0.35">
      <c r="A52" s="8">
        <v>-0.12261146496815301</v>
      </c>
    </row>
    <row r="53" spans="1:1" ht="19.5" x14ac:dyDescent="0.35">
      <c r="A53" s="8">
        <v>-0.13430127041742301</v>
      </c>
    </row>
    <row r="54" spans="1:1" ht="19.5" x14ac:dyDescent="0.35">
      <c r="A54" s="8">
        <v>-0.13801452784503601</v>
      </c>
    </row>
    <row r="55" spans="1:1" ht="19.5" x14ac:dyDescent="0.35">
      <c r="A55" s="8">
        <v>-0.11847672778561301</v>
      </c>
    </row>
    <row r="56" spans="1:1" ht="19.5" x14ac:dyDescent="0.35">
      <c r="A56" s="8">
        <v>-9.7353497164461192E-2</v>
      </c>
    </row>
    <row r="57" spans="1:1" ht="19.5" x14ac:dyDescent="0.35">
      <c r="A57" s="8">
        <v>-5.1236749116607798E-2</v>
      </c>
    </row>
    <row r="58" spans="1:1" ht="19.5" x14ac:dyDescent="0.35">
      <c r="A58" s="8">
        <v>-0.10164835164835201</v>
      </c>
    </row>
    <row r="59" spans="1:1" ht="19.5" x14ac:dyDescent="0.35">
      <c r="A59" s="8">
        <v>-6.3474387527839599E-2</v>
      </c>
    </row>
    <row r="60" spans="1:1" ht="19.5" x14ac:dyDescent="0.35">
      <c r="A60" s="8">
        <v>-5.3091397849462402E-2</v>
      </c>
    </row>
    <row r="61" spans="1:1" ht="19.5" x14ac:dyDescent="0.35">
      <c r="A61" s="8">
        <v>-5.9701492537313397E-2</v>
      </c>
    </row>
    <row r="62" spans="1:1" ht="19.5" x14ac:dyDescent="0.35">
      <c r="A62" s="8">
        <v>-0.14157706093190001</v>
      </c>
    </row>
    <row r="63" spans="1:1" ht="19.5" x14ac:dyDescent="0.35">
      <c r="A63" s="8">
        <v>-0.145441892832289</v>
      </c>
    </row>
    <row r="64" spans="1:1" ht="19.5" x14ac:dyDescent="0.35">
      <c r="A64" s="8">
        <v>-8.7947882736156405E-2</v>
      </c>
    </row>
    <row r="65" spans="1:1" ht="19.5" x14ac:dyDescent="0.35">
      <c r="A65" s="8">
        <v>-6.6123188405797007E-2</v>
      </c>
    </row>
    <row r="66" spans="1:1" ht="19.5" x14ac:dyDescent="0.35">
      <c r="A66" s="8">
        <v>-0.12590799031477001</v>
      </c>
    </row>
    <row r="67" spans="1:1" ht="19.5" x14ac:dyDescent="0.35">
      <c r="A67" s="8">
        <v>-0.13773431132844302</v>
      </c>
    </row>
    <row r="68" spans="1:1" ht="19.5" x14ac:dyDescent="0.35">
      <c r="A68" s="8">
        <v>-8.6011342155009496E-2</v>
      </c>
    </row>
    <row r="69" spans="1:1" ht="19.5" x14ac:dyDescent="0.35">
      <c r="A69" s="8">
        <v>-6.2559241706161103E-2</v>
      </c>
    </row>
    <row r="70" spans="1:1" ht="19.5" x14ac:dyDescent="0.35">
      <c r="A70" s="8">
        <v>-6.5101387406616903E-2</v>
      </c>
    </row>
    <row r="71" spans="1:1" ht="19.5" x14ac:dyDescent="0.35">
      <c r="A71" s="8">
        <v>-5.4335260115607006E-2</v>
      </c>
    </row>
    <row r="72" spans="1:1" ht="19.5" x14ac:dyDescent="0.35">
      <c r="A72" s="8">
        <v>-0.14745762711864402</v>
      </c>
    </row>
    <row r="73" spans="1:1" ht="19.5" x14ac:dyDescent="0.35">
      <c r="A73" s="8">
        <v>-5.5589870290302802E-2</v>
      </c>
    </row>
    <row r="74" spans="1:1" ht="19.5" x14ac:dyDescent="0.35">
      <c r="A74" s="8">
        <v>-5.4803788903924101E-2</v>
      </c>
    </row>
    <row r="75" spans="1:1" ht="19.5" x14ac:dyDescent="0.35">
      <c r="A75" s="8">
        <v>-7.2572038420490897E-2</v>
      </c>
    </row>
    <row r="76" spans="1:1" ht="19.5" x14ac:dyDescent="0.35">
      <c r="A76" s="8">
        <v>-5.0293188994136297E-2</v>
      </c>
    </row>
    <row r="77" spans="1:1" ht="19.5" x14ac:dyDescent="0.35">
      <c r="A77" s="8">
        <v>-5.5040197897340597E-2</v>
      </c>
    </row>
    <row r="78" spans="1:1" ht="19.5" x14ac:dyDescent="0.35">
      <c r="A78" s="8">
        <v>-6.2301045929968102E-2</v>
      </c>
    </row>
    <row r="79" spans="1:1" ht="19.5" x14ac:dyDescent="0.35">
      <c r="A79" s="8">
        <v>-7.4357090374724405E-2</v>
      </c>
    </row>
    <row r="80" spans="1:1" ht="19.5" x14ac:dyDescent="0.35">
      <c r="A80" s="8">
        <v>-0.11684394348309302</v>
      </c>
    </row>
    <row r="81" spans="1:1" ht="19.5" x14ac:dyDescent="0.35">
      <c r="A81" s="8">
        <v>-5.26200873362445E-2</v>
      </c>
    </row>
    <row r="82" spans="1:1" ht="19.5" x14ac:dyDescent="0.35">
      <c r="A82" s="8">
        <v>-6.04613233923579E-2</v>
      </c>
    </row>
    <row r="83" spans="1:1" ht="19.5" x14ac:dyDescent="0.35">
      <c r="A83" s="8">
        <v>-5.2198852772466497E-2</v>
      </c>
    </row>
    <row r="84" spans="1:1" ht="19.5" x14ac:dyDescent="0.35">
      <c r="A84" s="8">
        <v>-5.3009042719052005E-2</v>
      </c>
    </row>
    <row r="85" spans="1:1" ht="19.5" x14ac:dyDescent="0.35">
      <c r="A85" s="8">
        <v>-0.11506689936009301</v>
      </c>
    </row>
    <row r="86" spans="1:1" ht="19.5" x14ac:dyDescent="0.35">
      <c r="A86" s="8">
        <v>-7.10382513661202E-2</v>
      </c>
    </row>
    <row r="87" spans="1:1" ht="19.5" x14ac:dyDescent="0.35">
      <c r="A87" s="8">
        <v>-7.0784313725490197E-2</v>
      </c>
    </row>
    <row r="88" spans="1:1" ht="19.5" x14ac:dyDescent="0.35">
      <c r="A88" s="8">
        <v>-5.1108374384236502E-2</v>
      </c>
    </row>
    <row r="89" spans="1:1" ht="19.5" x14ac:dyDescent="0.35">
      <c r="A89" s="8">
        <v>-0.116716783606192</v>
      </c>
    </row>
    <row r="90" spans="1:1" ht="19.5" x14ac:dyDescent="0.35">
      <c r="A90" s="8">
        <v>-0.104037879784296</v>
      </c>
    </row>
    <row r="91" spans="1:1" ht="19.5" x14ac:dyDescent="0.35">
      <c r="A91" s="8">
        <v>-6.5096180652355798E-2</v>
      </c>
    </row>
    <row r="92" spans="1:1" ht="19.5" x14ac:dyDescent="0.35">
      <c r="A92" s="8">
        <v>-7.3305222186182295E-2</v>
      </c>
    </row>
    <row r="93" spans="1:1" ht="19.5" x14ac:dyDescent="0.35">
      <c r="A93" s="8">
        <v>-5.8548707753479097E-2</v>
      </c>
    </row>
    <row r="94" spans="1:1" ht="19.5" x14ac:dyDescent="0.35">
      <c r="A94" s="8">
        <v>-9.1934084995663495E-2</v>
      </c>
    </row>
    <row r="95" spans="1:1" ht="19.5" x14ac:dyDescent="0.35">
      <c r="A95" s="8">
        <v>-8.7191358024691398E-2</v>
      </c>
    </row>
    <row r="96" spans="1:1" ht="19.5" x14ac:dyDescent="0.35">
      <c r="A96" s="8">
        <v>-5.2504038772213199E-2</v>
      </c>
    </row>
    <row r="97" spans="1:1" ht="19.5" x14ac:dyDescent="0.35">
      <c r="A97" s="8">
        <v>-5.7560137457044698E-2</v>
      </c>
    </row>
    <row r="98" spans="1:1" ht="19.5" x14ac:dyDescent="0.35">
      <c r="A98" s="8">
        <v>-5.46875E-2</v>
      </c>
    </row>
    <row r="99" spans="1:1" ht="19.5" x14ac:dyDescent="0.35">
      <c r="A99" s="8">
        <v>-0.12080326325698201</v>
      </c>
    </row>
    <row r="100" spans="1:1" ht="19.5" x14ac:dyDescent="0.35">
      <c r="A100" s="8">
        <v>-0.12562455389007801</v>
      </c>
    </row>
    <row r="101" spans="1:1" ht="19.5" x14ac:dyDescent="0.35">
      <c r="A101" s="8">
        <v>-8.1326556120323301E-2</v>
      </c>
    </row>
    <row r="102" spans="1:1" ht="19.5" x14ac:dyDescent="0.35">
      <c r="A102" s="8">
        <v>-7.0864099327327193E-2</v>
      </c>
    </row>
    <row r="103" spans="1:1" ht="19.5" x14ac:dyDescent="0.35">
      <c r="A103" s="8">
        <v>-5.0231709813701501E-2</v>
      </c>
    </row>
    <row r="104" spans="1:1" ht="19.5" x14ac:dyDescent="0.35">
      <c r="A104" s="8">
        <v>-5.3070399509553397E-2</v>
      </c>
    </row>
    <row r="105" spans="1:1" ht="19.5" x14ac:dyDescent="0.35">
      <c r="A105" s="8">
        <v>-9.1824621864828801E-2</v>
      </c>
    </row>
    <row r="106" spans="1:1" ht="19.5" x14ac:dyDescent="0.35">
      <c r="A106" s="8">
        <v>-0.11358506576156101</v>
      </c>
    </row>
    <row r="107" spans="1:1" ht="19.5" x14ac:dyDescent="0.35">
      <c r="A107" s="8">
        <v>-5.9107000537504797E-2</v>
      </c>
    </row>
    <row r="108" spans="1:1" ht="19.5" x14ac:dyDescent="0.35">
      <c r="A108" s="8">
        <v>-0.11000906153967401</v>
      </c>
    </row>
  </sheetData>
  <mergeCells count="2">
    <mergeCell ref="C2:D2"/>
    <mergeCell ref="C3:D3"/>
  </mergeCells>
  <conditionalFormatting sqref="A1:A108">
    <cfRule type="cellIs" dxfId="2" priority="2" operator="greaterThan">
      <formula>0.05</formula>
    </cfRule>
    <cfRule type="cellIs" dxfId="1" priority="3" operator="lessThan">
      <formula>-0.05</formula>
    </cfRule>
  </conditionalFormatting>
  <conditionalFormatting sqref="A1:A108">
    <cfRule type="cellIs" dxfId="0" priority="1" operator="between">
      <formula>-0.05</formula>
      <formula>-0.03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3"/>
  <sheetViews>
    <sheetView workbookViewId="0">
      <selection activeCell="I11" sqref="I11"/>
    </sheetView>
  </sheetViews>
  <sheetFormatPr defaultRowHeight="15" x14ac:dyDescent="0.25"/>
  <cols>
    <col min="1" max="7" width="15.7109375" style="66" customWidth="1"/>
    <col min="8" max="16384" width="9.140625" style="66"/>
  </cols>
  <sheetData>
    <row r="1" spans="1:11" ht="21.75" customHeight="1" x14ac:dyDescent="0.25">
      <c r="A1" s="69" t="s">
        <v>15</v>
      </c>
      <c r="B1" s="69" t="s">
        <v>16</v>
      </c>
      <c r="C1" s="69" t="s">
        <v>17</v>
      </c>
      <c r="D1" s="69" t="s">
        <v>18</v>
      </c>
      <c r="E1" s="69" t="s">
        <v>19</v>
      </c>
      <c r="F1" s="69" t="s">
        <v>20</v>
      </c>
      <c r="G1" s="69" t="s">
        <v>21</v>
      </c>
    </row>
    <row r="2" spans="1:11" x14ac:dyDescent="0.25">
      <c r="A2" s="67">
        <v>2007</v>
      </c>
      <c r="B2" s="67" t="s">
        <v>22</v>
      </c>
      <c r="C2" s="67" t="s">
        <v>23</v>
      </c>
      <c r="D2" s="67" t="s">
        <v>24</v>
      </c>
      <c r="E2" s="67" t="s">
        <v>25</v>
      </c>
      <c r="F2" s="67">
        <v>805</v>
      </c>
      <c r="G2" s="68">
        <v>3187.8</v>
      </c>
    </row>
    <row r="3" spans="1:11" x14ac:dyDescent="0.25">
      <c r="A3" s="67">
        <v>2007</v>
      </c>
      <c r="B3" s="67" t="s">
        <v>26</v>
      </c>
      <c r="C3" s="67" t="s">
        <v>23</v>
      </c>
      <c r="D3" s="67" t="s">
        <v>27</v>
      </c>
      <c r="E3" s="67" t="s">
        <v>28</v>
      </c>
      <c r="F3" s="67">
        <v>992</v>
      </c>
      <c r="G3" s="68">
        <v>3412.48</v>
      </c>
    </row>
    <row r="4" spans="1:11" x14ac:dyDescent="0.25">
      <c r="A4" s="67">
        <v>2007</v>
      </c>
      <c r="B4" s="67" t="s">
        <v>29</v>
      </c>
      <c r="C4" s="67" t="s">
        <v>30</v>
      </c>
      <c r="D4" s="67" t="s">
        <v>24</v>
      </c>
      <c r="E4" s="67" t="s">
        <v>31</v>
      </c>
      <c r="F4" s="67">
        <v>712</v>
      </c>
      <c r="G4" s="68">
        <v>1808.48</v>
      </c>
    </row>
    <row r="5" spans="1:11" x14ac:dyDescent="0.25">
      <c r="A5" s="67">
        <v>2006</v>
      </c>
      <c r="B5" s="67" t="s">
        <v>26</v>
      </c>
      <c r="C5" s="67" t="s">
        <v>32</v>
      </c>
      <c r="D5" s="67" t="s">
        <v>27</v>
      </c>
      <c r="E5" s="67" t="s">
        <v>28</v>
      </c>
      <c r="F5" s="67">
        <v>904</v>
      </c>
      <c r="G5" s="68">
        <v>2260</v>
      </c>
      <c r="I5" s="83" t="s">
        <v>108</v>
      </c>
      <c r="J5" s="84"/>
      <c r="K5" s="85"/>
    </row>
    <row r="6" spans="1:11" x14ac:dyDescent="0.25">
      <c r="A6" s="67">
        <v>2006</v>
      </c>
      <c r="B6" s="67" t="s">
        <v>29</v>
      </c>
      <c r="C6" s="67" t="s">
        <v>23</v>
      </c>
      <c r="D6" s="67" t="s">
        <v>27</v>
      </c>
      <c r="E6" s="67" t="s">
        <v>28</v>
      </c>
      <c r="F6" s="67">
        <v>647</v>
      </c>
      <c r="G6" s="68">
        <v>2076.87</v>
      </c>
      <c r="I6" s="86">
        <f>SUMIFS(G2:G923,C2:C923,"east",E2:E923,"low fat")</f>
        <v>36238.99</v>
      </c>
      <c r="J6" s="87"/>
      <c r="K6" s="88"/>
    </row>
    <row r="7" spans="1:11" x14ac:dyDescent="0.25">
      <c r="A7" s="67">
        <v>2005</v>
      </c>
      <c r="B7" s="67" t="s">
        <v>33</v>
      </c>
      <c r="C7" s="67" t="s">
        <v>34</v>
      </c>
      <c r="D7" s="67" t="s">
        <v>35</v>
      </c>
      <c r="E7" s="67" t="s">
        <v>36</v>
      </c>
      <c r="F7" s="67">
        <v>739</v>
      </c>
      <c r="G7" s="68">
        <v>1707.09</v>
      </c>
    </row>
    <row r="8" spans="1:11" x14ac:dyDescent="0.25">
      <c r="A8" s="67">
        <v>2006</v>
      </c>
      <c r="B8" s="67" t="s">
        <v>26</v>
      </c>
      <c r="C8" s="67" t="s">
        <v>30</v>
      </c>
      <c r="D8" s="67" t="s">
        <v>24</v>
      </c>
      <c r="E8" s="67" t="s">
        <v>25</v>
      </c>
      <c r="F8" s="67">
        <v>974</v>
      </c>
      <c r="G8" s="68">
        <v>2181.7600000000002</v>
      </c>
      <c r="I8" s="83" t="s">
        <v>109</v>
      </c>
      <c r="J8" s="84"/>
      <c r="K8" s="85"/>
    </row>
    <row r="9" spans="1:11" x14ac:dyDescent="0.25">
      <c r="A9" s="67">
        <v>2007</v>
      </c>
      <c r="B9" s="67" t="s">
        <v>37</v>
      </c>
      <c r="C9" s="67" t="s">
        <v>32</v>
      </c>
      <c r="D9" s="67" t="s">
        <v>35</v>
      </c>
      <c r="E9" s="67" t="s">
        <v>38</v>
      </c>
      <c r="F9" s="67">
        <v>615</v>
      </c>
      <c r="G9" s="68">
        <v>1894.2</v>
      </c>
      <c r="I9" s="86">
        <v>7762.83</v>
      </c>
      <c r="J9" s="87"/>
      <c r="K9" s="88"/>
    </row>
    <row r="10" spans="1:11" x14ac:dyDescent="0.25">
      <c r="A10" s="67">
        <v>2007</v>
      </c>
      <c r="B10" s="67" t="s">
        <v>39</v>
      </c>
      <c r="C10" s="67" t="s">
        <v>34</v>
      </c>
      <c r="D10" s="67" t="s">
        <v>35</v>
      </c>
      <c r="E10" s="67" t="s">
        <v>40</v>
      </c>
      <c r="F10" s="67">
        <v>714</v>
      </c>
      <c r="G10" s="68">
        <v>1856.4</v>
      </c>
      <c r="I10" s="89" t="s">
        <v>110</v>
      </c>
      <c r="J10" s="89"/>
      <c r="K10" s="89"/>
    </row>
    <row r="11" spans="1:11" x14ac:dyDescent="0.25">
      <c r="A11" s="67">
        <v>2006</v>
      </c>
      <c r="B11" s="67" t="s">
        <v>41</v>
      </c>
      <c r="C11" s="67" t="s">
        <v>23</v>
      </c>
      <c r="D11" s="67" t="s">
        <v>42</v>
      </c>
      <c r="E11" s="67" t="s">
        <v>43</v>
      </c>
      <c r="F11" s="67">
        <v>703</v>
      </c>
      <c r="G11" s="68">
        <v>1553.63</v>
      </c>
    </row>
    <row r="12" spans="1:11" x14ac:dyDescent="0.25">
      <c r="A12" s="67">
        <v>2005</v>
      </c>
      <c r="B12" s="67" t="s">
        <v>37</v>
      </c>
      <c r="C12" s="67" t="s">
        <v>34</v>
      </c>
      <c r="D12" s="67" t="s">
        <v>27</v>
      </c>
      <c r="E12" s="67" t="s">
        <v>28</v>
      </c>
      <c r="F12" s="67">
        <v>528</v>
      </c>
      <c r="G12" s="68">
        <v>2064.48</v>
      </c>
    </row>
    <row r="13" spans="1:11" x14ac:dyDescent="0.25">
      <c r="A13" s="67">
        <v>2006</v>
      </c>
      <c r="B13" s="67" t="s">
        <v>44</v>
      </c>
      <c r="C13" s="67" t="s">
        <v>30</v>
      </c>
      <c r="D13" s="67" t="s">
        <v>42</v>
      </c>
      <c r="E13" s="67" t="s">
        <v>45</v>
      </c>
      <c r="F13" s="67">
        <v>644</v>
      </c>
      <c r="G13" s="68">
        <v>1809.64</v>
      </c>
    </row>
    <row r="14" spans="1:11" x14ac:dyDescent="0.25">
      <c r="A14" s="67">
        <v>2005</v>
      </c>
      <c r="B14" s="67" t="s">
        <v>37</v>
      </c>
      <c r="C14" s="67" t="s">
        <v>23</v>
      </c>
      <c r="D14" s="67" t="s">
        <v>35</v>
      </c>
      <c r="E14" s="67" t="s">
        <v>46</v>
      </c>
      <c r="F14" s="67">
        <v>919</v>
      </c>
      <c r="G14" s="68">
        <v>2196.41</v>
      </c>
    </row>
    <row r="15" spans="1:11" x14ac:dyDescent="0.25">
      <c r="A15" s="67">
        <v>2007</v>
      </c>
      <c r="B15" s="67" t="s">
        <v>41</v>
      </c>
      <c r="C15" s="67" t="s">
        <v>34</v>
      </c>
      <c r="D15" s="67" t="s">
        <v>24</v>
      </c>
      <c r="E15" s="67" t="s">
        <v>31</v>
      </c>
      <c r="F15" s="67">
        <v>767</v>
      </c>
      <c r="G15" s="68">
        <v>1932.84</v>
      </c>
    </row>
    <row r="16" spans="1:11" x14ac:dyDescent="0.25">
      <c r="A16" s="67">
        <v>2007</v>
      </c>
      <c r="B16" s="67" t="s">
        <v>37</v>
      </c>
      <c r="C16" s="67" t="s">
        <v>34</v>
      </c>
      <c r="D16" s="67" t="s">
        <v>42</v>
      </c>
      <c r="E16" s="67" t="s">
        <v>45</v>
      </c>
      <c r="F16" s="67">
        <v>984</v>
      </c>
      <c r="G16" s="68">
        <v>1987.68</v>
      </c>
    </row>
    <row r="17" spans="1:7" x14ac:dyDescent="0.25">
      <c r="A17" s="67">
        <v>2005</v>
      </c>
      <c r="B17" s="67" t="s">
        <v>26</v>
      </c>
      <c r="C17" s="67" t="s">
        <v>23</v>
      </c>
      <c r="D17" s="67" t="s">
        <v>42</v>
      </c>
      <c r="E17" s="67" t="s">
        <v>45</v>
      </c>
      <c r="F17" s="67">
        <v>744</v>
      </c>
      <c r="G17" s="68">
        <v>2217.12</v>
      </c>
    </row>
    <row r="18" spans="1:7" x14ac:dyDescent="0.25">
      <c r="A18" s="67">
        <v>2007</v>
      </c>
      <c r="B18" s="67" t="s">
        <v>33</v>
      </c>
      <c r="C18" s="67" t="s">
        <v>30</v>
      </c>
      <c r="D18" s="67" t="s">
        <v>27</v>
      </c>
      <c r="E18" s="67" t="s">
        <v>28</v>
      </c>
      <c r="F18" s="67">
        <v>693</v>
      </c>
      <c r="G18" s="68">
        <v>2189.88</v>
      </c>
    </row>
    <row r="19" spans="1:7" x14ac:dyDescent="0.25">
      <c r="A19" s="67">
        <v>2006</v>
      </c>
      <c r="B19" s="67" t="s">
        <v>44</v>
      </c>
      <c r="C19" s="67" t="s">
        <v>30</v>
      </c>
      <c r="D19" s="67" t="s">
        <v>24</v>
      </c>
      <c r="E19" s="67" t="s">
        <v>47</v>
      </c>
      <c r="F19" s="67">
        <v>658</v>
      </c>
      <c r="G19" s="68">
        <v>1895.04</v>
      </c>
    </row>
    <row r="20" spans="1:7" x14ac:dyDescent="0.25">
      <c r="A20" s="67">
        <v>2005</v>
      </c>
      <c r="B20" s="67" t="s">
        <v>48</v>
      </c>
      <c r="C20" s="67" t="s">
        <v>30</v>
      </c>
      <c r="D20" s="67" t="s">
        <v>27</v>
      </c>
      <c r="E20" s="67" t="s">
        <v>49</v>
      </c>
      <c r="F20" s="67">
        <v>878</v>
      </c>
      <c r="G20" s="68">
        <v>3274.94</v>
      </c>
    </row>
    <row r="21" spans="1:7" x14ac:dyDescent="0.25">
      <c r="A21" s="67">
        <v>2005</v>
      </c>
      <c r="B21" s="67" t="s">
        <v>41</v>
      </c>
      <c r="C21" s="67" t="s">
        <v>23</v>
      </c>
      <c r="D21" s="67" t="s">
        <v>27</v>
      </c>
      <c r="E21" s="67" t="s">
        <v>49</v>
      </c>
      <c r="F21" s="67">
        <v>848</v>
      </c>
      <c r="G21" s="68">
        <v>3281.76</v>
      </c>
    </row>
    <row r="22" spans="1:7" x14ac:dyDescent="0.25">
      <c r="A22" s="67">
        <v>2007</v>
      </c>
      <c r="B22" s="67" t="s">
        <v>22</v>
      </c>
      <c r="C22" s="67" t="s">
        <v>23</v>
      </c>
      <c r="D22" s="67" t="s">
        <v>24</v>
      </c>
      <c r="E22" s="67" t="s">
        <v>25</v>
      </c>
      <c r="F22" s="67">
        <v>547</v>
      </c>
      <c r="G22" s="68">
        <v>1247.1600000000001</v>
      </c>
    </row>
    <row r="23" spans="1:7" x14ac:dyDescent="0.25">
      <c r="A23" s="67">
        <v>2005</v>
      </c>
      <c r="B23" s="67" t="s">
        <v>37</v>
      </c>
      <c r="C23" s="67" t="s">
        <v>34</v>
      </c>
      <c r="D23" s="67" t="s">
        <v>27</v>
      </c>
      <c r="E23" s="67" t="s">
        <v>28</v>
      </c>
      <c r="F23" s="67">
        <v>664</v>
      </c>
      <c r="G23" s="68">
        <v>1513.92</v>
      </c>
    </row>
    <row r="24" spans="1:7" x14ac:dyDescent="0.25">
      <c r="A24" s="67">
        <v>2007</v>
      </c>
      <c r="B24" s="67" t="s">
        <v>50</v>
      </c>
      <c r="C24" s="67" t="s">
        <v>23</v>
      </c>
      <c r="D24" s="67" t="s">
        <v>27</v>
      </c>
      <c r="E24" s="67" t="s">
        <v>28</v>
      </c>
      <c r="F24" s="67">
        <v>882</v>
      </c>
      <c r="G24" s="68">
        <v>2716.56</v>
      </c>
    </row>
    <row r="25" spans="1:7" x14ac:dyDescent="0.25">
      <c r="A25" s="67">
        <v>2007</v>
      </c>
      <c r="B25" s="67" t="s">
        <v>51</v>
      </c>
      <c r="C25" s="67" t="s">
        <v>34</v>
      </c>
      <c r="D25" s="67" t="s">
        <v>35</v>
      </c>
      <c r="E25" s="67" t="s">
        <v>36</v>
      </c>
      <c r="F25" s="67">
        <v>930</v>
      </c>
      <c r="G25" s="68">
        <v>2408.6999999999998</v>
      </c>
    </row>
    <row r="26" spans="1:7" x14ac:dyDescent="0.25">
      <c r="A26" s="67">
        <v>2005</v>
      </c>
      <c r="B26" s="67" t="s">
        <v>48</v>
      </c>
      <c r="C26" s="67" t="s">
        <v>30</v>
      </c>
      <c r="D26" s="67" t="s">
        <v>42</v>
      </c>
      <c r="E26" s="67" t="s">
        <v>43</v>
      </c>
      <c r="F26" s="67">
        <v>735</v>
      </c>
      <c r="G26" s="68">
        <v>2594.5500000000002</v>
      </c>
    </row>
    <row r="27" spans="1:7" x14ac:dyDescent="0.25">
      <c r="A27" s="67">
        <v>2007</v>
      </c>
      <c r="B27" s="67" t="s">
        <v>39</v>
      </c>
      <c r="C27" s="67" t="s">
        <v>32</v>
      </c>
      <c r="D27" s="67" t="s">
        <v>27</v>
      </c>
      <c r="E27" s="67" t="s">
        <v>28</v>
      </c>
      <c r="F27" s="67">
        <v>557</v>
      </c>
      <c r="G27" s="68">
        <v>1542.89</v>
      </c>
    </row>
    <row r="28" spans="1:7" x14ac:dyDescent="0.25">
      <c r="A28" s="67">
        <v>2007</v>
      </c>
      <c r="B28" s="67" t="s">
        <v>39</v>
      </c>
      <c r="C28" s="67" t="s">
        <v>34</v>
      </c>
      <c r="D28" s="67" t="s">
        <v>27</v>
      </c>
      <c r="E28" s="67" t="s">
        <v>49</v>
      </c>
      <c r="F28" s="67">
        <v>790</v>
      </c>
      <c r="G28" s="68">
        <v>2456.9</v>
      </c>
    </row>
    <row r="29" spans="1:7" x14ac:dyDescent="0.25">
      <c r="A29" s="67">
        <v>2007</v>
      </c>
      <c r="B29" s="67" t="s">
        <v>22</v>
      </c>
      <c r="C29" s="67" t="s">
        <v>23</v>
      </c>
      <c r="D29" s="67" t="s">
        <v>27</v>
      </c>
      <c r="E29" s="67" t="s">
        <v>49</v>
      </c>
      <c r="F29" s="67">
        <v>730</v>
      </c>
      <c r="G29" s="68">
        <v>2664.5</v>
      </c>
    </row>
    <row r="30" spans="1:7" x14ac:dyDescent="0.25">
      <c r="A30" s="67">
        <v>2006</v>
      </c>
      <c r="B30" s="67" t="s">
        <v>52</v>
      </c>
      <c r="C30" s="67" t="s">
        <v>23</v>
      </c>
      <c r="D30" s="67" t="s">
        <v>35</v>
      </c>
      <c r="E30" s="67" t="s">
        <v>36</v>
      </c>
      <c r="F30" s="67">
        <v>815</v>
      </c>
      <c r="G30" s="68">
        <v>2901.4</v>
      </c>
    </row>
    <row r="31" spans="1:7" x14ac:dyDescent="0.25">
      <c r="A31" s="67">
        <v>2005</v>
      </c>
      <c r="B31" s="67" t="s">
        <v>22</v>
      </c>
      <c r="C31" s="67" t="s">
        <v>34</v>
      </c>
      <c r="D31" s="67" t="s">
        <v>35</v>
      </c>
      <c r="E31" s="67" t="s">
        <v>36</v>
      </c>
      <c r="F31" s="67">
        <v>727</v>
      </c>
      <c r="G31" s="68">
        <v>2006.52</v>
      </c>
    </row>
    <row r="32" spans="1:7" x14ac:dyDescent="0.25">
      <c r="A32" s="67">
        <v>2006</v>
      </c>
      <c r="B32" s="67" t="s">
        <v>44</v>
      </c>
      <c r="C32" s="67" t="s">
        <v>32</v>
      </c>
      <c r="D32" s="67" t="s">
        <v>42</v>
      </c>
      <c r="E32" s="67" t="s">
        <v>53</v>
      </c>
      <c r="F32" s="67">
        <v>644</v>
      </c>
      <c r="G32" s="68">
        <v>1713.04</v>
      </c>
    </row>
    <row r="33" spans="1:7" x14ac:dyDescent="0.25">
      <c r="A33" s="67">
        <v>2006</v>
      </c>
      <c r="B33" s="67" t="s">
        <v>29</v>
      </c>
      <c r="C33" s="67" t="s">
        <v>23</v>
      </c>
      <c r="D33" s="67" t="s">
        <v>42</v>
      </c>
      <c r="E33" s="67" t="s">
        <v>45</v>
      </c>
      <c r="F33" s="67">
        <v>939</v>
      </c>
      <c r="G33" s="68">
        <v>2319.33</v>
      </c>
    </row>
    <row r="34" spans="1:7" x14ac:dyDescent="0.25">
      <c r="A34" s="67">
        <v>2005</v>
      </c>
      <c r="B34" s="67" t="s">
        <v>37</v>
      </c>
      <c r="C34" s="67" t="s">
        <v>32</v>
      </c>
      <c r="D34" s="67" t="s">
        <v>42</v>
      </c>
      <c r="E34" s="67" t="s">
        <v>45</v>
      </c>
      <c r="F34" s="67">
        <v>739</v>
      </c>
      <c r="G34" s="68">
        <v>1544.51</v>
      </c>
    </row>
    <row r="35" spans="1:7" x14ac:dyDescent="0.25">
      <c r="A35" s="67">
        <v>2006</v>
      </c>
      <c r="B35" s="67" t="s">
        <v>39</v>
      </c>
      <c r="C35" s="67" t="s">
        <v>32</v>
      </c>
      <c r="D35" s="67" t="s">
        <v>42</v>
      </c>
      <c r="E35" s="67" t="s">
        <v>45</v>
      </c>
      <c r="F35" s="67">
        <v>866</v>
      </c>
      <c r="G35" s="68">
        <v>2866.46</v>
      </c>
    </row>
    <row r="36" spans="1:7" x14ac:dyDescent="0.25">
      <c r="A36" s="67">
        <v>2006</v>
      </c>
      <c r="B36" s="67" t="s">
        <v>29</v>
      </c>
      <c r="C36" s="67" t="s">
        <v>23</v>
      </c>
      <c r="D36" s="67" t="s">
        <v>35</v>
      </c>
      <c r="E36" s="67" t="s">
        <v>46</v>
      </c>
      <c r="F36" s="67">
        <v>513</v>
      </c>
      <c r="G36" s="68">
        <v>1395.36</v>
      </c>
    </row>
    <row r="37" spans="1:7" x14ac:dyDescent="0.25">
      <c r="A37" s="67">
        <v>2007</v>
      </c>
      <c r="B37" s="67" t="s">
        <v>39</v>
      </c>
      <c r="C37" s="67" t="s">
        <v>34</v>
      </c>
      <c r="D37" s="67" t="s">
        <v>27</v>
      </c>
      <c r="E37" s="67" t="s">
        <v>28</v>
      </c>
      <c r="F37" s="67">
        <v>534</v>
      </c>
      <c r="G37" s="68">
        <v>1244.22</v>
      </c>
    </row>
    <row r="38" spans="1:7" x14ac:dyDescent="0.25">
      <c r="A38" s="67">
        <v>2007</v>
      </c>
      <c r="B38" s="67" t="s">
        <v>33</v>
      </c>
      <c r="C38" s="67" t="s">
        <v>30</v>
      </c>
      <c r="D38" s="67" t="s">
        <v>42</v>
      </c>
      <c r="E38" s="67" t="s">
        <v>53</v>
      </c>
      <c r="F38" s="67">
        <v>587</v>
      </c>
      <c r="G38" s="68">
        <v>1590.77</v>
      </c>
    </row>
    <row r="39" spans="1:7" x14ac:dyDescent="0.25">
      <c r="A39" s="67">
        <v>2007</v>
      </c>
      <c r="B39" s="67" t="s">
        <v>44</v>
      </c>
      <c r="C39" s="67" t="s">
        <v>34</v>
      </c>
      <c r="D39" s="67" t="s">
        <v>35</v>
      </c>
      <c r="E39" s="67" t="s">
        <v>38</v>
      </c>
      <c r="F39" s="67">
        <v>770</v>
      </c>
      <c r="G39" s="68">
        <v>1817.2</v>
      </c>
    </row>
    <row r="40" spans="1:7" x14ac:dyDescent="0.25">
      <c r="A40" s="67">
        <v>2006</v>
      </c>
      <c r="B40" s="67" t="s">
        <v>26</v>
      </c>
      <c r="C40" s="67" t="s">
        <v>32</v>
      </c>
      <c r="D40" s="67" t="s">
        <v>24</v>
      </c>
      <c r="E40" s="67" t="s">
        <v>25</v>
      </c>
      <c r="F40" s="67">
        <v>536</v>
      </c>
      <c r="G40" s="68">
        <v>1972.48</v>
      </c>
    </row>
    <row r="41" spans="1:7" x14ac:dyDescent="0.25">
      <c r="A41" s="67">
        <v>2005</v>
      </c>
      <c r="B41" s="67" t="s">
        <v>33</v>
      </c>
      <c r="C41" s="67" t="s">
        <v>30</v>
      </c>
      <c r="D41" s="67" t="s">
        <v>35</v>
      </c>
      <c r="E41" s="67" t="s">
        <v>46</v>
      </c>
      <c r="F41" s="67">
        <v>787</v>
      </c>
      <c r="G41" s="68">
        <v>1967.5</v>
      </c>
    </row>
    <row r="42" spans="1:7" x14ac:dyDescent="0.25">
      <c r="A42" s="67">
        <v>2005</v>
      </c>
      <c r="B42" s="67" t="s">
        <v>29</v>
      </c>
      <c r="C42" s="67" t="s">
        <v>34</v>
      </c>
      <c r="D42" s="67" t="s">
        <v>42</v>
      </c>
      <c r="E42" s="67" t="s">
        <v>43</v>
      </c>
      <c r="F42" s="67">
        <v>687</v>
      </c>
      <c r="G42" s="68">
        <v>2397.63</v>
      </c>
    </row>
    <row r="43" spans="1:7" x14ac:dyDescent="0.25">
      <c r="A43" s="67">
        <v>2005</v>
      </c>
      <c r="B43" s="67" t="s">
        <v>22</v>
      </c>
      <c r="C43" s="67" t="s">
        <v>34</v>
      </c>
      <c r="D43" s="67" t="s">
        <v>24</v>
      </c>
      <c r="E43" s="67" t="s">
        <v>25</v>
      </c>
      <c r="F43" s="67">
        <v>687</v>
      </c>
      <c r="G43" s="68">
        <v>1449.57</v>
      </c>
    </row>
    <row r="44" spans="1:7" x14ac:dyDescent="0.25">
      <c r="A44" s="67">
        <v>2007</v>
      </c>
      <c r="B44" s="67" t="s">
        <v>26</v>
      </c>
      <c r="C44" s="67" t="s">
        <v>34</v>
      </c>
      <c r="D44" s="67" t="s">
        <v>42</v>
      </c>
      <c r="E44" s="67" t="s">
        <v>43</v>
      </c>
      <c r="F44" s="67">
        <v>943</v>
      </c>
      <c r="G44" s="68">
        <v>1886</v>
      </c>
    </row>
    <row r="45" spans="1:7" x14ac:dyDescent="0.25">
      <c r="A45" s="67">
        <v>2006</v>
      </c>
      <c r="B45" s="67" t="s">
        <v>41</v>
      </c>
      <c r="C45" s="67" t="s">
        <v>23</v>
      </c>
      <c r="D45" s="67" t="s">
        <v>24</v>
      </c>
      <c r="E45" s="67" t="s">
        <v>25</v>
      </c>
      <c r="F45" s="67">
        <v>731</v>
      </c>
      <c r="G45" s="68">
        <v>2485.4</v>
      </c>
    </row>
    <row r="46" spans="1:7" x14ac:dyDescent="0.25">
      <c r="A46" s="67">
        <v>2007</v>
      </c>
      <c r="B46" s="67" t="s">
        <v>44</v>
      </c>
      <c r="C46" s="67" t="s">
        <v>30</v>
      </c>
      <c r="D46" s="67" t="s">
        <v>35</v>
      </c>
      <c r="E46" s="67" t="s">
        <v>38</v>
      </c>
      <c r="F46" s="67">
        <v>993</v>
      </c>
      <c r="G46" s="68">
        <v>3227.25</v>
      </c>
    </row>
    <row r="47" spans="1:7" x14ac:dyDescent="0.25">
      <c r="A47" s="67">
        <v>2007</v>
      </c>
      <c r="B47" s="67" t="s">
        <v>26</v>
      </c>
      <c r="C47" s="67" t="s">
        <v>34</v>
      </c>
      <c r="D47" s="67" t="s">
        <v>35</v>
      </c>
      <c r="E47" s="67" t="s">
        <v>36</v>
      </c>
      <c r="F47" s="67">
        <v>686</v>
      </c>
      <c r="G47" s="68">
        <v>1996.26</v>
      </c>
    </row>
    <row r="48" spans="1:7" x14ac:dyDescent="0.25">
      <c r="A48" s="67">
        <v>2005</v>
      </c>
      <c r="B48" s="67" t="s">
        <v>26</v>
      </c>
      <c r="C48" s="67" t="s">
        <v>23</v>
      </c>
      <c r="D48" s="67" t="s">
        <v>35</v>
      </c>
      <c r="E48" s="67" t="s">
        <v>38</v>
      </c>
      <c r="F48" s="67">
        <v>675</v>
      </c>
      <c r="G48" s="68">
        <v>2457</v>
      </c>
    </row>
    <row r="49" spans="1:7" x14ac:dyDescent="0.25">
      <c r="A49" s="67">
        <v>2005</v>
      </c>
      <c r="B49" s="67" t="s">
        <v>41</v>
      </c>
      <c r="C49" s="67" t="s">
        <v>30</v>
      </c>
      <c r="D49" s="67" t="s">
        <v>24</v>
      </c>
      <c r="E49" s="67" t="s">
        <v>47</v>
      </c>
      <c r="F49" s="67">
        <v>598</v>
      </c>
      <c r="G49" s="68">
        <v>1477.06</v>
      </c>
    </row>
    <row r="50" spans="1:7" x14ac:dyDescent="0.25">
      <c r="A50" s="67">
        <v>2006</v>
      </c>
      <c r="B50" s="67" t="s">
        <v>51</v>
      </c>
      <c r="C50" s="67" t="s">
        <v>23</v>
      </c>
      <c r="D50" s="67" t="s">
        <v>42</v>
      </c>
      <c r="E50" s="67" t="s">
        <v>45</v>
      </c>
      <c r="F50" s="67">
        <v>604</v>
      </c>
      <c r="G50" s="68">
        <v>1963</v>
      </c>
    </row>
    <row r="51" spans="1:7" x14ac:dyDescent="0.25">
      <c r="A51" s="67">
        <v>2006</v>
      </c>
      <c r="B51" s="67" t="s">
        <v>51</v>
      </c>
      <c r="C51" s="67" t="s">
        <v>23</v>
      </c>
      <c r="D51" s="67" t="s">
        <v>27</v>
      </c>
      <c r="E51" s="67" t="s">
        <v>49</v>
      </c>
      <c r="F51" s="67">
        <v>693</v>
      </c>
      <c r="G51" s="68">
        <v>1517.67</v>
      </c>
    </row>
    <row r="52" spans="1:7" x14ac:dyDescent="0.25">
      <c r="A52" s="67">
        <v>2006</v>
      </c>
      <c r="B52" s="67" t="s">
        <v>51</v>
      </c>
      <c r="C52" s="67" t="s">
        <v>32</v>
      </c>
      <c r="D52" s="67" t="s">
        <v>24</v>
      </c>
      <c r="E52" s="67" t="s">
        <v>31</v>
      </c>
      <c r="F52" s="67">
        <v>766</v>
      </c>
      <c r="G52" s="68">
        <v>1646.9</v>
      </c>
    </row>
    <row r="53" spans="1:7" x14ac:dyDescent="0.25">
      <c r="A53" s="67">
        <v>2007</v>
      </c>
      <c r="B53" s="67" t="s">
        <v>50</v>
      </c>
      <c r="C53" s="67" t="s">
        <v>34</v>
      </c>
      <c r="D53" s="67" t="s">
        <v>42</v>
      </c>
      <c r="E53" s="67" t="s">
        <v>43</v>
      </c>
      <c r="F53" s="67">
        <v>509</v>
      </c>
      <c r="G53" s="68">
        <v>1812.04</v>
      </c>
    </row>
    <row r="54" spans="1:7" x14ac:dyDescent="0.25">
      <c r="A54" s="67">
        <v>2005</v>
      </c>
      <c r="B54" s="67" t="s">
        <v>50</v>
      </c>
      <c r="C54" s="67" t="s">
        <v>23</v>
      </c>
      <c r="D54" s="67" t="s">
        <v>35</v>
      </c>
      <c r="E54" s="67" t="s">
        <v>40</v>
      </c>
      <c r="F54" s="67">
        <v>901</v>
      </c>
      <c r="G54" s="68">
        <v>2234.48</v>
      </c>
    </row>
    <row r="55" spans="1:7" x14ac:dyDescent="0.25">
      <c r="A55" s="67">
        <v>2006</v>
      </c>
      <c r="B55" s="67" t="s">
        <v>37</v>
      </c>
      <c r="C55" s="67" t="s">
        <v>30</v>
      </c>
      <c r="D55" s="67" t="s">
        <v>42</v>
      </c>
      <c r="E55" s="67" t="s">
        <v>43</v>
      </c>
      <c r="F55" s="67">
        <v>625</v>
      </c>
      <c r="G55" s="68">
        <v>1368.75</v>
      </c>
    </row>
    <row r="56" spans="1:7" x14ac:dyDescent="0.25">
      <c r="A56" s="67">
        <v>2007</v>
      </c>
      <c r="B56" s="67" t="s">
        <v>41</v>
      </c>
      <c r="C56" s="67" t="s">
        <v>30</v>
      </c>
      <c r="D56" s="67" t="s">
        <v>24</v>
      </c>
      <c r="E56" s="67" t="s">
        <v>54</v>
      </c>
      <c r="F56" s="67">
        <v>914</v>
      </c>
      <c r="G56" s="68">
        <v>3518.9</v>
      </c>
    </row>
    <row r="57" spans="1:7" x14ac:dyDescent="0.25">
      <c r="A57" s="67">
        <v>2006</v>
      </c>
      <c r="B57" s="67" t="s">
        <v>26</v>
      </c>
      <c r="C57" s="67" t="s">
        <v>30</v>
      </c>
      <c r="D57" s="67" t="s">
        <v>42</v>
      </c>
      <c r="E57" s="67" t="s">
        <v>53</v>
      </c>
      <c r="F57" s="67">
        <v>768</v>
      </c>
      <c r="G57" s="68">
        <v>2027.52</v>
      </c>
    </row>
    <row r="58" spans="1:7" x14ac:dyDescent="0.25">
      <c r="A58" s="67">
        <v>2005</v>
      </c>
      <c r="B58" s="67" t="s">
        <v>50</v>
      </c>
      <c r="C58" s="67" t="s">
        <v>34</v>
      </c>
      <c r="D58" s="67" t="s">
        <v>35</v>
      </c>
      <c r="E58" s="67" t="s">
        <v>38</v>
      </c>
      <c r="F58" s="67">
        <v>681</v>
      </c>
      <c r="G58" s="68">
        <v>1695.69</v>
      </c>
    </row>
    <row r="59" spans="1:7" x14ac:dyDescent="0.25">
      <c r="A59" s="67">
        <v>2007</v>
      </c>
      <c r="B59" s="67" t="s">
        <v>22</v>
      </c>
      <c r="C59" s="67" t="s">
        <v>34</v>
      </c>
      <c r="D59" s="67" t="s">
        <v>27</v>
      </c>
      <c r="E59" s="67" t="s">
        <v>55</v>
      </c>
      <c r="F59" s="67">
        <v>630</v>
      </c>
      <c r="G59" s="68">
        <v>2186.1</v>
      </c>
    </row>
    <row r="60" spans="1:7" x14ac:dyDescent="0.25">
      <c r="A60" s="67">
        <v>2007</v>
      </c>
      <c r="B60" s="67" t="s">
        <v>29</v>
      </c>
      <c r="C60" s="67" t="s">
        <v>32</v>
      </c>
      <c r="D60" s="67" t="s">
        <v>35</v>
      </c>
      <c r="E60" s="67" t="s">
        <v>36</v>
      </c>
      <c r="F60" s="67">
        <v>704</v>
      </c>
      <c r="G60" s="68">
        <v>2471.04</v>
      </c>
    </row>
    <row r="61" spans="1:7" x14ac:dyDescent="0.25">
      <c r="A61" s="67">
        <v>2006</v>
      </c>
      <c r="B61" s="67" t="s">
        <v>26</v>
      </c>
      <c r="C61" s="67" t="s">
        <v>32</v>
      </c>
      <c r="D61" s="67" t="s">
        <v>35</v>
      </c>
      <c r="E61" s="67" t="s">
        <v>40</v>
      </c>
      <c r="F61" s="67">
        <v>806</v>
      </c>
      <c r="G61" s="68">
        <v>1781.26</v>
      </c>
    </row>
    <row r="62" spans="1:7" x14ac:dyDescent="0.25">
      <c r="A62" s="67">
        <v>2006</v>
      </c>
      <c r="B62" s="67" t="s">
        <v>50</v>
      </c>
      <c r="C62" s="67" t="s">
        <v>34</v>
      </c>
      <c r="D62" s="67" t="s">
        <v>35</v>
      </c>
      <c r="E62" s="67" t="s">
        <v>36</v>
      </c>
      <c r="F62" s="67">
        <v>673</v>
      </c>
      <c r="G62" s="68">
        <v>2591.0500000000002</v>
      </c>
    </row>
    <row r="63" spans="1:7" x14ac:dyDescent="0.25">
      <c r="A63" s="67">
        <v>2007</v>
      </c>
      <c r="B63" s="67" t="s">
        <v>41</v>
      </c>
      <c r="C63" s="67" t="s">
        <v>34</v>
      </c>
      <c r="D63" s="67" t="s">
        <v>24</v>
      </c>
      <c r="E63" s="67" t="s">
        <v>25</v>
      </c>
      <c r="F63" s="67">
        <v>920</v>
      </c>
      <c r="G63" s="68">
        <v>3293.6</v>
      </c>
    </row>
    <row r="64" spans="1:7" x14ac:dyDescent="0.25">
      <c r="A64" s="67">
        <v>2007</v>
      </c>
      <c r="B64" s="67" t="s">
        <v>44</v>
      </c>
      <c r="C64" s="67" t="s">
        <v>34</v>
      </c>
      <c r="D64" s="67" t="s">
        <v>27</v>
      </c>
      <c r="E64" s="67" t="s">
        <v>28</v>
      </c>
      <c r="F64" s="67">
        <v>651</v>
      </c>
      <c r="G64" s="68">
        <v>2180.85</v>
      </c>
    </row>
    <row r="65" spans="1:7" x14ac:dyDescent="0.25">
      <c r="A65" s="67">
        <v>2005</v>
      </c>
      <c r="B65" s="67" t="s">
        <v>37</v>
      </c>
      <c r="C65" s="67" t="s">
        <v>34</v>
      </c>
      <c r="D65" s="67" t="s">
        <v>42</v>
      </c>
      <c r="E65" s="67" t="s">
        <v>45</v>
      </c>
      <c r="F65" s="67">
        <v>775</v>
      </c>
      <c r="G65" s="68">
        <v>1860</v>
      </c>
    </row>
    <row r="66" spans="1:7" x14ac:dyDescent="0.25">
      <c r="A66" s="67">
        <v>2007</v>
      </c>
      <c r="B66" s="67" t="s">
        <v>41</v>
      </c>
      <c r="C66" s="67" t="s">
        <v>23</v>
      </c>
      <c r="D66" s="67" t="s">
        <v>42</v>
      </c>
      <c r="E66" s="67" t="s">
        <v>43</v>
      </c>
      <c r="F66" s="67">
        <v>583</v>
      </c>
      <c r="G66" s="68">
        <v>1953.05</v>
      </c>
    </row>
    <row r="67" spans="1:7" x14ac:dyDescent="0.25">
      <c r="A67" s="67">
        <v>2006</v>
      </c>
      <c r="B67" s="67" t="s">
        <v>52</v>
      </c>
      <c r="C67" s="67" t="s">
        <v>30</v>
      </c>
      <c r="D67" s="67" t="s">
        <v>42</v>
      </c>
      <c r="E67" s="67" t="s">
        <v>53</v>
      </c>
      <c r="F67" s="67">
        <v>542</v>
      </c>
      <c r="G67" s="68">
        <v>2059.6</v>
      </c>
    </row>
    <row r="68" spans="1:7" x14ac:dyDescent="0.25">
      <c r="A68" s="67">
        <v>2005</v>
      </c>
      <c r="B68" s="67" t="s">
        <v>41</v>
      </c>
      <c r="C68" s="67" t="s">
        <v>30</v>
      </c>
      <c r="D68" s="67" t="s">
        <v>42</v>
      </c>
      <c r="E68" s="67" t="s">
        <v>45</v>
      </c>
      <c r="F68" s="67">
        <v>952</v>
      </c>
      <c r="G68" s="68">
        <v>3303.44</v>
      </c>
    </row>
    <row r="69" spans="1:7" x14ac:dyDescent="0.25">
      <c r="A69" s="67">
        <v>2005</v>
      </c>
      <c r="B69" s="67" t="s">
        <v>29</v>
      </c>
      <c r="C69" s="67" t="s">
        <v>30</v>
      </c>
      <c r="D69" s="67" t="s">
        <v>24</v>
      </c>
      <c r="E69" s="67" t="s">
        <v>47</v>
      </c>
      <c r="F69" s="67">
        <v>618</v>
      </c>
      <c r="G69" s="68">
        <v>2329.86</v>
      </c>
    </row>
    <row r="70" spans="1:7" x14ac:dyDescent="0.25">
      <c r="A70" s="67">
        <v>2005</v>
      </c>
      <c r="B70" s="67" t="s">
        <v>22</v>
      </c>
      <c r="C70" s="67" t="s">
        <v>34</v>
      </c>
      <c r="D70" s="67" t="s">
        <v>24</v>
      </c>
      <c r="E70" s="67" t="s">
        <v>47</v>
      </c>
      <c r="F70" s="67">
        <v>573</v>
      </c>
      <c r="G70" s="68">
        <v>1839.33</v>
      </c>
    </row>
    <row r="71" spans="1:7" x14ac:dyDescent="0.25">
      <c r="A71" s="67">
        <v>2005</v>
      </c>
      <c r="B71" s="67" t="s">
        <v>22</v>
      </c>
      <c r="C71" s="67" t="s">
        <v>30</v>
      </c>
      <c r="D71" s="67" t="s">
        <v>42</v>
      </c>
      <c r="E71" s="67" t="s">
        <v>45</v>
      </c>
      <c r="F71" s="67">
        <v>738</v>
      </c>
      <c r="G71" s="68">
        <v>2405.88</v>
      </c>
    </row>
    <row r="72" spans="1:7" x14ac:dyDescent="0.25">
      <c r="A72" s="67">
        <v>2007</v>
      </c>
      <c r="B72" s="67" t="s">
        <v>22</v>
      </c>
      <c r="C72" s="67" t="s">
        <v>30</v>
      </c>
      <c r="D72" s="67" t="s">
        <v>27</v>
      </c>
      <c r="E72" s="67" t="s">
        <v>28</v>
      </c>
      <c r="F72" s="67">
        <v>506</v>
      </c>
      <c r="G72" s="68">
        <v>1553.42</v>
      </c>
    </row>
    <row r="73" spans="1:7" x14ac:dyDescent="0.25">
      <c r="A73" s="67">
        <v>2007</v>
      </c>
      <c r="B73" s="67" t="s">
        <v>29</v>
      </c>
      <c r="C73" s="67" t="s">
        <v>30</v>
      </c>
      <c r="D73" s="67" t="s">
        <v>42</v>
      </c>
      <c r="E73" s="67" t="s">
        <v>45</v>
      </c>
      <c r="F73" s="67">
        <v>554</v>
      </c>
      <c r="G73" s="68">
        <v>1639.84</v>
      </c>
    </row>
    <row r="74" spans="1:7" x14ac:dyDescent="0.25">
      <c r="A74" s="67">
        <v>2006</v>
      </c>
      <c r="B74" s="67" t="s">
        <v>51</v>
      </c>
      <c r="C74" s="67" t="s">
        <v>30</v>
      </c>
      <c r="D74" s="67" t="s">
        <v>24</v>
      </c>
      <c r="E74" s="67" t="s">
        <v>54</v>
      </c>
      <c r="F74" s="67">
        <v>843</v>
      </c>
      <c r="G74" s="68">
        <v>1820.88</v>
      </c>
    </row>
    <row r="75" spans="1:7" x14ac:dyDescent="0.25">
      <c r="A75" s="67">
        <v>2006</v>
      </c>
      <c r="B75" s="67" t="s">
        <v>44</v>
      </c>
      <c r="C75" s="67" t="s">
        <v>30</v>
      </c>
      <c r="D75" s="67" t="s">
        <v>24</v>
      </c>
      <c r="E75" s="67" t="s">
        <v>47</v>
      </c>
      <c r="F75" s="67">
        <v>628</v>
      </c>
      <c r="G75" s="68">
        <v>1620.24</v>
      </c>
    </row>
    <row r="76" spans="1:7" x14ac:dyDescent="0.25">
      <c r="A76" s="67">
        <v>2006</v>
      </c>
      <c r="B76" s="67" t="s">
        <v>50</v>
      </c>
      <c r="C76" s="67" t="s">
        <v>30</v>
      </c>
      <c r="D76" s="67" t="s">
        <v>42</v>
      </c>
      <c r="E76" s="67" t="s">
        <v>43</v>
      </c>
      <c r="F76" s="67">
        <v>897</v>
      </c>
      <c r="G76" s="68">
        <v>1838.85</v>
      </c>
    </row>
    <row r="77" spans="1:7" x14ac:dyDescent="0.25">
      <c r="A77" s="67">
        <v>2005</v>
      </c>
      <c r="B77" s="67" t="s">
        <v>48</v>
      </c>
      <c r="C77" s="67" t="s">
        <v>30</v>
      </c>
      <c r="D77" s="67" t="s">
        <v>42</v>
      </c>
      <c r="E77" s="67" t="s">
        <v>53</v>
      </c>
      <c r="F77" s="67">
        <v>937</v>
      </c>
      <c r="G77" s="68">
        <v>2436.1999999999998</v>
      </c>
    </row>
    <row r="78" spans="1:7" x14ac:dyDescent="0.25">
      <c r="A78" s="67">
        <v>2007</v>
      </c>
      <c r="B78" s="67" t="s">
        <v>48</v>
      </c>
      <c r="C78" s="67" t="s">
        <v>32</v>
      </c>
      <c r="D78" s="67" t="s">
        <v>27</v>
      </c>
      <c r="E78" s="67" t="s">
        <v>28</v>
      </c>
      <c r="F78" s="67">
        <v>653</v>
      </c>
      <c r="G78" s="68">
        <v>1972.06</v>
      </c>
    </row>
    <row r="79" spans="1:7" x14ac:dyDescent="0.25">
      <c r="A79" s="67">
        <v>2005</v>
      </c>
      <c r="B79" s="67" t="s">
        <v>51</v>
      </c>
      <c r="C79" s="67" t="s">
        <v>23</v>
      </c>
      <c r="D79" s="67" t="s">
        <v>24</v>
      </c>
      <c r="E79" s="67" t="s">
        <v>54</v>
      </c>
      <c r="F79" s="67">
        <v>640</v>
      </c>
      <c r="G79" s="68">
        <v>1574.4</v>
      </c>
    </row>
    <row r="80" spans="1:7" x14ac:dyDescent="0.25">
      <c r="A80" s="67">
        <v>2005</v>
      </c>
      <c r="B80" s="67" t="s">
        <v>51</v>
      </c>
      <c r="C80" s="67" t="s">
        <v>32</v>
      </c>
      <c r="D80" s="67" t="s">
        <v>27</v>
      </c>
      <c r="E80" s="67" t="s">
        <v>28</v>
      </c>
      <c r="F80" s="67">
        <v>555</v>
      </c>
      <c r="G80" s="68">
        <v>1481.85</v>
      </c>
    </row>
    <row r="81" spans="1:7" x14ac:dyDescent="0.25">
      <c r="A81" s="67">
        <v>2007</v>
      </c>
      <c r="B81" s="67" t="s">
        <v>26</v>
      </c>
      <c r="C81" s="67" t="s">
        <v>34</v>
      </c>
      <c r="D81" s="67" t="s">
        <v>27</v>
      </c>
      <c r="E81" s="67" t="s">
        <v>49</v>
      </c>
      <c r="F81" s="67">
        <v>958</v>
      </c>
      <c r="G81" s="68">
        <v>3170.98</v>
      </c>
    </row>
    <row r="82" spans="1:7" x14ac:dyDescent="0.25">
      <c r="A82" s="67">
        <v>2005</v>
      </c>
      <c r="B82" s="67" t="s">
        <v>26</v>
      </c>
      <c r="C82" s="67" t="s">
        <v>32</v>
      </c>
      <c r="D82" s="67" t="s">
        <v>27</v>
      </c>
      <c r="E82" s="67" t="s">
        <v>49</v>
      </c>
      <c r="F82" s="67">
        <v>935</v>
      </c>
      <c r="G82" s="68">
        <v>3702.6</v>
      </c>
    </row>
    <row r="83" spans="1:7" x14ac:dyDescent="0.25">
      <c r="A83" s="67">
        <v>2005</v>
      </c>
      <c r="B83" s="67" t="s">
        <v>26</v>
      </c>
      <c r="C83" s="67" t="s">
        <v>32</v>
      </c>
      <c r="D83" s="67" t="s">
        <v>24</v>
      </c>
      <c r="E83" s="67" t="s">
        <v>25</v>
      </c>
      <c r="F83" s="67">
        <v>727</v>
      </c>
      <c r="G83" s="68">
        <v>1773.88</v>
      </c>
    </row>
    <row r="84" spans="1:7" x14ac:dyDescent="0.25">
      <c r="A84" s="67">
        <v>2005</v>
      </c>
      <c r="B84" s="67" t="s">
        <v>52</v>
      </c>
      <c r="C84" s="67" t="s">
        <v>30</v>
      </c>
      <c r="D84" s="67" t="s">
        <v>42</v>
      </c>
      <c r="E84" s="67" t="s">
        <v>43</v>
      </c>
      <c r="F84" s="67">
        <v>820</v>
      </c>
      <c r="G84" s="68">
        <v>1869.6</v>
      </c>
    </row>
    <row r="85" spans="1:7" x14ac:dyDescent="0.25">
      <c r="A85" s="67">
        <v>2005</v>
      </c>
      <c r="B85" s="67" t="s">
        <v>51</v>
      </c>
      <c r="C85" s="67" t="s">
        <v>30</v>
      </c>
      <c r="D85" s="67" t="s">
        <v>42</v>
      </c>
      <c r="E85" s="67" t="s">
        <v>45</v>
      </c>
      <c r="F85" s="67">
        <v>977</v>
      </c>
      <c r="G85" s="68">
        <v>2354.5700000000002</v>
      </c>
    </row>
    <row r="86" spans="1:7" x14ac:dyDescent="0.25">
      <c r="A86" s="67">
        <v>2007</v>
      </c>
      <c r="B86" s="67" t="s">
        <v>39</v>
      </c>
      <c r="C86" s="67" t="s">
        <v>23</v>
      </c>
      <c r="D86" s="67" t="s">
        <v>27</v>
      </c>
      <c r="E86" s="67" t="s">
        <v>49</v>
      </c>
      <c r="F86" s="67">
        <v>759</v>
      </c>
      <c r="G86" s="68">
        <v>2003.76</v>
      </c>
    </row>
    <row r="87" spans="1:7" x14ac:dyDescent="0.25">
      <c r="A87" s="67">
        <v>2006</v>
      </c>
      <c r="B87" s="67" t="s">
        <v>29</v>
      </c>
      <c r="C87" s="67" t="s">
        <v>34</v>
      </c>
      <c r="D87" s="67" t="s">
        <v>24</v>
      </c>
      <c r="E87" s="67" t="s">
        <v>25</v>
      </c>
      <c r="F87" s="67">
        <v>601</v>
      </c>
      <c r="G87" s="68">
        <v>1514.52</v>
      </c>
    </row>
    <row r="88" spans="1:7" x14ac:dyDescent="0.25">
      <c r="A88" s="67">
        <v>2005</v>
      </c>
      <c r="B88" s="67" t="s">
        <v>26</v>
      </c>
      <c r="C88" s="67" t="s">
        <v>34</v>
      </c>
      <c r="D88" s="67" t="s">
        <v>27</v>
      </c>
      <c r="E88" s="67" t="s">
        <v>28</v>
      </c>
      <c r="F88" s="67">
        <v>759</v>
      </c>
      <c r="G88" s="68">
        <v>2474.34</v>
      </c>
    </row>
    <row r="89" spans="1:7" x14ac:dyDescent="0.25">
      <c r="A89" s="67">
        <v>2005</v>
      </c>
      <c r="B89" s="67" t="s">
        <v>37</v>
      </c>
      <c r="C89" s="67" t="s">
        <v>34</v>
      </c>
      <c r="D89" s="67" t="s">
        <v>35</v>
      </c>
      <c r="E89" s="67" t="s">
        <v>46</v>
      </c>
      <c r="F89" s="67">
        <v>934</v>
      </c>
      <c r="G89" s="68">
        <v>2783.32</v>
      </c>
    </row>
    <row r="90" spans="1:7" x14ac:dyDescent="0.25">
      <c r="A90" s="67">
        <v>2006</v>
      </c>
      <c r="B90" s="67" t="s">
        <v>39</v>
      </c>
      <c r="C90" s="67" t="s">
        <v>23</v>
      </c>
      <c r="D90" s="67" t="s">
        <v>27</v>
      </c>
      <c r="E90" s="67" t="s">
        <v>49</v>
      </c>
      <c r="F90" s="67">
        <v>766</v>
      </c>
      <c r="G90" s="68">
        <v>1654.56</v>
      </c>
    </row>
    <row r="91" spans="1:7" x14ac:dyDescent="0.25">
      <c r="A91" s="67">
        <v>2005</v>
      </c>
      <c r="B91" s="67" t="s">
        <v>37</v>
      </c>
      <c r="C91" s="67" t="s">
        <v>32</v>
      </c>
      <c r="D91" s="67" t="s">
        <v>27</v>
      </c>
      <c r="E91" s="67" t="s">
        <v>49</v>
      </c>
      <c r="F91" s="67">
        <v>962</v>
      </c>
      <c r="G91" s="68">
        <v>3674.84</v>
      </c>
    </row>
    <row r="92" spans="1:7" x14ac:dyDescent="0.25">
      <c r="A92" s="67">
        <v>2007</v>
      </c>
      <c r="B92" s="67" t="s">
        <v>41</v>
      </c>
      <c r="C92" s="67" t="s">
        <v>23</v>
      </c>
      <c r="D92" s="67" t="s">
        <v>35</v>
      </c>
      <c r="E92" s="67" t="s">
        <v>46</v>
      </c>
      <c r="F92" s="67">
        <v>818</v>
      </c>
      <c r="G92" s="68">
        <v>1963.2</v>
      </c>
    </row>
    <row r="93" spans="1:7" x14ac:dyDescent="0.25">
      <c r="A93" s="67">
        <v>2005</v>
      </c>
      <c r="B93" s="67" t="s">
        <v>51</v>
      </c>
      <c r="C93" s="67" t="s">
        <v>32</v>
      </c>
      <c r="D93" s="67" t="s">
        <v>35</v>
      </c>
      <c r="E93" s="67" t="s">
        <v>46</v>
      </c>
      <c r="F93" s="67">
        <v>729</v>
      </c>
      <c r="G93" s="68">
        <v>2383.83</v>
      </c>
    </row>
    <row r="94" spans="1:7" x14ac:dyDescent="0.25">
      <c r="A94" s="67">
        <v>2005</v>
      </c>
      <c r="B94" s="67" t="s">
        <v>37</v>
      </c>
      <c r="C94" s="67" t="s">
        <v>23</v>
      </c>
      <c r="D94" s="67" t="s">
        <v>42</v>
      </c>
      <c r="E94" s="67" t="s">
        <v>43</v>
      </c>
      <c r="F94" s="67">
        <v>768</v>
      </c>
      <c r="G94" s="68">
        <v>2188.8000000000002</v>
      </c>
    </row>
    <row r="95" spans="1:7" x14ac:dyDescent="0.25">
      <c r="A95" s="67">
        <v>2007</v>
      </c>
      <c r="B95" s="67" t="s">
        <v>22</v>
      </c>
      <c r="C95" s="67" t="s">
        <v>34</v>
      </c>
      <c r="D95" s="67" t="s">
        <v>24</v>
      </c>
      <c r="E95" s="67" t="s">
        <v>25</v>
      </c>
      <c r="F95" s="67">
        <v>879</v>
      </c>
      <c r="G95" s="68">
        <v>3120.45</v>
      </c>
    </row>
    <row r="96" spans="1:7" x14ac:dyDescent="0.25">
      <c r="A96" s="67">
        <v>2007</v>
      </c>
      <c r="B96" s="67" t="s">
        <v>41</v>
      </c>
      <c r="C96" s="67" t="s">
        <v>30</v>
      </c>
      <c r="D96" s="67" t="s">
        <v>27</v>
      </c>
      <c r="E96" s="67" t="s">
        <v>49</v>
      </c>
      <c r="F96" s="67">
        <v>503</v>
      </c>
      <c r="G96" s="68">
        <v>1448.64</v>
      </c>
    </row>
    <row r="97" spans="1:7" x14ac:dyDescent="0.25">
      <c r="A97" s="67">
        <v>2007</v>
      </c>
      <c r="B97" s="67" t="s">
        <v>51</v>
      </c>
      <c r="C97" s="67" t="s">
        <v>34</v>
      </c>
      <c r="D97" s="67" t="s">
        <v>27</v>
      </c>
      <c r="E97" s="67" t="s">
        <v>28</v>
      </c>
      <c r="F97" s="67">
        <v>506</v>
      </c>
      <c r="G97" s="68">
        <v>1401.62</v>
      </c>
    </row>
    <row r="98" spans="1:7" x14ac:dyDescent="0.25">
      <c r="A98" s="67">
        <v>2005</v>
      </c>
      <c r="B98" s="67" t="s">
        <v>48</v>
      </c>
      <c r="C98" s="67" t="s">
        <v>34</v>
      </c>
      <c r="D98" s="67" t="s">
        <v>35</v>
      </c>
      <c r="E98" s="67" t="s">
        <v>46</v>
      </c>
      <c r="F98" s="67">
        <v>956</v>
      </c>
      <c r="G98" s="68">
        <v>2934.92</v>
      </c>
    </row>
    <row r="99" spans="1:7" x14ac:dyDescent="0.25">
      <c r="A99" s="67">
        <v>2005</v>
      </c>
      <c r="B99" s="67" t="s">
        <v>50</v>
      </c>
      <c r="C99" s="67" t="s">
        <v>23</v>
      </c>
      <c r="D99" s="67" t="s">
        <v>24</v>
      </c>
      <c r="E99" s="67" t="s">
        <v>47</v>
      </c>
      <c r="F99" s="67">
        <v>671</v>
      </c>
      <c r="G99" s="68">
        <v>2663.87</v>
      </c>
    </row>
    <row r="100" spans="1:7" x14ac:dyDescent="0.25">
      <c r="A100" s="67">
        <v>2005</v>
      </c>
      <c r="B100" s="67" t="s">
        <v>48</v>
      </c>
      <c r="C100" s="67" t="s">
        <v>23</v>
      </c>
      <c r="D100" s="67" t="s">
        <v>27</v>
      </c>
      <c r="E100" s="67" t="s">
        <v>49</v>
      </c>
      <c r="F100" s="67">
        <v>923</v>
      </c>
      <c r="G100" s="68">
        <v>2815.15</v>
      </c>
    </row>
    <row r="101" spans="1:7" x14ac:dyDescent="0.25">
      <c r="A101" s="67">
        <v>2007</v>
      </c>
      <c r="B101" s="67" t="s">
        <v>39</v>
      </c>
      <c r="C101" s="67" t="s">
        <v>34</v>
      </c>
      <c r="D101" s="67" t="s">
        <v>42</v>
      </c>
      <c r="E101" s="67" t="s">
        <v>45</v>
      </c>
      <c r="F101" s="67">
        <v>800</v>
      </c>
      <c r="G101" s="68">
        <v>1976</v>
      </c>
    </row>
    <row r="102" spans="1:7" x14ac:dyDescent="0.25">
      <c r="A102" s="67">
        <v>2006</v>
      </c>
      <c r="B102" s="67" t="s">
        <v>51</v>
      </c>
      <c r="C102" s="67" t="s">
        <v>34</v>
      </c>
      <c r="D102" s="67" t="s">
        <v>35</v>
      </c>
      <c r="E102" s="67" t="s">
        <v>38</v>
      </c>
      <c r="F102" s="67">
        <v>929</v>
      </c>
      <c r="G102" s="68">
        <v>3056.41</v>
      </c>
    </row>
    <row r="103" spans="1:7" x14ac:dyDescent="0.25">
      <c r="A103" s="67">
        <v>2007</v>
      </c>
      <c r="B103" s="67" t="s">
        <v>50</v>
      </c>
      <c r="C103" s="67" t="s">
        <v>30</v>
      </c>
      <c r="D103" s="67" t="s">
        <v>35</v>
      </c>
      <c r="E103" s="67" t="s">
        <v>40</v>
      </c>
      <c r="F103" s="67">
        <v>840</v>
      </c>
      <c r="G103" s="68">
        <v>2167.1999999999998</v>
      </c>
    </row>
    <row r="104" spans="1:7" x14ac:dyDescent="0.25">
      <c r="A104" s="67">
        <v>2005</v>
      </c>
      <c r="B104" s="67" t="s">
        <v>26</v>
      </c>
      <c r="C104" s="67" t="s">
        <v>30</v>
      </c>
      <c r="D104" s="67" t="s">
        <v>35</v>
      </c>
      <c r="E104" s="67" t="s">
        <v>46</v>
      </c>
      <c r="F104" s="67">
        <v>805</v>
      </c>
      <c r="G104" s="68">
        <v>2302.3000000000002</v>
      </c>
    </row>
    <row r="105" spans="1:7" x14ac:dyDescent="0.25">
      <c r="A105" s="67">
        <v>2006</v>
      </c>
      <c r="B105" s="67" t="s">
        <v>51</v>
      </c>
      <c r="C105" s="67" t="s">
        <v>32</v>
      </c>
      <c r="D105" s="67" t="s">
        <v>42</v>
      </c>
      <c r="E105" s="67" t="s">
        <v>45</v>
      </c>
      <c r="F105" s="67">
        <v>723</v>
      </c>
      <c r="G105" s="68">
        <v>1576.14</v>
      </c>
    </row>
    <row r="106" spans="1:7" x14ac:dyDescent="0.25">
      <c r="A106" s="67">
        <v>2006</v>
      </c>
      <c r="B106" s="67" t="s">
        <v>26</v>
      </c>
      <c r="C106" s="67" t="s">
        <v>34</v>
      </c>
      <c r="D106" s="67" t="s">
        <v>35</v>
      </c>
      <c r="E106" s="67" t="s">
        <v>36</v>
      </c>
      <c r="F106" s="67">
        <v>596</v>
      </c>
      <c r="G106" s="68">
        <v>1519.8</v>
      </c>
    </row>
    <row r="107" spans="1:7" x14ac:dyDescent="0.25">
      <c r="A107" s="67">
        <v>2006</v>
      </c>
      <c r="B107" s="67" t="s">
        <v>44</v>
      </c>
      <c r="C107" s="67" t="s">
        <v>32</v>
      </c>
      <c r="D107" s="67" t="s">
        <v>35</v>
      </c>
      <c r="E107" s="67" t="s">
        <v>38</v>
      </c>
      <c r="F107" s="67">
        <v>729</v>
      </c>
      <c r="G107" s="68">
        <v>1880.82</v>
      </c>
    </row>
    <row r="108" spans="1:7" x14ac:dyDescent="0.25">
      <c r="A108" s="67">
        <v>2007</v>
      </c>
      <c r="B108" s="67" t="s">
        <v>41</v>
      </c>
      <c r="C108" s="67" t="s">
        <v>23</v>
      </c>
      <c r="D108" s="67" t="s">
        <v>42</v>
      </c>
      <c r="E108" s="67" t="s">
        <v>53</v>
      </c>
      <c r="F108" s="67">
        <v>823</v>
      </c>
      <c r="G108" s="68">
        <v>2658.29</v>
      </c>
    </row>
    <row r="109" spans="1:7" x14ac:dyDescent="0.25">
      <c r="A109" s="67">
        <v>2007</v>
      </c>
      <c r="B109" s="67" t="s">
        <v>39</v>
      </c>
      <c r="C109" s="67" t="s">
        <v>30</v>
      </c>
      <c r="D109" s="67" t="s">
        <v>27</v>
      </c>
      <c r="E109" s="67" t="s">
        <v>28</v>
      </c>
      <c r="F109" s="67">
        <v>842</v>
      </c>
      <c r="G109" s="68">
        <v>2526</v>
      </c>
    </row>
    <row r="110" spans="1:7" x14ac:dyDescent="0.25">
      <c r="A110" s="67">
        <v>2007</v>
      </c>
      <c r="B110" s="67" t="s">
        <v>26</v>
      </c>
      <c r="C110" s="67" t="s">
        <v>23</v>
      </c>
      <c r="D110" s="67" t="s">
        <v>35</v>
      </c>
      <c r="E110" s="67" t="s">
        <v>40</v>
      </c>
      <c r="F110" s="67">
        <v>874</v>
      </c>
      <c r="G110" s="68">
        <v>3469.78</v>
      </c>
    </row>
    <row r="111" spans="1:7" x14ac:dyDescent="0.25">
      <c r="A111" s="67">
        <v>2007</v>
      </c>
      <c r="B111" s="67" t="s">
        <v>44</v>
      </c>
      <c r="C111" s="67" t="s">
        <v>30</v>
      </c>
      <c r="D111" s="67" t="s">
        <v>42</v>
      </c>
      <c r="E111" s="67" t="s">
        <v>45</v>
      </c>
      <c r="F111" s="67">
        <v>743</v>
      </c>
      <c r="G111" s="68">
        <v>2897.7</v>
      </c>
    </row>
    <row r="112" spans="1:7" x14ac:dyDescent="0.25">
      <c r="A112" s="67">
        <v>2007</v>
      </c>
      <c r="B112" s="67" t="s">
        <v>44</v>
      </c>
      <c r="C112" s="67" t="s">
        <v>32</v>
      </c>
      <c r="D112" s="67" t="s">
        <v>27</v>
      </c>
      <c r="E112" s="67" t="s">
        <v>49</v>
      </c>
      <c r="F112" s="67">
        <v>786</v>
      </c>
      <c r="G112" s="68">
        <v>2876.76</v>
      </c>
    </row>
    <row r="113" spans="1:7" x14ac:dyDescent="0.25">
      <c r="A113" s="67">
        <v>2005</v>
      </c>
      <c r="B113" s="67" t="s">
        <v>44</v>
      </c>
      <c r="C113" s="67" t="s">
        <v>23</v>
      </c>
      <c r="D113" s="67" t="s">
        <v>24</v>
      </c>
      <c r="E113" s="67" t="s">
        <v>47</v>
      </c>
      <c r="F113" s="67">
        <v>506</v>
      </c>
      <c r="G113" s="68">
        <v>1781.12</v>
      </c>
    </row>
    <row r="114" spans="1:7" x14ac:dyDescent="0.25">
      <c r="A114" s="67">
        <v>2006</v>
      </c>
      <c r="B114" s="67" t="s">
        <v>44</v>
      </c>
      <c r="C114" s="67" t="s">
        <v>30</v>
      </c>
      <c r="D114" s="67" t="s">
        <v>35</v>
      </c>
      <c r="E114" s="67" t="s">
        <v>38</v>
      </c>
      <c r="F114" s="67">
        <v>591</v>
      </c>
      <c r="G114" s="68">
        <v>1388.85</v>
      </c>
    </row>
    <row r="115" spans="1:7" x14ac:dyDescent="0.25">
      <c r="A115" s="67">
        <v>2007</v>
      </c>
      <c r="B115" s="67" t="s">
        <v>39</v>
      </c>
      <c r="C115" s="67" t="s">
        <v>34</v>
      </c>
      <c r="D115" s="67" t="s">
        <v>35</v>
      </c>
      <c r="E115" s="67" t="s">
        <v>36</v>
      </c>
      <c r="F115" s="67">
        <v>702</v>
      </c>
      <c r="G115" s="68">
        <v>1649.7</v>
      </c>
    </row>
    <row r="116" spans="1:7" x14ac:dyDescent="0.25">
      <c r="A116" s="67">
        <v>2007</v>
      </c>
      <c r="B116" s="67" t="s">
        <v>29</v>
      </c>
      <c r="C116" s="67" t="s">
        <v>30</v>
      </c>
      <c r="D116" s="67" t="s">
        <v>24</v>
      </c>
      <c r="E116" s="67" t="s">
        <v>25</v>
      </c>
      <c r="F116" s="67">
        <v>938</v>
      </c>
      <c r="G116" s="68">
        <v>2954.7</v>
      </c>
    </row>
    <row r="117" spans="1:7" x14ac:dyDescent="0.25">
      <c r="A117" s="67">
        <v>2007</v>
      </c>
      <c r="B117" s="67" t="s">
        <v>37</v>
      </c>
      <c r="C117" s="67" t="s">
        <v>30</v>
      </c>
      <c r="D117" s="67" t="s">
        <v>42</v>
      </c>
      <c r="E117" s="67" t="s">
        <v>45</v>
      </c>
      <c r="F117" s="67">
        <v>651</v>
      </c>
      <c r="G117" s="68">
        <v>2564.94</v>
      </c>
    </row>
    <row r="118" spans="1:7" x14ac:dyDescent="0.25">
      <c r="A118" s="67">
        <v>2005</v>
      </c>
      <c r="B118" s="67" t="s">
        <v>29</v>
      </c>
      <c r="C118" s="67" t="s">
        <v>23</v>
      </c>
      <c r="D118" s="67" t="s">
        <v>42</v>
      </c>
      <c r="E118" s="67" t="s">
        <v>45</v>
      </c>
      <c r="F118" s="67">
        <v>983</v>
      </c>
      <c r="G118" s="68">
        <v>2064.3000000000002</v>
      </c>
    </row>
    <row r="119" spans="1:7" x14ac:dyDescent="0.25">
      <c r="A119" s="67">
        <v>2005</v>
      </c>
      <c r="B119" s="67" t="s">
        <v>48</v>
      </c>
      <c r="C119" s="67" t="s">
        <v>23</v>
      </c>
      <c r="D119" s="67" t="s">
        <v>35</v>
      </c>
      <c r="E119" s="67" t="s">
        <v>46</v>
      </c>
      <c r="F119" s="67">
        <v>866</v>
      </c>
      <c r="G119" s="68">
        <v>3160.9</v>
      </c>
    </row>
    <row r="120" spans="1:7" x14ac:dyDescent="0.25">
      <c r="A120" s="67">
        <v>2006</v>
      </c>
      <c r="B120" s="67" t="s">
        <v>51</v>
      </c>
      <c r="C120" s="67" t="s">
        <v>23</v>
      </c>
      <c r="D120" s="67" t="s">
        <v>42</v>
      </c>
      <c r="E120" s="67" t="s">
        <v>45</v>
      </c>
      <c r="F120" s="67">
        <v>627</v>
      </c>
      <c r="G120" s="68">
        <v>2276.0100000000002</v>
      </c>
    </row>
    <row r="121" spans="1:7" x14ac:dyDescent="0.25">
      <c r="A121" s="67">
        <v>2007</v>
      </c>
      <c r="B121" s="67" t="s">
        <v>22</v>
      </c>
      <c r="C121" s="67" t="s">
        <v>30</v>
      </c>
      <c r="D121" s="67" t="s">
        <v>35</v>
      </c>
      <c r="E121" s="67" t="s">
        <v>36</v>
      </c>
      <c r="F121" s="67">
        <v>645</v>
      </c>
      <c r="G121" s="68">
        <v>1941.45</v>
      </c>
    </row>
    <row r="122" spans="1:7" x14ac:dyDescent="0.25">
      <c r="A122" s="67">
        <v>2006</v>
      </c>
      <c r="B122" s="67" t="s">
        <v>52</v>
      </c>
      <c r="C122" s="67" t="s">
        <v>32</v>
      </c>
      <c r="D122" s="67" t="s">
        <v>42</v>
      </c>
      <c r="E122" s="67" t="s">
        <v>53</v>
      </c>
      <c r="F122" s="67">
        <v>671</v>
      </c>
      <c r="G122" s="68">
        <v>1670.79</v>
      </c>
    </row>
    <row r="123" spans="1:7" x14ac:dyDescent="0.25">
      <c r="A123" s="67">
        <v>2006</v>
      </c>
      <c r="B123" s="67" t="s">
        <v>48</v>
      </c>
      <c r="C123" s="67" t="s">
        <v>23</v>
      </c>
      <c r="D123" s="67" t="s">
        <v>24</v>
      </c>
      <c r="E123" s="67" t="s">
        <v>31</v>
      </c>
      <c r="F123" s="67">
        <v>847</v>
      </c>
      <c r="G123" s="68">
        <v>2337.7199999999998</v>
      </c>
    </row>
    <row r="124" spans="1:7" x14ac:dyDescent="0.25">
      <c r="A124" s="67">
        <v>2005</v>
      </c>
      <c r="B124" s="67" t="s">
        <v>22</v>
      </c>
      <c r="C124" s="67" t="s">
        <v>34</v>
      </c>
      <c r="D124" s="67" t="s">
        <v>24</v>
      </c>
      <c r="E124" s="67" t="s">
        <v>25</v>
      </c>
      <c r="F124" s="67">
        <v>905</v>
      </c>
      <c r="G124" s="68">
        <v>1846.2</v>
      </c>
    </row>
    <row r="125" spans="1:7" x14ac:dyDescent="0.25">
      <c r="A125" s="67">
        <v>2006</v>
      </c>
      <c r="B125" s="67" t="s">
        <v>50</v>
      </c>
      <c r="C125" s="67" t="s">
        <v>34</v>
      </c>
      <c r="D125" s="67" t="s">
        <v>35</v>
      </c>
      <c r="E125" s="67" t="s">
        <v>46</v>
      </c>
      <c r="F125" s="67">
        <v>736</v>
      </c>
      <c r="G125" s="68">
        <v>2708.48</v>
      </c>
    </row>
    <row r="126" spans="1:7" x14ac:dyDescent="0.25">
      <c r="A126" s="67">
        <v>2007</v>
      </c>
      <c r="B126" s="67" t="s">
        <v>33</v>
      </c>
      <c r="C126" s="67" t="s">
        <v>23</v>
      </c>
      <c r="D126" s="67" t="s">
        <v>35</v>
      </c>
      <c r="E126" s="67" t="s">
        <v>46</v>
      </c>
      <c r="F126" s="67">
        <v>580</v>
      </c>
      <c r="G126" s="68">
        <v>2314.1999999999998</v>
      </c>
    </row>
    <row r="127" spans="1:7" x14ac:dyDescent="0.25">
      <c r="A127" s="67">
        <v>2007</v>
      </c>
      <c r="B127" s="67" t="s">
        <v>50</v>
      </c>
      <c r="C127" s="67" t="s">
        <v>23</v>
      </c>
      <c r="D127" s="67" t="s">
        <v>27</v>
      </c>
      <c r="E127" s="67" t="s">
        <v>28</v>
      </c>
      <c r="F127" s="67">
        <v>678</v>
      </c>
      <c r="G127" s="68">
        <v>1966.2</v>
      </c>
    </row>
    <row r="128" spans="1:7" x14ac:dyDescent="0.25">
      <c r="A128" s="67">
        <v>2007</v>
      </c>
      <c r="B128" s="67" t="s">
        <v>29</v>
      </c>
      <c r="C128" s="67" t="s">
        <v>32</v>
      </c>
      <c r="D128" s="67" t="s">
        <v>24</v>
      </c>
      <c r="E128" s="67" t="s">
        <v>25</v>
      </c>
      <c r="F128" s="67">
        <v>891</v>
      </c>
      <c r="G128" s="68">
        <v>2200.77</v>
      </c>
    </row>
    <row r="129" spans="1:7" x14ac:dyDescent="0.25">
      <c r="A129" s="67">
        <v>2006</v>
      </c>
      <c r="B129" s="67" t="s">
        <v>29</v>
      </c>
      <c r="C129" s="67" t="s">
        <v>23</v>
      </c>
      <c r="D129" s="67" t="s">
        <v>42</v>
      </c>
      <c r="E129" s="67" t="s">
        <v>43</v>
      </c>
      <c r="F129" s="67">
        <v>572</v>
      </c>
      <c r="G129" s="68">
        <v>1538.68</v>
      </c>
    </row>
    <row r="130" spans="1:7" x14ac:dyDescent="0.25">
      <c r="A130" s="67">
        <v>2006</v>
      </c>
      <c r="B130" s="67" t="s">
        <v>29</v>
      </c>
      <c r="C130" s="67" t="s">
        <v>34</v>
      </c>
      <c r="D130" s="67" t="s">
        <v>24</v>
      </c>
      <c r="E130" s="67" t="s">
        <v>25</v>
      </c>
      <c r="F130" s="67">
        <v>610</v>
      </c>
      <c r="G130" s="68">
        <v>2403.4</v>
      </c>
    </row>
    <row r="131" spans="1:7" x14ac:dyDescent="0.25">
      <c r="A131" s="67">
        <v>2005</v>
      </c>
      <c r="B131" s="67" t="s">
        <v>48</v>
      </c>
      <c r="C131" s="67" t="s">
        <v>32</v>
      </c>
      <c r="D131" s="67" t="s">
        <v>35</v>
      </c>
      <c r="E131" s="67" t="s">
        <v>38</v>
      </c>
      <c r="F131" s="67">
        <v>588</v>
      </c>
      <c r="G131" s="68">
        <v>2299.08</v>
      </c>
    </row>
    <row r="132" spans="1:7" x14ac:dyDescent="0.25">
      <c r="A132" s="67">
        <v>2006</v>
      </c>
      <c r="B132" s="67" t="s">
        <v>26</v>
      </c>
      <c r="C132" s="67" t="s">
        <v>34</v>
      </c>
      <c r="D132" s="67" t="s">
        <v>35</v>
      </c>
      <c r="E132" s="67" t="s">
        <v>36</v>
      </c>
      <c r="F132" s="67">
        <v>715</v>
      </c>
      <c r="G132" s="68">
        <v>2588.3000000000002</v>
      </c>
    </row>
    <row r="133" spans="1:7" x14ac:dyDescent="0.25">
      <c r="A133" s="67">
        <v>2007</v>
      </c>
      <c r="B133" s="67" t="s">
        <v>22</v>
      </c>
      <c r="C133" s="67" t="s">
        <v>23</v>
      </c>
      <c r="D133" s="67" t="s">
        <v>42</v>
      </c>
      <c r="E133" s="67" t="s">
        <v>43</v>
      </c>
      <c r="F133" s="67">
        <v>511</v>
      </c>
      <c r="G133" s="68">
        <v>1047.55</v>
      </c>
    </row>
    <row r="134" spans="1:7" x14ac:dyDescent="0.25">
      <c r="A134" s="67">
        <v>2007</v>
      </c>
      <c r="B134" s="67" t="s">
        <v>22</v>
      </c>
      <c r="C134" s="67" t="s">
        <v>34</v>
      </c>
      <c r="D134" s="67" t="s">
        <v>24</v>
      </c>
      <c r="E134" s="67" t="s">
        <v>54</v>
      </c>
      <c r="F134" s="67">
        <v>948</v>
      </c>
      <c r="G134" s="68">
        <v>2673.36</v>
      </c>
    </row>
    <row r="135" spans="1:7" x14ac:dyDescent="0.25">
      <c r="A135" s="67">
        <v>2005</v>
      </c>
      <c r="B135" s="67" t="s">
        <v>39</v>
      </c>
      <c r="C135" s="67" t="s">
        <v>30</v>
      </c>
      <c r="D135" s="67" t="s">
        <v>35</v>
      </c>
      <c r="E135" s="67" t="s">
        <v>40</v>
      </c>
      <c r="F135" s="67">
        <v>972</v>
      </c>
      <c r="G135" s="68">
        <v>2507.7600000000002</v>
      </c>
    </row>
    <row r="136" spans="1:7" x14ac:dyDescent="0.25">
      <c r="A136" s="67">
        <v>2007</v>
      </c>
      <c r="B136" s="67" t="s">
        <v>41</v>
      </c>
      <c r="C136" s="67" t="s">
        <v>34</v>
      </c>
      <c r="D136" s="67" t="s">
        <v>42</v>
      </c>
      <c r="E136" s="67" t="s">
        <v>45</v>
      </c>
      <c r="F136" s="67">
        <v>714</v>
      </c>
      <c r="G136" s="68">
        <v>2134.86</v>
      </c>
    </row>
    <row r="137" spans="1:7" x14ac:dyDescent="0.25">
      <c r="A137" s="67">
        <v>2007</v>
      </c>
      <c r="B137" s="67" t="s">
        <v>51</v>
      </c>
      <c r="C137" s="67" t="s">
        <v>34</v>
      </c>
      <c r="D137" s="67" t="s">
        <v>27</v>
      </c>
      <c r="E137" s="67" t="s">
        <v>55</v>
      </c>
      <c r="F137" s="67">
        <v>689</v>
      </c>
      <c r="G137" s="68">
        <v>2611.31</v>
      </c>
    </row>
    <row r="138" spans="1:7" x14ac:dyDescent="0.25">
      <c r="A138" s="67">
        <v>2005</v>
      </c>
      <c r="B138" s="67" t="s">
        <v>22</v>
      </c>
      <c r="C138" s="67" t="s">
        <v>30</v>
      </c>
      <c r="D138" s="67" t="s">
        <v>24</v>
      </c>
      <c r="E138" s="67" t="s">
        <v>54</v>
      </c>
      <c r="F138" s="67">
        <v>607</v>
      </c>
      <c r="G138" s="68">
        <v>1875.63</v>
      </c>
    </row>
    <row r="139" spans="1:7" x14ac:dyDescent="0.25">
      <c r="A139" s="67">
        <v>2005</v>
      </c>
      <c r="B139" s="67" t="s">
        <v>33</v>
      </c>
      <c r="C139" s="67" t="s">
        <v>34</v>
      </c>
      <c r="D139" s="67" t="s">
        <v>35</v>
      </c>
      <c r="E139" s="67" t="s">
        <v>38</v>
      </c>
      <c r="F139" s="67">
        <v>770</v>
      </c>
      <c r="G139" s="68">
        <v>2972.2</v>
      </c>
    </row>
    <row r="140" spans="1:7" x14ac:dyDescent="0.25">
      <c r="A140" s="67">
        <v>2006</v>
      </c>
      <c r="B140" s="67" t="s">
        <v>51</v>
      </c>
      <c r="C140" s="67" t="s">
        <v>23</v>
      </c>
      <c r="D140" s="67" t="s">
        <v>35</v>
      </c>
      <c r="E140" s="67" t="s">
        <v>40</v>
      </c>
      <c r="F140" s="67">
        <v>928</v>
      </c>
      <c r="G140" s="68">
        <v>3452.16</v>
      </c>
    </row>
    <row r="141" spans="1:7" x14ac:dyDescent="0.25">
      <c r="A141" s="67">
        <v>2006</v>
      </c>
      <c r="B141" s="67" t="s">
        <v>26</v>
      </c>
      <c r="C141" s="67" t="s">
        <v>23</v>
      </c>
      <c r="D141" s="67" t="s">
        <v>35</v>
      </c>
      <c r="E141" s="67" t="s">
        <v>40</v>
      </c>
      <c r="F141" s="67">
        <v>925</v>
      </c>
      <c r="G141" s="68">
        <v>2423.5</v>
      </c>
    </row>
    <row r="142" spans="1:7" x14ac:dyDescent="0.25">
      <c r="A142" s="67">
        <v>2006</v>
      </c>
      <c r="B142" s="67" t="s">
        <v>39</v>
      </c>
      <c r="C142" s="67" t="s">
        <v>23</v>
      </c>
      <c r="D142" s="67" t="s">
        <v>35</v>
      </c>
      <c r="E142" s="67" t="s">
        <v>36</v>
      </c>
      <c r="F142" s="67">
        <v>957</v>
      </c>
      <c r="G142" s="68">
        <v>2325.5100000000002</v>
      </c>
    </row>
    <row r="143" spans="1:7" x14ac:dyDescent="0.25">
      <c r="A143" s="67">
        <v>2007</v>
      </c>
      <c r="B143" s="67" t="s">
        <v>26</v>
      </c>
      <c r="C143" s="67" t="s">
        <v>32</v>
      </c>
      <c r="D143" s="67" t="s">
        <v>24</v>
      </c>
      <c r="E143" s="67" t="s">
        <v>25</v>
      </c>
      <c r="F143" s="67">
        <v>688</v>
      </c>
      <c r="G143" s="68">
        <v>1699.36</v>
      </c>
    </row>
    <row r="144" spans="1:7" x14ac:dyDescent="0.25">
      <c r="A144" s="67">
        <v>2007</v>
      </c>
      <c r="B144" s="67" t="s">
        <v>33</v>
      </c>
      <c r="C144" s="67" t="s">
        <v>32</v>
      </c>
      <c r="D144" s="67" t="s">
        <v>42</v>
      </c>
      <c r="E144" s="67" t="s">
        <v>53</v>
      </c>
      <c r="F144" s="67">
        <v>560</v>
      </c>
      <c r="G144" s="68">
        <v>1691.2</v>
      </c>
    </row>
    <row r="145" spans="1:7" x14ac:dyDescent="0.25">
      <c r="A145" s="67">
        <v>2005</v>
      </c>
      <c r="B145" s="67" t="s">
        <v>22</v>
      </c>
      <c r="C145" s="67" t="s">
        <v>30</v>
      </c>
      <c r="D145" s="67" t="s">
        <v>24</v>
      </c>
      <c r="E145" s="67" t="s">
        <v>54</v>
      </c>
      <c r="F145" s="67">
        <v>760</v>
      </c>
      <c r="G145" s="68">
        <v>1900</v>
      </c>
    </row>
    <row r="146" spans="1:7" x14ac:dyDescent="0.25">
      <c r="A146" s="67">
        <v>2005</v>
      </c>
      <c r="B146" s="67" t="s">
        <v>52</v>
      </c>
      <c r="C146" s="67" t="s">
        <v>23</v>
      </c>
      <c r="D146" s="67" t="s">
        <v>27</v>
      </c>
      <c r="E146" s="67" t="s">
        <v>28</v>
      </c>
      <c r="F146" s="67">
        <v>570</v>
      </c>
      <c r="G146" s="68">
        <v>2006.4</v>
      </c>
    </row>
    <row r="147" spans="1:7" x14ac:dyDescent="0.25">
      <c r="A147" s="67">
        <v>2006</v>
      </c>
      <c r="B147" s="67" t="s">
        <v>52</v>
      </c>
      <c r="C147" s="67" t="s">
        <v>32</v>
      </c>
      <c r="D147" s="67" t="s">
        <v>27</v>
      </c>
      <c r="E147" s="67" t="s">
        <v>55</v>
      </c>
      <c r="F147" s="67">
        <v>633</v>
      </c>
      <c r="G147" s="68">
        <v>2519.34</v>
      </c>
    </row>
    <row r="148" spans="1:7" x14ac:dyDescent="0.25">
      <c r="A148" s="67">
        <v>2006</v>
      </c>
      <c r="B148" s="67" t="s">
        <v>39</v>
      </c>
      <c r="C148" s="67" t="s">
        <v>23</v>
      </c>
      <c r="D148" s="67" t="s">
        <v>24</v>
      </c>
      <c r="E148" s="67" t="s">
        <v>25</v>
      </c>
      <c r="F148" s="67">
        <v>527</v>
      </c>
      <c r="G148" s="68">
        <v>1754.91</v>
      </c>
    </row>
    <row r="149" spans="1:7" x14ac:dyDescent="0.25">
      <c r="A149" s="67">
        <v>2007</v>
      </c>
      <c r="B149" s="67" t="s">
        <v>29</v>
      </c>
      <c r="C149" s="67" t="s">
        <v>23</v>
      </c>
      <c r="D149" s="67" t="s">
        <v>24</v>
      </c>
      <c r="E149" s="67" t="s">
        <v>54</v>
      </c>
      <c r="F149" s="67">
        <v>817</v>
      </c>
      <c r="G149" s="68">
        <v>2736.95</v>
      </c>
    </row>
    <row r="150" spans="1:7" x14ac:dyDescent="0.25">
      <c r="A150" s="67">
        <v>2007</v>
      </c>
      <c r="B150" s="67" t="s">
        <v>48</v>
      </c>
      <c r="C150" s="67" t="s">
        <v>23</v>
      </c>
      <c r="D150" s="67" t="s">
        <v>35</v>
      </c>
      <c r="E150" s="67" t="s">
        <v>46</v>
      </c>
      <c r="F150" s="67">
        <v>718</v>
      </c>
      <c r="G150" s="68">
        <v>2491.46</v>
      </c>
    </row>
    <row r="151" spans="1:7" x14ac:dyDescent="0.25">
      <c r="A151" s="67">
        <v>2005</v>
      </c>
      <c r="B151" s="67" t="s">
        <v>50</v>
      </c>
      <c r="C151" s="67" t="s">
        <v>23</v>
      </c>
      <c r="D151" s="67" t="s">
        <v>27</v>
      </c>
      <c r="E151" s="67" t="s">
        <v>49</v>
      </c>
      <c r="F151" s="67">
        <v>570</v>
      </c>
      <c r="G151" s="68">
        <v>1772.7</v>
      </c>
    </row>
    <row r="152" spans="1:7" x14ac:dyDescent="0.25">
      <c r="A152" s="67">
        <v>2007</v>
      </c>
      <c r="B152" s="67" t="s">
        <v>22</v>
      </c>
      <c r="C152" s="67" t="s">
        <v>34</v>
      </c>
      <c r="D152" s="67" t="s">
        <v>42</v>
      </c>
      <c r="E152" s="67" t="s">
        <v>45</v>
      </c>
      <c r="F152" s="67">
        <v>672</v>
      </c>
      <c r="G152" s="68">
        <v>1881.6</v>
      </c>
    </row>
    <row r="153" spans="1:7" x14ac:dyDescent="0.25">
      <c r="A153" s="67">
        <v>2006</v>
      </c>
      <c r="B153" s="67" t="s">
        <v>26</v>
      </c>
      <c r="C153" s="67" t="s">
        <v>23</v>
      </c>
      <c r="D153" s="67" t="s">
        <v>35</v>
      </c>
      <c r="E153" s="67" t="s">
        <v>36</v>
      </c>
      <c r="F153" s="67">
        <v>701</v>
      </c>
      <c r="G153" s="68">
        <v>2530.61</v>
      </c>
    </row>
    <row r="154" spans="1:7" x14ac:dyDescent="0.25">
      <c r="A154" s="67">
        <v>2007</v>
      </c>
      <c r="B154" s="67" t="s">
        <v>37</v>
      </c>
      <c r="C154" s="67" t="s">
        <v>32</v>
      </c>
      <c r="D154" s="67" t="s">
        <v>27</v>
      </c>
      <c r="E154" s="67" t="s">
        <v>49</v>
      </c>
      <c r="F154" s="67">
        <v>783</v>
      </c>
      <c r="G154" s="68">
        <v>2176.7399999999998</v>
      </c>
    </row>
    <row r="155" spans="1:7" x14ac:dyDescent="0.25">
      <c r="A155" s="67">
        <v>2005</v>
      </c>
      <c r="B155" s="67" t="s">
        <v>52</v>
      </c>
      <c r="C155" s="67" t="s">
        <v>23</v>
      </c>
      <c r="D155" s="67" t="s">
        <v>27</v>
      </c>
      <c r="E155" s="67" t="s">
        <v>28</v>
      </c>
      <c r="F155" s="67">
        <v>845</v>
      </c>
      <c r="G155" s="68">
        <v>3143.4</v>
      </c>
    </row>
    <row r="156" spans="1:7" x14ac:dyDescent="0.25">
      <c r="A156" s="67">
        <v>2005</v>
      </c>
      <c r="B156" s="67" t="s">
        <v>26</v>
      </c>
      <c r="C156" s="67" t="s">
        <v>23</v>
      </c>
      <c r="D156" s="67" t="s">
        <v>27</v>
      </c>
      <c r="E156" s="67" t="s">
        <v>49</v>
      </c>
      <c r="F156" s="67">
        <v>646</v>
      </c>
      <c r="G156" s="68">
        <v>1317.84</v>
      </c>
    </row>
    <row r="157" spans="1:7" x14ac:dyDescent="0.25">
      <c r="A157" s="67">
        <v>2005</v>
      </c>
      <c r="B157" s="67" t="s">
        <v>48</v>
      </c>
      <c r="C157" s="67" t="s">
        <v>30</v>
      </c>
      <c r="D157" s="67" t="s">
        <v>35</v>
      </c>
      <c r="E157" s="67" t="s">
        <v>46</v>
      </c>
      <c r="F157" s="67">
        <v>576</v>
      </c>
      <c r="G157" s="68">
        <v>1912.32</v>
      </c>
    </row>
    <row r="158" spans="1:7" x14ac:dyDescent="0.25">
      <c r="A158" s="67">
        <v>2006</v>
      </c>
      <c r="B158" s="67" t="s">
        <v>39</v>
      </c>
      <c r="C158" s="67" t="s">
        <v>32</v>
      </c>
      <c r="D158" s="67" t="s">
        <v>27</v>
      </c>
      <c r="E158" s="67" t="s">
        <v>49</v>
      </c>
      <c r="F158" s="67">
        <v>583</v>
      </c>
      <c r="G158" s="68">
        <v>1842.28</v>
      </c>
    </row>
    <row r="159" spans="1:7" x14ac:dyDescent="0.25">
      <c r="A159" s="67">
        <v>2005</v>
      </c>
      <c r="B159" s="67" t="s">
        <v>44</v>
      </c>
      <c r="C159" s="67" t="s">
        <v>34</v>
      </c>
      <c r="D159" s="67" t="s">
        <v>35</v>
      </c>
      <c r="E159" s="67" t="s">
        <v>36</v>
      </c>
      <c r="F159" s="67">
        <v>692</v>
      </c>
      <c r="G159" s="68">
        <v>1806.12</v>
      </c>
    </row>
    <row r="160" spans="1:7" x14ac:dyDescent="0.25">
      <c r="A160" s="67">
        <v>2007</v>
      </c>
      <c r="B160" s="67" t="s">
        <v>41</v>
      </c>
      <c r="C160" s="67" t="s">
        <v>30</v>
      </c>
      <c r="D160" s="67" t="s">
        <v>35</v>
      </c>
      <c r="E160" s="67" t="s">
        <v>46</v>
      </c>
      <c r="F160" s="67">
        <v>666</v>
      </c>
      <c r="G160" s="68">
        <v>1398.6</v>
      </c>
    </row>
    <row r="161" spans="1:7" x14ac:dyDescent="0.25">
      <c r="A161" s="67">
        <v>2006</v>
      </c>
      <c r="B161" s="67" t="s">
        <v>44</v>
      </c>
      <c r="C161" s="67" t="s">
        <v>30</v>
      </c>
      <c r="D161" s="67" t="s">
        <v>42</v>
      </c>
      <c r="E161" s="67" t="s">
        <v>53</v>
      </c>
      <c r="F161" s="67">
        <v>642</v>
      </c>
      <c r="G161" s="68">
        <v>2054.4</v>
      </c>
    </row>
    <row r="162" spans="1:7" x14ac:dyDescent="0.25">
      <c r="A162" s="67">
        <v>2006</v>
      </c>
      <c r="B162" s="67" t="s">
        <v>50</v>
      </c>
      <c r="C162" s="67" t="s">
        <v>23</v>
      </c>
      <c r="D162" s="67" t="s">
        <v>42</v>
      </c>
      <c r="E162" s="67" t="s">
        <v>45</v>
      </c>
      <c r="F162" s="67">
        <v>695</v>
      </c>
      <c r="G162" s="68">
        <v>2168.4</v>
      </c>
    </row>
    <row r="163" spans="1:7" x14ac:dyDescent="0.25">
      <c r="A163" s="67">
        <v>2006</v>
      </c>
      <c r="B163" s="67" t="s">
        <v>51</v>
      </c>
      <c r="C163" s="67" t="s">
        <v>23</v>
      </c>
      <c r="D163" s="67" t="s">
        <v>27</v>
      </c>
      <c r="E163" s="67" t="s">
        <v>28</v>
      </c>
      <c r="F163" s="67">
        <v>511</v>
      </c>
      <c r="G163" s="68">
        <v>1732.29</v>
      </c>
    </row>
    <row r="164" spans="1:7" x14ac:dyDescent="0.25">
      <c r="A164" s="67">
        <v>2005</v>
      </c>
      <c r="B164" s="67" t="s">
        <v>51</v>
      </c>
      <c r="C164" s="67" t="s">
        <v>30</v>
      </c>
      <c r="D164" s="67" t="s">
        <v>24</v>
      </c>
      <c r="E164" s="67" t="s">
        <v>25</v>
      </c>
      <c r="F164" s="67">
        <v>918</v>
      </c>
      <c r="G164" s="68">
        <v>2469.42</v>
      </c>
    </row>
    <row r="165" spans="1:7" x14ac:dyDescent="0.25">
      <c r="A165" s="67">
        <v>2005</v>
      </c>
      <c r="B165" s="67" t="s">
        <v>44</v>
      </c>
      <c r="C165" s="67" t="s">
        <v>34</v>
      </c>
      <c r="D165" s="67" t="s">
        <v>24</v>
      </c>
      <c r="E165" s="67" t="s">
        <v>31</v>
      </c>
      <c r="F165" s="67">
        <v>716</v>
      </c>
      <c r="G165" s="68">
        <v>2384.2800000000002</v>
      </c>
    </row>
    <row r="166" spans="1:7" x14ac:dyDescent="0.25">
      <c r="A166" s="67">
        <v>2005</v>
      </c>
      <c r="B166" s="67" t="s">
        <v>26</v>
      </c>
      <c r="C166" s="67" t="s">
        <v>34</v>
      </c>
      <c r="D166" s="67" t="s">
        <v>35</v>
      </c>
      <c r="E166" s="67" t="s">
        <v>38</v>
      </c>
      <c r="F166" s="67">
        <v>783</v>
      </c>
      <c r="G166" s="68">
        <v>2646.54</v>
      </c>
    </row>
    <row r="167" spans="1:7" x14ac:dyDescent="0.25">
      <c r="A167" s="67">
        <v>2007</v>
      </c>
      <c r="B167" s="67" t="s">
        <v>48</v>
      </c>
      <c r="C167" s="67" t="s">
        <v>30</v>
      </c>
      <c r="D167" s="67" t="s">
        <v>27</v>
      </c>
      <c r="E167" s="67" t="s">
        <v>49</v>
      </c>
      <c r="F167" s="67">
        <v>582</v>
      </c>
      <c r="G167" s="68">
        <v>1938.06</v>
      </c>
    </row>
    <row r="168" spans="1:7" x14ac:dyDescent="0.25">
      <c r="A168" s="67">
        <v>2007</v>
      </c>
      <c r="B168" s="67" t="s">
        <v>29</v>
      </c>
      <c r="C168" s="67" t="s">
        <v>32</v>
      </c>
      <c r="D168" s="67" t="s">
        <v>24</v>
      </c>
      <c r="E168" s="67" t="s">
        <v>31</v>
      </c>
      <c r="F168" s="67">
        <v>649</v>
      </c>
      <c r="G168" s="68">
        <v>2375.34</v>
      </c>
    </row>
    <row r="169" spans="1:7" x14ac:dyDescent="0.25">
      <c r="A169" s="67">
        <v>2005</v>
      </c>
      <c r="B169" s="67" t="s">
        <v>39</v>
      </c>
      <c r="C169" s="67" t="s">
        <v>23</v>
      </c>
      <c r="D169" s="67" t="s">
        <v>42</v>
      </c>
      <c r="E169" s="67" t="s">
        <v>45</v>
      </c>
      <c r="F169" s="67">
        <v>966</v>
      </c>
      <c r="G169" s="68">
        <v>3574.2</v>
      </c>
    </row>
    <row r="170" spans="1:7" x14ac:dyDescent="0.25">
      <c r="A170" s="67">
        <v>2006</v>
      </c>
      <c r="B170" s="67" t="s">
        <v>44</v>
      </c>
      <c r="C170" s="67" t="s">
        <v>34</v>
      </c>
      <c r="D170" s="67" t="s">
        <v>27</v>
      </c>
      <c r="E170" s="67" t="s">
        <v>55</v>
      </c>
      <c r="F170" s="67">
        <v>771</v>
      </c>
      <c r="G170" s="68">
        <v>2336.13</v>
      </c>
    </row>
    <row r="171" spans="1:7" x14ac:dyDescent="0.25">
      <c r="A171" s="67">
        <v>2007</v>
      </c>
      <c r="B171" s="67" t="s">
        <v>29</v>
      </c>
      <c r="C171" s="67" t="s">
        <v>23</v>
      </c>
      <c r="D171" s="67" t="s">
        <v>42</v>
      </c>
      <c r="E171" s="67" t="s">
        <v>53</v>
      </c>
      <c r="F171" s="67">
        <v>856</v>
      </c>
      <c r="G171" s="68">
        <v>2174.2399999999998</v>
      </c>
    </row>
    <row r="172" spans="1:7" x14ac:dyDescent="0.25">
      <c r="A172" s="67">
        <v>2005</v>
      </c>
      <c r="B172" s="67" t="s">
        <v>29</v>
      </c>
      <c r="C172" s="67" t="s">
        <v>34</v>
      </c>
      <c r="D172" s="67" t="s">
        <v>35</v>
      </c>
      <c r="E172" s="67" t="s">
        <v>38</v>
      </c>
      <c r="F172" s="67">
        <v>823</v>
      </c>
      <c r="G172" s="68">
        <v>2073.96</v>
      </c>
    </row>
    <row r="173" spans="1:7" x14ac:dyDescent="0.25">
      <c r="A173" s="67">
        <v>2005</v>
      </c>
      <c r="B173" s="67" t="s">
        <v>37</v>
      </c>
      <c r="C173" s="67" t="s">
        <v>23</v>
      </c>
      <c r="D173" s="67" t="s">
        <v>27</v>
      </c>
      <c r="E173" s="67" t="s">
        <v>55</v>
      </c>
      <c r="F173" s="67">
        <v>877</v>
      </c>
      <c r="G173" s="68">
        <v>3279.98</v>
      </c>
    </row>
    <row r="174" spans="1:7" x14ac:dyDescent="0.25">
      <c r="A174" s="67">
        <v>2007</v>
      </c>
      <c r="B174" s="67" t="s">
        <v>29</v>
      </c>
      <c r="C174" s="67" t="s">
        <v>34</v>
      </c>
      <c r="D174" s="67" t="s">
        <v>27</v>
      </c>
      <c r="E174" s="67" t="s">
        <v>28</v>
      </c>
      <c r="F174" s="67">
        <v>666</v>
      </c>
      <c r="G174" s="68">
        <v>2124.54</v>
      </c>
    </row>
    <row r="175" spans="1:7" x14ac:dyDescent="0.25">
      <c r="A175" s="67">
        <v>2005</v>
      </c>
      <c r="B175" s="67" t="s">
        <v>33</v>
      </c>
      <c r="C175" s="67" t="s">
        <v>32</v>
      </c>
      <c r="D175" s="67" t="s">
        <v>35</v>
      </c>
      <c r="E175" s="67" t="s">
        <v>36</v>
      </c>
      <c r="F175" s="67">
        <v>560</v>
      </c>
      <c r="G175" s="68">
        <v>2066.4</v>
      </c>
    </row>
    <row r="176" spans="1:7" x14ac:dyDescent="0.25">
      <c r="A176" s="67">
        <v>2005</v>
      </c>
      <c r="B176" s="67" t="s">
        <v>52</v>
      </c>
      <c r="C176" s="67" t="s">
        <v>23</v>
      </c>
      <c r="D176" s="67" t="s">
        <v>24</v>
      </c>
      <c r="E176" s="67" t="s">
        <v>47</v>
      </c>
      <c r="F176" s="67">
        <v>673</v>
      </c>
      <c r="G176" s="68">
        <v>2301.66</v>
      </c>
    </row>
    <row r="177" spans="1:7" x14ac:dyDescent="0.25">
      <c r="A177" s="67">
        <v>2007</v>
      </c>
      <c r="B177" s="67" t="s">
        <v>29</v>
      </c>
      <c r="C177" s="67" t="s">
        <v>34</v>
      </c>
      <c r="D177" s="67" t="s">
        <v>27</v>
      </c>
      <c r="E177" s="67" t="s">
        <v>28</v>
      </c>
      <c r="F177" s="67">
        <v>944</v>
      </c>
      <c r="G177" s="68">
        <v>2926.4</v>
      </c>
    </row>
    <row r="178" spans="1:7" x14ac:dyDescent="0.25">
      <c r="A178" s="67">
        <v>2007</v>
      </c>
      <c r="B178" s="67" t="s">
        <v>48</v>
      </c>
      <c r="C178" s="67" t="s">
        <v>30</v>
      </c>
      <c r="D178" s="67" t="s">
        <v>35</v>
      </c>
      <c r="E178" s="67" t="s">
        <v>38</v>
      </c>
      <c r="F178" s="67">
        <v>822</v>
      </c>
      <c r="G178" s="68">
        <v>3131.82</v>
      </c>
    </row>
    <row r="179" spans="1:7" x14ac:dyDescent="0.25">
      <c r="A179" s="67">
        <v>2006</v>
      </c>
      <c r="B179" s="67" t="s">
        <v>48</v>
      </c>
      <c r="C179" s="67" t="s">
        <v>23</v>
      </c>
      <c r="D179" s="67" t="s">
        <v>27</v>
      </c>
      <c r="E179" s="67" t="s">
        <v>49</v>
      </c>
      <c r="F179" s="67">
        <v>872</v>
      </c>
      <c r="G179" s="68">
        <v>3226.4</v>
      </c>
    </row>
    <row r="180" spans="1:7" x14ac:dyDescent="0.25">
      <c r="A180" s="67">
        <v>2007</v>
      </c>
      <c r="B180" s="67" t="s">
        <v>33</v>
      </c>
      <c r="C180" s="67" t="s">
        <v>23</v>
      </c>
      <c r="D180" s="67" t="s">
        <v>27</v>
      </c>
      <c r="E180" s="67" t="s">
        <v>28</v>
      </c>
      <c r="F180" s="67">
        <v>711</v>
      </c>
      <c r="G180" s="68">
        <v>2275.1999999999998</v>
      </c>
    </row>
    <row r="181" spans="1:7" x14ac:dyDescent="0.25">
      <c r="A181" s="67">
        <v>2005</v>
      </c>
      <c r="B181" s="67" t="s">
        <v>50</v>
      </c>
      <c r="C181" s="67" t="s">
        <v>32</v>
      </c>
      <c r="D181" s="67" t="s">
        <v>24</v>
      </c>
      <c r="E181" s="67" t="s">
        <v>54</v>
      </c>
      <c r="F181" s="67">
        <v>963</v>
      </c>
      <c r="G181" s="68">
        <v>3110.49</v>
      </c>
    </row>
    <row r="182" spans="1:7" x14ac:dyDescent="0.25">
      <c r="A182" s="67">
        <v>2005</v>
      </c>
      <c r="B182" s="67" t="s">
        <v>33</v>
      </c>
      <c r="C182" s="67" t="s">
        <v>34</v>
      </c>
      <c r="D182" s="67" t="s">
        <v>35</v>
      </c>
      <c r="E182" s="67" t="s">
        <v>38</v>
      </c>
      <c r="F182" s="67">
        <v>892</v>
      </c>
      <c r="G182" s="68">
        <v>3175.52</v>
      </c>
    </row>
    <row r="183" spans="1:7" x14ac:dyDescent="0.25">
      <c r="A183" s="67">
        <v>2007</v>
      </c>
      <c r="B183" s="67" t="s">
        <v>33</v>
      </c>
      <c r="C183" s="67" t="s">
        <v>32</v>
      </c>
      <c r="D183" s="67" t="s">
        <v>24</v>
      </c>
      <c r="E183" s="67" t="s">
        <v>25</v>
      </c>
      <c r="F183" s="67">
        <v>865</v>
      </c>
      <c r="G183" s="68">
        <v>2707.45</v>
      </c>
    </row>
    <row r="184" spans="1:7" x14ac:dyDescent="0.25">
      <c r="A184" s="67">
        <v>2006</v>
      </c>
      <c r="B184" s="67" t="s">
        <v>37</v>
      </c>
      <c r="C184" s="67" t="s">
        <v>34</v>
      </c>
      <c r="D184" s="67" t="s">
        <v>42</v>
      </c>
      <c r="E184" s="67" t="s">
        <v>45</v>
      </c>
      <c r="F184" s="67">
        <v>959</v>
      </c>
      <c r="G184" s="68">
        <v>2378.3200000000002</v>
      </c>
    </row>
    <row r="185" spans="1:7" x14ac:dyDescent="0.25">
      <c r="A185" s="67">
        <v>2006</v>
      </c>
      <c r="B185" s="67" t="s">
        <v>29</v>
      </c>
      <c r="C185" s="67" t="s">
        <v>34</v>
      </c>
      <c r="D185" s="67" t="s">
        <v>42</v>
      </c>
      <c r="E185" s="67" t="s">
        <v>45</v>
      </c>
      <c r="F185" s="67">
        <v>980</v>
      </c>
      <c r="G185" s="68">
        <v>3145.8</v>
      </c>
    </row>
    <row r="186" spans="1:7" x14ac:dyDescent="0.25">
      <c r="A186" s="67">
        <v>2007</v>
      </c>
      <c r="B186" s="67" t="s">
        <v>39</v>
      </c>
      <c r="C186" s="67" t="s">
        <v>34</v>
      </c>
      <c r="D186" s="67" t="s">
        <v>42</v>
      </c>
      <c r="E186" s="67" t="s">
        <v>43</v>
      </c>
      <c r="F186" s="67">
        <v>876</v>
      </c>
      <c r="G186" s="68">
        <v>3162.36</v>
      </c>
    </row>
    <row r="187" spans="1:7" x14ac:dyDescent="0.25">
      <c r="A187" s="67">
        <v>2007</v>
      </c>
      <c r="B187" s="67" t="s">
        <v>50</v>
      </c>
      <c r="C187" s="67" t="s">
        <v>34</v>
      </c>
      <c r="D187" s="67" t="s">
        <v>24</v>
      </c>
      <c r="E187" s="67" t="s">
        <v>31</v>
      </c>
      <c r="F187" s="67">
        <v>676</v>
      </c>
      <c r="G187" s="68">
        <v>1406.08</v>
      </c>
    </row>
    <row r="188" spans="1:7" x14ac:dyDescent="0.25">
      <c r="A188" s="67">
        <v>2006</v>
      </c>
      <c r="B188" s="67" t="s">
        <v>51</v>
      </c>
      <c r="C188" s="67" t="s">
        <v>30</v>
      </c>
      <c r="D188" s="67" t="s">
        <v>24</v>
      </c>
      <c r="E188" s="67" t="s">
        <v>25</v>
      </c>
      <c r="F188" s="67">
        <v>658</v>
      </c>
      <c r="G188" s="68">
        <v>1750.28</v>
      </c>
    </row>
    <row r="189" spans="1:7" x14ac:dyDescent="0.25">
      <c r="A189" s="67">
        <v>2005</v>
      </c>
      <c r="B189" s="67" t="s">
        <v>44</v>
      </c>
      <c r="C189" s="67" t="s">
        <v>32</v>
      </c>
      <c r="D189" s="67" t="s">
        <v>42</v>
      </c>
      <c r="E189" s="67" t="s">
        <v>45</v>
      </c>
      <c r="F189" s="67">
        <v>647</v>
      </c>
      <c r="G189" s="68">
        <v>2115.69</v>
      </c>
    </row>
    <row r="190" spans="1:7" x14ac:dyDescent="0.25">
      <c r="A190" s="67">
        <v>2005</v>
      </c>
      <c r="B190" s="67" t="s">
        <v>44</v>
      </c>
      <c r="C190" s="67" t="s">
        <v>23</v>
      </c>
      <c r="D190" s="67" t="s">
        <v>35</v>
      </c>
      <c r="E190" s="67" t="s">
        <v>36</v>
      </c>
      <c r="F190" s="67">
        <v>717</v>
      </c>
      <c r="G190" s="68">
        <v>1534.38</v>
      </c>
    </row>
    <row r="191" spans="1:7" x14ac:dyDescent="0.25">
      <c r="A191" s="67">
        <v>2006</v>
      </c>
      <c r="B191" s="67" t="s">
        <v>39</v>
      </c>
      <c r="C191" s="67" t="s">
        <v>34</v>
      </c>
      <c r="D191" s="67" t="s">
        <v>27</v>
      </c>
      <c r="E191" s="67" t="s">
        <v>55</v>
      </c>
      <c r="F191" s="67">
        <v>623</v>
      </c>
      <c r="G191" s="68">
        <v>1619.8</v>
      </c>
    </row>
    <row r="192" spans="1:7" x14ac:dyDescent="0.25">
      <c r="A192" s="67">
        <v>2005</v>
      </c>
      <c r="B192" s="67" t="s">
        <v>51</v>
      </c>
      <c r="C192" s="67" t="s">
        <v>32</v>
      </c>
      <c r="D192" s="67" t="s">
        <v>35</v>
      </c>
      <c r="E192" s="67" t="s">
        <v>46</v>
      </c>
      <c r="F192" s="67">
        <v>903</v>
      </c>
      <c r="G192" s="68">
        <v>2447.13</v>
      </c>
    </row>
    <row r="193" spans="1:7" x14ac:dyDescent="0.25">
      <c r="A193" s="67">
        <v>2007</v>
      </c>
      <c r="B193" s="67" t="s">
        <v>22</v>
      </c>
      <c r="C193" s="67" t="s">
        <v>34</v>
      </c>
      <c r="D193" s="67" t="s">
        <v>35</v>
      </c>
      <c r="E193" s="67" t="s">
        <v>36</v>
      </c>
      <c r="F193" s="67">
        <v>885</v>
      </c>
      <c r="G193" s="68">
        <v>2902.8</v>
      </c>
    </row>
    <row r="194" spans="1:7" x14ac:dyDescent="0.25">
      <c r="A194" s="67">
        <v>2007</v>
      </c>
      <c r="B194" s="67" t="s">
        <v>51</v>
      </c>
      <c r="C194" s="67" t="s">
        <v>34</v>
      </c>
      <c r="D194" s="67" t="s">
        <v>35</v>
      </c>
      <c r="E194" s="67" t="s">
        <v>46</v>
      </c>
      <c r="F194" s="67">
        <v>574</v>
      </c>
      <c r="G194" s="68">
        <v>1739.22</v>
      </c>
    </row>
    <row r="195" spans="1:7" x14ac:dyDescent="0.25">
      <c r="A195" s="67">
        <v>2005</v>
      </c>
      <c r="B195" s="67" t="s">
        <v>48</v>
      </c>
      <c r="C195" s="67" t="s">
        <v>23</v>
      </c>
      <c r="D195" s="67" t="s">
        <v>27</v>
      </c>
      <c r="E195" s="67" t="s">
        <v>49</v>
      </c>
      <c r="F195" s="67">
        <v>509</v>
      </c>
      <c r="G195" s="68">
        <v>1430.29</v>
      </c>
    </row>
    <row r="196" spans="1:7" x14ac:dyDescent="0.25">
      <c r="A196" s="67">
        <v>2005</v>
      </c>
      <c r="B196" s="67" t="s">
        <v>26</v>
      </c>
      <c r="C196" s="67" t="s">
        <v>23</v>
      </c>
      <c r="D196" s="67" t="s">
        <v>35</v>
      </c>
      <c r="E196" s="67" t="s">
        <v>46</v>
      </c>
      <c r="F196" s="67">
        <v>802</v>
      </c>
      <c r="G196" s="68">
        <v>2646.6</v>
      </c>
    </row>
    <row r="197" spans="1:7" x14ac:dyDescent="0.25">
      <c r="A197" s="67">
        <v>2007</v>
      </c>
      <c r="B197" s="67" t="s">
        <v>52</v>
      </c>
      <c r="C197" s="67" t="s">
        <v>32</v>
      </c>
      <c r="D197" s="67" t="s">
        <v>24</v>
      </c>
      <c r="E197" s="67" t="s">
        <v>25</v>
      </c>
      <c r="F197" s="67">
        <v>836</v>
      </c>
      <c r="G197" s="68">
        <v>2666.84</v>
      </c>
    </row>
    <row r="198" spans="1:7" x14ac:dyDescent="0.25">
      <c r="A198" s="67">
        <v>2006</v>
      </c>
      <c r="B198" s="67" t="s">
        <v>22</v>
      </c>
      <c r="C198" s="67" t="s">
        <v>32</v>
      </c>
      <c r="D198" s="67" t="s">
        <v>42</v>
      </c>
      <c r="E198" s="67" t="s">
        <v>45</v>
      </c>
      <c r="F198" s="67">
        <v>737</v>
      </c>
      <c r="G198" s="68">
        <v>2122.56</v>
      </c>
    </row>
    <row r="199" spans="1:7" x14ac:dyDescent="0.25">
      <c r="A199" s="67">
        <v>2005</v>
      </c>
      <c r="B199" s="67" t="s">
        <v>26</v>
      </c>
      <c r="C199" s="67" t="s">
        <v>30</v>
      </c>
      <c r="D199" s="67" t="s">
        <v>27</v>
      </c>
      <c r="E199" s="67" t="s">
        <v>28</v>
      </c>
      <c r="F199" s="67">
        <v>864</v>
      </c>
      <c r="G199" s="68">
        <v>3447.36</v>
      </c>
    </row>
    <row r="200" spans="1:7" x14ac:dyDescent="0.25">
      <c r="A200" s="67">
        <v>2006</v>
      </c>
      <c r="B200" s="67" t="s">
        <v>52</v>
      </c>
      <c r="C200" s="67" t="s">
        <v>23</v>
      </c>
      <c r="D200" s="67" t="s">
        <v>27</v>
      </c>
      <c r="E200" s="67" t="s">
        <v>28</v>
      </c>
      <c r="F200" s="67">
        <v>896</v>
      </c>
      <c r="G200" s="68">
        <v>3386.88</v>
      </c>
    </row>
    <row r="201" spans="1:7" x14ac:dyDescent="0.25">
      <c r="A201" s="67">
        <v>2005</v>
      </c>
      <c r="B201" s="67" t="s">
        <v>52</v>
      </c>
      <c r="C201" s="67" t="s">
        <v>32</v>
      </c>
      <c r="D201" s="67" t="s">
        <v>42</v>
      </c>
      <c r="E201" s="67" t="s">
        <v>43</v>
      </c>
      <c r="F201" s="67">
        <v>643</v>
      </c>
      <c r="G201" s="68">
        <v>2507.6999999999998</v>
      </c>
    </row>
    <row r="202" spans="1:7" x14ac:dyDescent="0.25">
      <c r="A202" s="67">
        <v>2005</v>
      </c>
      <c r="B202" s="67" t="s">
        <v>50</v>
      </c>
      <c r="C202" s="67" t="s">
        <v>34</v>
      </c>
      <c r="D202" s="67" t="s">
        <v>24</v>
      </c>
      <c r="E202" s="67" t="s">
        <v>25</v>
      </c>
      <c r="F202" s="67">
        <v>998</v>
      </c>
      <c r="G202" s="68">
        <v>2115.7600000000002</v>
      </c>
    </row>
    <row r="203" spans="1:7" x14ac:dyDescent="0.25">
      <c r="A203" s="67">
        <v>2007</v>
      </c>
      <c r="B203" s="67" t="s">
        <v>37</v>
      </c>
      <c r="C203" s="67" t="s">
        <v>23</v>
      </c>
      <c r="D203" s="67" t="s">
        <v>35</v>
      </c>
      <c r="E203" s="67" t="s">
        <v>36</v>
      </c>
      <c r="F203" s="67">
        <v>869</v>
      </c>
      <c r="G203" s="68">
        <v>3015.43</v>
      </c>
    </row>
    <row r="204" spans="1:7" x14ac:dyDescent="0.25">
      <c r="A204" s="67">
        <v>2006</v>
      </c>
      <c r="B204" s="67" t="s">
        <v>44</v>
      </c>
      <c r="C204" s="67" t="s">
        <v>23</v>
      </c>
      <c r="D204" s="67" t="s">
        <v>35</v>
      </c>
      <c r="E204" s="67" t="s">
        <v>38</v>
      </c>
      <c r="F204" s="67">
        <v>814</v>
      </c>
      <c r="G204" s="68">
        <v>2946.68</v>
      </c>
    </row>
    <row r="205" spans="1:7" x14ac:dyDescent="0.25">
      <c r="A205" s="67">
        <v>2007</v>
      </c>
      <c r="B205" s="67" t="s">
        <v>51</v>
      </c>
      <c r="C205" s="67" t="s">
        <v>30</v>
      </c>
      <c r="D205" s="67" t="s">
        <v>35</v>
      </c>
      <c r="E205" s="67" t="s">
        <v>38</v>
      </c>
      <c r="F205" s="67">
        <v>990</v>
      </c>
      <c r="G205" s="68">
        <v>3366</v>
      </c>
    </row>
    <row r="206" spans="1:7" x14ac:dyDescent="0.25">
      <c r="A206" s="67">
        <v>2007</v>
      </c>
      <c r="B206" s="67" t="s">
        <v>22</v>
      </c>
      <c r="C206" s="67" t="s">
        <v>34</v>
      </c>
      <c r="D206" s="67" t="s">
        <v>27</v>
      </c>
      <c r="E206" s="67" t="s">
        <v>49</v>
      </c>
      <c r="F206" s="67">
        <v>647</v>
      </c>
      <c r="G206" s="68">
        <v>1462.22</v>
      </c>
    </row>
    <row r="207" spans="1:7" x14ac:dyDescent="0.25">
      <c r="A207" s="67">
        <v>2005</v>
      </c>
      <c r="B207" s="67" t="s">
        <v>26</v>
      </c>
      <c r="C207" s="67" t="s">
        <v>30</v>
      </c>
      <c r="D207" s="67" t="s">
        <v>35</v>
      </c>
      <c r="E207" s="67" t="s">
        <v>38</v>
      </c>
      <c r="F207" s="67">
        <v>610</v>
      </c>
      <c r="G207" s="68">
        <v>2202.1</v>
      </c>
    </row>
    <row r="208" spans="1:7" x14ac:dyDescent="0.25">
      <c r="A208" s="67">
        <v>2005</v>
      </c>
      <c r="B208" s="67" t="s">
        <v>29</v>
      </c>
      <c r="C208" s="67" t="s">
        <v>30</v>
      </c>
      <c r="D208" s="67" t="s">
        <v>42</v>
      </c>
      <c r="E208" s="67" t="s">
        <v>45</v>
      </c>
      <c r="F208" s="67">
        <v>586</v>
      </c>
      <c r="G208" s="68">
        <v>1904.5</v>
      </c>
    </row>
    <row r="209" spans="1:7" x14ac:dyDescent="0.25">
      <c r="A209" s="67">
        <v>2007</v>
      </c>
      <c r="B209" s="67" t="s">
        <v>33</v>
      </c>
      <c r="C209" s="67" t="s">
        <v>23</v>
      </c>
      <c r="D209" s="67" t="s">
        <v>35</v>
      </c>
      <c r="E209" s="67" t="s">
        <v>38</v>
      </c>
      <c r="F209" s="67">
        <v>756</v>
      </c>
      <c r="G209" s="68">
        <v>2275.56</v>
      </c>
    </row>
    <row r="210" spans="1:7" x14ac:dyDescent="0.25">
      <c r="A210" s="67">
        <v>2007</v>
      </c>
      <c r="B210" s="67" t="s">
        <v>26</v>
      </c>
      <c r="C210" s="67" t="s">
        <v>34</v>
      </c>
      <c r="D210" s="67" t="s">
        <v>35</v>
      </c>
      <c r="E210" s="67" t="s">
        <v>46</v>
      </c>
      <c r="F210" s="67">
        <v>817</v>
      </c>
      <c r="G210" s="68">
        <v>3145.45</v>
      </c>
    </row>
    <row r="211" spans="1:7" x14ac:dyDescent="0.25">
      <c r="A211" s="67">
        <v>2007</v>
      </c>
      <c r="B211" s="67" t="s">
        <v>26</v>
      </c>
      <c r="C211" s="67" t="s">
        <v>23</v>
      </c>
      <c r="D211" s="67" t="s">
        <v>42</v>
      </c>
      <c r="E211" s="67" t="s">
        <v>45</v>
      </c>
      <c r="F211" s="67">
        <v>915</v>
      </c>
      <c r="G211" s="68">
        <v>3220.8</v>
      </c>
    </row>
    <row r="212" spans="1:7" x14ac:dyDescent="0.25">
      <c r="A212" s="67">
        <v>2006</v>
      </c>
      <c r="B212" s="67" t="s">
        <v>52</v>
      </c>
      <c r="C212" s="67" t="s">
        <v>30</v>
      </c>
      <c r="D212" s="67" t="s">
        <v>42</v>
      </c>
      <c r="E212" s="67" t="s">
        <v>45</v>
      </c>
      <c r="F212" s="67">
        <v>912</v>
      </c>
      <c r="G212" s="68">
        <v>2580.96</v>
      </c>
    </row>
    <row r="213" spans="1:7" x14ac:dyDescent="0.25">
      <c r="A213" s="67">
        <v>2007</v>
      </c>
      <c r="B213" s="67" t="s">
        <v>26</v>
      </c>
      <c r="C213" s="67" t="s">
        <v>32</v>
      </c>
      <c r="D213" s="67" t="s">
        <v>24</v>
      </c>
      <c r="E213" s="67" t="s">
        <v>25</v>
      </c>
      <c r="F213" s="67">
        <v>655</v>
      </c>
      <c r="G213" s="68">
        <v>2587.25</v>
      </c>
    </row>
    <row r="214" spans="1:7" x14ac:dyDescent="0.25">
      <c r="A214" s="67">
        <v>2005</v>
      </c>
      <c r="B214" s="67" t="s">
        <v>52</v>
      </c>
      <c r="C214" s="67" t="s">
        <v>34</v>
      </c>
      <c r="D214" s="67" t="s">
        <v>42</v>
      </c>
      <c r="E214" s="67" t="s">
        <v>45</v>
      </c>
      <c r="F214" s="67">
        <v>985</v>
      </c>
      <c r="G214" s="68">
        <v>3506.6</v>
      </c>
    </row>
    <row r="215" spans="1:7" x14ac:dyDescent="0.25">
      <c r="A215" s="67">
        <v>2006</v>
      </c>
      <c r="B215" s="67" t="s">
        <v>51</v>
      </c>
      <c r="C215" s="67" t="s">
        <v>23</v>
      </c>
      <c r="D215" s="67" t="s">
        <v>27</v>
      </c>
      <c r="E215" s="67" t="s">
        <v>55</v>
      </c>
      <c r="F215" s="67">
        <v>896</v>
      </c>
      <c r="G215" s="68">
        <v>2903.04</v>
      </c>
    </row>
    <row r="216" spans="1:7" x14ac:dyDescent="0.25">
      <c r="A216" s="67">
        <v>2007</v>
      </c>
      <c r="B216" s="67" t="s">
        <v>44</v>
      </c>
      <c r="C216" s="67" t="s">
        <v>23</v>
      </c>
      <c r="D216" s="67" t="s">
        <v>42</v>
      </c>
      <c r="E216" s="67" t="s">
        <v>43</v>
      </c>
      <c r="F216" s="67">
        <v>644</v>
      </c>
      <c r="G216" s="68">
        <v>1667.96</v>
      </c>
    </row>
    <row r="217" spans="1:7" x14ac:dyDescent="0.25">
      <c r="A217" s="67">
        <v>2006</v>
      </c>
      <c r="B217" s="67" t="s">
        <v>52</v>
      </c>
      <c r="C217" s="67" t="s">
        <v>30</v>
      </c>
      <c r="D217" s="67" t="s">
        <v>35</v>
      </c>
      <c r="E217" s="67" t="s">
        <v>36</v>
      </c>
      <c r="F217" s="67">
        <v>827</v>
      </c>
      <c r="G217" s="68">
        <v>2390.0300000000002</v>
      </c>
    </row>
    <row r="218" spans="1:7" x14ac:dyDescent="0.25">
      <c r="A218" s="67">
        <v>2006</v>
      </c>
      <c r="B218" s="67" t="s">
        <v>26</v>
      </c>
      <c r="C218" s="67" t="s">
        <v>34</v>
      </c>
      <c r="D218" s="67" t="s">
        <v>24</v>
      </c>
      <c r="E218" s="67" t="s">
        <v>54</v>
      </c>
      <c r="F218" s="67">
        <v>678</v>
      </c>
      <c r="G218" s="68">
        <v>1972.98</v>
      </c>
    </row>
    <row r="219" spans="1:7" x14ac:dyDescent="0.25">
      <c r="A219" s="67">
        <v>2006</v>
      </c>
      <c r="B219" s="67" t="s">
        <v>33</v>
      </c>
      <c r="C219" s="67" t="s">
        <v>32</v>
      </c>
      <c r="D219" s="67" t="s">
        <v>42</v>
      </c>
      <c r="E219" s="67" t="s">
        <v>53</v>
      </c>
      <c r="F219" s="67">
        <v>942</v>
      </c>
      <c r="G219" s="68">
        <v>3758.58</v>
      </c>
    </row>
    <row r="220" spans="1:7" x14ac:dyDescent="0.25">
      <c r="A220" s="67">
        <v>2005</v>
      </c>
      <c r="B220" s="67" t="s">
        <v>29</v>
      </c>
      <c r="C220" s="67" t="s">
        <v>30</v>
      </c>
      <c r="D220" s="67" t="s">
        <v>24</v>
      </c>
      <c r="E220" s="67" t="s">
        <v>47</v>
      </c>
      <c r="F220" s="67">
        <v>918</v>
      </c>
      <c r="G220" s="68">
        <v>3056.94</v>
      </c>
    </row>
    <row r="221" spans="1:7" x14ac:dyDescent="0.25">
      <c r="A221" s="67">
        <v>2007</v>
      </c>
      <c r="B221" s="67" t="s">
        <v>52</v>
      </c>
      <c r="C221" s="67" t="s">
        <v>34</v>
      </c>
      <c r="D221" s="67" t="s">
        <v>42</v>
      </c>
      <c r="E221" s="67" t="s">
        <v>45</v>
      </c>
      <c r="F221" s="67">
        <v>913</v>
      </c>
      <c r="G221" s="68">
        <v>2547.27</v>
      </c>
    </row>
    <row r="222" spans="1:7" x14ac:dyDescent="0.25">
      <c r="A222" s="67">
        <v>2007</v>
      </c>
      <c r="B222" s="67" t="s">
        <v>33</v>
      </c>
      <c r="C222" s="67" t="s">
        <v>32</v>
      </c>
      <c r="D222" s="67" t="s">
        <v>27</v>
      </c>
      <c r="E222" s="67" t="s">
        <v>28</v>
      </c>
      <c r="F222" s="67">
        <v>756</v>
      </c>
      <c r="G222" s="68">
        <v>2094.12</v>
      </c>
    </row>
    <row r="223" spans="1:7" x14ac:dyDescent="0.25">
      <c r="A223" s="67">
        <v>2006</v>
      </c>
      <c r="B223" s="67" t="s">
        <v>26</v>
      </c>
      <c r="C223" s="67" t="s">
        <v>23</v>
      </c>
      <c r="D223" s="67" t="s">
        <v>27</v>
      </c>
      <c r="E223" s="67" t="s">
        <v>49</v>
      </c>
      <c r="F223" s="67">
        <v>927</v>
      </c>
      <c r="G223" s="68">
        <v>1909.62</v>
      </c>
    </row>
    <row r="224" spans="1:7" x14ac:dyDescent="0.25">
      <c r="A224" s="67">
        <v>2006</v>
      </c>
      <c r="B224" s="67" t="s">
        <v>29</v>
      </c>
      <c r="C224" s="67" t="s">
        <v>30</v>
      </c>
      <c r="D224" s="67" t="s">
        <v>35</v>
      </c>
      <c r="E224" s="67" t="s">
        <v>40</v>
      </c>
      <c r="F224" s="67">
        <v>548</v>
      </c>
      <c r="G224" s="68">
        <v>2109.8000000000002</v>
      </c>
    </row>
    <row r="225" spans="1:7" x14ac:dyDescent="0.25">
      <c r="A225" s="67">
        <v>2007</v>
      </c>
      <c r="B225" s="67" t="s">
        <v>48</v>
      </c>
      <c r="C225" s="67" t="s">
        <v>34</v>
      </c>
      <c r="D225" s="67" t="s">
        <v>27</v>
      </c>
      <c r="E225" s="67" t="s">
        <v>49</v>
      </c>
      <c r="F225" s="67">
        <v>793</v>
      </c>
      <c r="G225" s="68">
        <v>1586</v>
      </c>
    </row>
    <row r="226" spans="1:7" x14ac:dyDescent="0.25">
      <c r="A226" s="67">
        <v>2006</v>
      </c>
      <c r="B226" s="67" t="s">
        <v>50</v>
      </c>
      <c r="C226" s="67" t="s">
        <v>34</v>
      </c>
      <c r="D226" s="67" t="s">
        <v>42</v>
      </c>
      <c r="E226" s="67" t="s">
        <v>45</v>
      </c>
      <c r="F226" s="67">
        <v>553</v>
      </c>
      <c r="G226" s="68">
        <v>1625.82</v>
      </c>
    </row>
    <row r="227" spans="1:7" x14ac:dyDescent="0.25">
      <c r="A227" s="67">
        <v>2007</v>
      </c>
      <c r="B227" s="67" t="s">
        <v>41</v>
      </c>
      <c r="C227" s="67" t="s">
        <v>34</v>
      </c>
      <c r="D227" s="67" t="s">
        <v>42</v>
      </c>
      <c r="E227" s="67" t="s">
        <v>45</v>
      </c>
      <c r="F227" s="67">
        <v>629</v>
      </c>
      <c r="G227" s="68">
        <v>2056.83</v>
      </c>
    </row>
    <row r="228" spans="1:7" x14ac:dyDescent="0.25">
      <c r="A228" s="67">
        <v>2007</v>
      </c>
      <c r="B228" s="67" t="s">
        <v>22</v>
      </c>
      <c r="C228" s="67" t="s">
        <v>32</v>
      </c>
      <c r="D228" s="67" t="s">
        <v>27</v>
      </c>
      <c r="E228" s="67" t="s">
        <v>49</v>
      </c>
      <c r="F228" s="67">
        <v>674</v>
      </c>
      <c r="G228" s="68">
        <v>1853.5</v>
      </c>
    </row>
    <row r="229" spans="1:7" x14ac:dyDescent="0.25">
      <c r="A229" s="67">
        <v>2006</v>
      </c>
      <c r="B229" s="67" t="s">
        <v>50</v>
      </c>
      <c r="C229" s="67" t="s">
        <v>32</v>
      </c>
      <c r="D229" s="67" t="s">
        <v>24</v>
      </c>
      <c r="E229" s="67" t="s">
        <v>31</v>
      </c>
      <c r="F229" s="67">
        <v>579</v>
      </c>
      <c r="G229" s="68">
        <v>1540.14</v>
      </c>
    </row>
    <row r="230" spans="1:7" x14ac:dyDescent="0.25">
      <c r="A230" s="67">
        <v>2006</v>
      </c>
      <c r="B230" s="67" t="s">
        <v>48</v>
      </c>
      <c r="C230" s="67" t="s">
        <v>30</v>
      </c>
      <c r="D230" s="67" t="s">
        <v>24</v>
      </c>
      <c r="E230" s="67" t="s">
        <v>25</v>
      </c>
      <c r="F230" s="67">
        <v>619</v>
      </c>
      <c r="G230" s="68">
        <v>1355.61</v>
      </c>
    </row>
    <row r="231" spans="1:7" x14ac:dyDescent="0.25">
      <c r="A231" s="67">
        <v>2005</v>
      </c>
      <c r="B231" s="67" t="s">
        <v>22</v>
      </c>
      <c r="C231" s="67" t="s">
        <v>23</v>
      </c>
      <c r="D231" s="67" t="s">
        <v>27</v>
      </c>
      <c r="E231" s="67" t="s">
        <v>28</v>
      </c>
      <c r="F231" s="67">
        <v>529</v>
      </c>
      <c r="G231" s="68">
        <v>1899.11</v>
      </c>
    </row>
    <row r="232" spans="1:7" x14ac:dyDescent="0.25">
      <c r="A232" s="67">
        <v>2005</v>
      </c>
      <c r="B232" s="67" t="s">
        <v>51</v>
      </c>
      <c r="C232" s="67" t="s">
        <v>23</v>
      </c>
      <c r="D232" s="67" t="s">
        <v>24</v>
      </c>
      <c r="E232" s="67" t="s">
        <v>31</v>
      </c>
      <c r="F232" s="67">
        <v>674</v>
      </c>
      <c r="G232" s="68">
        <v>1954.6</v>
      </c>
    </row>
    <row r="233" spans="1:7" x14ac:dyDescent="0.25">
      <c r="A233" s="67">
        <v>2007</v>
      </c>
      <c r="B233" s="67" t="s">
        <v>37</v>
      </c>
      <c r="C233" s="67" t="s">
        <v>30</v>
      </c>
      <c r="D233" s="67" t="s">
        <v>35</v>
      </c>
      <c r="E233" s="67" t="s">
        <v>40</v>
      </c>
      <c r="F233" s="67">
        <v>815</v>
      </c>
      <c r="G233" s="68">
        <v>1744.1</v>
      </c>
    </row>
    <row r="234" spans="1:7" x14ac:dyDescent="0.25">
      <c r="A234" s="67">
        <v>2006</v>
      </c>
      <c r="B234" s="67" t="s">
        <v>22</v>
      </c>
      <c r="C234" s="67" t="s">
        <v>34</v>
      </c>
      <c r="D234" s="67" t="s">
        <v>35</v>
      </c>
      <c r="E234" s="67" t="s">
        <v>46</v>
      </c>
      <c r="F234" s="67">
        <v>611</v>
      </c>
      <c r="G234" s="68">
        <v>1270.8800000000001</v>
      </c>
    </row>
    <row r="235" spans="1:7" x14ac:dyDescent="0.25">
      <c r="A235" s="67">
        <v>2006</v>
      </c>
      <c r="B235" s="67" t="s">
        <v>51</v>
      </c>
      <c r="C235" s="67" t="s">
        <v>34</v>
      </c>
      <c r="D235" s="67" t="s">
        <v>27</v>
      </c>
      <c r="E235" s="67" t="s">
        <v>28</v>
      </c>
      <c r="F235" s="67">
        <v>904</v>
      </c>
      <c r="G235" s="68">
        <v>3127.84</v>
      </c>
    </row>
    <row r="236" spans="1:7" x14ac:dyDescent="0.25">
      <c r="A236" s="67">
        <v>2006</v>
      </c>
      <c r="B236" s="67" t="s">
        <v>50</v>
      </c>
      <c r="C236" s="67" t="s">
        <v>32</v>
      </c>
      <c r="D236" s="67" t="s">
        <v>24</v>
      </c>
      <c r="E236" s="67" t="s">
        <v>25</v>
      </c>
      <c r="F236" s="67">
        <v>851</v>
      </c>
      <c r="G236" s="68">
        <v>3267.84</v>
      </c>
    </row>
    <row r="237" spans="1:7" x14ac:dyDescent="0.25">
      <c r="A237" s="67">
        <v>2005</v>
      </c>
      <c r="B237" s="67" t="s">
        <v>39</v>
      </c>
      <c r="C237" s="67" t="s">
        <v>23</v>
      </c>
      <c r="D237" s="67" t="s">
        <v>27</v>
      </c>
      <c r="E237" s="67" t="s">
        <v>28</v>
      </c>
      <c r="F237" s="67">
        <v>919</v>
      </c>
      <c r="G237" s="68">
        <v>1883.95</v>
      </c>
    </row>
    <row r="238" spans="1:7" x14ac:dyDescent="0.25">
      <c r="A238" s="67">
        <v>2005</v>
      </c>
      <c r="B238" s="67" t="s">
        <v>50</v>
      </c>
      <c r="C238" s="67" t="s">
        <v>23</v>
      </c>
      <c r="D238" s="67" t="s">
        <v>42</v>
      </c>
      <c r="E238" s="67" t="s">
        <v>53</v>
      </c>
      <c r="F238" s="67">
        <v>747</v>
      </c>
      <c r="G238" s="68">
        <v>2300.7600000000002</v>
      </c>
    </row>
    <row r="239" spans="1:7" x14ac:dyDescent="0.25">
      <c r="A239" s="67">
        <v>2005</v>
      </c>
      <c r="B239" s="67" t="s">
        <v>37</v>
      </c>
      <c r="C239" s="67" t="s">
        <v>30</v>
      </c>
      <c r="D239" s="67" t="s">
        <v>27</v>
      </c>
      <c r="E239" s="67" t="s">
        <v>49</v>
      </c>
      <c r="F239" s="67">
        <v>728</v>
      </c>
      <c r="G239" s="68">
        <v>1798.16</v>
      </c>
    </row>
    <row r="240" spans="1:7" x14ac:dyDescent="0.25">
      <c r="A240" s="67">
        <v>2007</v>
      </c>
      <c r="B240" s="67" t="s">
        <v>50</v>
      </c>
      <c r="C240" s="67" t="s">
        <v>30</v>
      </c>
      <c r="D240" s="67" t="s">
        <v>24</v>
      </c>
      <c r="E240" s="67" t="s">
        <v>54</v>
      </c>
      <c r="F240" s="67">
        <v>752</v>
      </c>
      <c r="G240" s="68">
        <v>2210.88</v>
      </c>
    </row>
    <row r="241" spans="1:7" x14ac:dyDescent="0.25">
      <c r="A241" s="67">
        <v>2007</v>
      </c>
      <c r="B241" s="67" t="s">
        <v>39</v>
      </c>
      <c r="C241" s="67" t="s">
        <v>32</v>
      </c>
      <c r="D241" s="67" t="s">
        <v>42</v>
      </c>
      <c r="E241" s="67" t="s">
        <v>45</v>
      </c>
      <c r="F241" s="67">
        <v>558</v>
      </c>
      <c r="G241" s="68">
        <v>1478.7</v>
      </c>
    </row>
    <row r="242" spans="1:7" x14ac:dyDescent="0.25">
      <c r="A242" s="67">
        <v>2007</v>
      </c>
      <c r="B242" s="67" t="s">
        <v>37</v>
      </c>
      <c r="C242" s="67" t="s">
        <v>23</v>
      </c>
      <c r="D242" s="67" t="s">
        <v>42</v>
      </c>
      <c r="E242" s="67" t="s">
        <v>45</v>
      </c>
      <c r="F242" s="67">
        <v>520</v>
      </c>
      <c r="G242" s="68">
        <v>1367.6</v>
      </c>
    </row>
    <row r="243" spans="1:7" x14ac:dyDescent="0.25">
      <c r="A243" s="67">
        <v>2005</v>
      </c>
      <c r="B243" s="67" t="s">
        <v>39</v>
      </c>
      <c r="C243" s="67" t="s">
        <v>23</v>
      </c>
      <c r="D243" s="67" t="s">
        <v>35</v>
      </c>
      <c r="E243" s="67" t="s">
        <v>38</v>
      </c>
      <c r="F243" s="67">
        <v>630</v>
      </c>
      <c r="G243" s="68">
        <v>2047.5</v>
      </c>
    </row>
    <row r="244" spans="1:7" x14ac:dyDescent="0.25">
      <c r="A244" s="67">
        <v>2005</v>
      </c>
      <c r="B244" s="67" t="s">
        <v>33</v>
      </c>
      <c r="C244" s="67" t="s">
        <v>30</v>
      </c>
      <c r="D244" s="67" t="s">
        <v>24</v>
      </c>
      <c r="E244" s="67" t="s">
        <v>25</v>
      </c>
      <c r="F244" s="67">
        <v>765</v>
      </c>
      <c r="G244" s="68">
        <v>2034.9</v>
      </c>
    </row>
    <row r="245" spans="1:7" x14ac:dyDescent="0.25">
      <c r="A245" s="67">
        <v>2006</v>
      </c>
      <c r="B245" s="67" t="s">
        <v>44</v>
      </c>
      <c r="C245" s="67" t="s">
        <v>23</v>
      </c>
      <c r="D245" s="67" t="s">
        <v>42</v>
      </c>
      <c r="E245" s="67" t="s">
        <v>53</v>
      </c>
      <c r="F245" s="67">
        <v>919</v>
      </c>
      <c r="G245" s="68">
        <v>2931.61</v>
      </c>
    </row>
    <row r="246" spans="1:7" x14ac:dyDescent="0.25">
      <c r="A246" s="67">
        <v>2007</v>
      </c>
      <c r="B246" s="67" t="s">
        <v>52</v>
      </c>
      <c r="C246" s="67" t="s">
        <v>32</v>
      </c>
      <c r="D246" s="67" t="s">
        <v>35</v>
      </c>
      <c r="E246" s="67" t="s">
        <v>40</v>
      </c>
      <c r="F246" s="67">
        <v>803</v>
      </c>
      <c r="G246" s="68">
        <v>3027.31</v>
      </c>
    </row>
    <row r="247" spans="1:7" x14ac:dyDescent="0.25">
      <c r="A247" s="67">
        <v>2005</v>
      </c>
      <c r="B247" s="67" t="s">
        <v>51</v>
      </c>
      <c r="C247" s="67" t="s">
        <v>23</v>
      </c>
      <c r="D247" s="67" t="s">
        <v>24</v>
      </c>
      <c r="E247" s="67" t="s">
        <v>31</v>
      </c>
      <c r="F247" s="67">
        <v>668</v>
      </c>
      <c r="G247" s="68">
        <v>2324.64</v>
      </c>
    </row>
    <row r="248" spans="1:7" x14ac:dyDescent="0.25">
      <c r="A248" s="67">
        <v>2006</v>
      </c>
      <c r="B248" s="67" t="s">
        <v>50</v>
      </c>
      <c r="C248" s="67" t="s">
        <v>34</v>
      </c>
      <c r="D248" s="67" t="s">
        <v>24</v>
      </c>
      <c r="E248" s="67" t="s">
        <v>54</v>
      </c>
      <c r="F248" s="67">
        <v>559</v>
      </c>
      <c r="G248" s="68">
        <v>1492.53</v>
      </c>
    </row>
    <row r="249" spans="1:7" x14ac:dyDescent="0.25">
      <c r="A249" s="67">
        <v>2007</v>
      </c>
      <c r="B249" s="67" t="s">
        <v>50</v>
      </c>
      <c r="C249" s="67" t="s">
        <v>32</v>
      </c>
      <c r="D249" s="67" t="s">
        <v>42</v>
      </c>
      <c r="E249" s="67" t="s">
        <v>45</v>
      </c>
      <c r="F249" s="67">
        <v>974</v>
      </c>
      <c r="G249" s="68">
        <v>3652.5</v>
      </c>
    </row>
    <row r="250" spans="1:7" x14ac:dyDescent="0.25">
      <c r="A250" s="67">
        <v>2005</v>
      </c>
      <c r="B250" s="67" t="s">
        <v>52</v>
      </c>
      <c r="C250" s="67" t="s">
        <v>34</v>
      </c>
      <c r="D250" s="67" t="s">
        <v>42</v>
      </c>
      <c r="E250" s="67" t="s">
        <v>43</v>
      </c>
      <c r="F250" s="67">
        <v>665</v>
      </c>
      <c r="G250" s="68">
        <v>1416.45</v>
      </c>
    </row>
    <row r="251" spans="1:7" x14ac:dyDescent="0.25">
      <c r="A251" s="67">
        <v>2005</v>
      </c>
      <c r="B251" s="67" t="s">
        <v>51</v>
      </c>
      <c r="C251" s="67" t="s">
        <v>34</v>
      </c>
      <c r="D251" s="67" t="s">
        <v>27</v>
      </c>
      <c r="E251" s="67" t="s">
        <v>55</v>
      </c>
      <c r="F251" s="67">
        <v>521</v>
      </c>
      <c r="G251" s="68">
        <v>1833.92</v>
      </c>
    </row>
    <row r="252" spans="1:7" x14ac:dyDescent="0.25">
      <c r="A252" s="67">
        <v>2006</v>
      </c>
      <c r="B252" s="67" t="s">
        <v>33</v>
      </c>
      <c r="C252" s="67" t="s">
        <v>32</v>
      </c>
      <c r="D252" s="67" t="s">
        <v>24</v>
      </c>
      <c r="E252" s="67" t="s">
        <v>54</v>
      </c>
      <c r="F252" s="67">
        <v>862</v>
      </c>
      <c r="G252" s="68">
        <v>2120.52</v>
      </c>
    </row>
    <row r="253" spans="1:7" x14ac:dyDescent="0.25">
      <c r="A253" s="67">
        <v>2006</v>
      </c>
      <c r="B253" s="67" t="s">
        <v>44</v>
      </c>
      <c r="C253" s="67" t="s">
        <v>23</v>
      </c>
      <c r="D253" s="67" t="s">
        <v>24</v>
      </c>
      <c r="E253" s="67" t="s">
        <v>31</v>
      </c>
      <c r="F253" s="67">
        <v>697</v>
      </c>
      <c r="G253" s="68">
        <v>1986.45</v>
      </c>
    </row>
    <row r="254" spans="1:7" x14ac:dyDescent="0.25">
      <c r="A254" s="67">
        <v>2005</v>
      </c>
      <c r="B254" s="67" t="s">
        <v>37</v>
      </c>
      <c r="C254" s="67" t="s">
        <v>34</v>
      </c>
      <c r="D254" s="67" t="s">
        <v>42</v>
      </c>
      <c r="E254" s="67" t="s">
        <v>43</v>
      </c>
      <c r="F254" s="67">
        <v>614</v>
      </c>
      <c r="G254" s="68">
        <v>2443.7199999999998</v>
      </c>
    </row>
    <row r="255" spans="1:7" x14ac:dyDescent="0.25">
      <c r="A255" s="67">
        <v>2006</v>
      </c>
      <c r="B255" s="67" t="s">
        <v>48</v>
      </c>
      <c r="C255" s="67" t="s">
        <v>30</v>
      </c>
      <c r="D255" s="67" t="s">
        <v>35</v>
      </c>
      <c r="E255" s="67" t="s">
        <v>40</v>
      </c>
      <c r="F255" s="67">
        <v>792</v>
      </c>
      <c r="G255" s="68">
        <v>3001.68</v>
      </c>
    </row>
    <row r="256" spans="1:7" x14ac:dyDescent="0.25">
      <c r="A256" s="67">
        <v>2006</v>
      </c>
      <c r="B256" s="67" t="s">
        <v>52</v>
      </c>
      <c r="C256" s="67" t="s">
        <v>30</v>
      </c>
      <c r="D256" s="67" t="s">
        <v>27</v>
      </c>
      <c r="E256" s="67" t="s">
        <v>49</v>
      </c>
      <c r="F256" s="67">
        <v>713</v>
      </c>
      <c r="G256" s="68">
        <v>2630.97</v>
      </c>
    </row>
    <row r="257" spans="1:7" x14ac:dyDescent="0.25">
      <c r="A257" s="67">
        <v>2007</v>
      </c>
      <c r="B257" s="67" t="s">
        <v>39</v>
      </c>
      <c r="C257" s="67" t="s">
        <v>34</v>
      </c>
      <c r="D257" s="67" t="s">
        <v>27</v>
      </c>
      <c r="E257" s="67" t="s">
        <v>28</v>
      </c>
      <c r="F257" s="67">
        <v>625</v>
      </c>
      <c r="G257" s="68">
        <v>2050</v>
      </c>
    </row>
    <row r="258" spans="1:7" x14ac:dyDescent="0.25">
      <c r="A258" s="67">
        <v>2006</v>
      </c>
      <c r="B258" s="67" t="s">
        <v>50</v>
      </c>
      <c r="C258" s="67" t="s">
        <v>34</v>
      </c>
      <c r="D258" s="67" t="s">
        <v>35</v>
      </c>
      <c r="E258" s="67" t="s">
        <v>36</v>
      </c>
      <c r="F258" s="67">
        <v>888</v>
      </c>
      <c r="G258" s="68">
        <v>1838.16</v>
      </c>
    </row>
    <row r="259" spans="1:7" x14ac:dyDescent="0.25">
      <c r="A259" s="67">
        <v>2006</v>
      </c>
      <c r="B259" s="67" t="s">
        <v>29</v>
      </c>
      <c r="C259" s="67" t="s">
        <v>32</v>
      </c>
      <c r="D259" s="67" t="s">
        <v>35</v>
      </c>
      <c r="E259" s="67" t="s">
        <v>46</v>
      </c>
      <c r="F259" s="67">
        <v>552</v>
      </c>
      <c r="G259" s="68">
        <v>1672.56</v>
      </c>
    </row>
    <row r="260" spans="1:7" x14ac:dyDescent="0.25">
      <c r="A260" s="67">
        <v>2006</v>
      </c>
      <c r="B260" s="67" t="s">
        <v>29</v>
      </c>
      <c r="C260" s="67" t="s">
        <v>34</v>
      </c>
      <c r="D260" s="67" t="s">
        <v>35</v>
      </c>
      <c r="E260" s="67" t="s">
        <v>36</v>
      </c>
      <c r="F260" s="67">
        <v>802</v>
      </c>
      <c r="G260" s="68">
        <v>2365.9</v>
      </c>
    </row>
    <row r="261" spans="1:7" x14ac:dyDescent="0.25">
      <c r="A261" s="67">
        <v>2005</v>
      </c>
      <c r="B261" s="67" t="s">
        <v>33</v>
      </c>
      <c r="C261" s="67" t="s">
        <v>23</v>
      </c>
      <c r="D261" s="67" t="s">
        <v>35</v>
      </c>
      <c r="E261" s="67" t="s">
        <v>36</v>
      </c>
      <c r="F261" s="67">
        <v>686</v>
      </c>
      <c r="G261" s="68">
        <v>1372</v>
      </c>
    </row>
    <row r="262" spans="1:7" x14ac:dyDescent="0.25">
      <c r="A262" s="67">
        <v>2005</v>
      </c>
      <c r="B262" s="67" t="s">
        <v>37</v>
      </c>
      <c r="C262" s="67" t="s">
        <v>32</v>
      </c>
      <c r="D262" s="67" t="s">
        <v>35</v>
      </c>
      <c r="E262" s="67" t="s">
        <v>40</v>
      </c>
      <c r="F262" s="67">
        <v>647</v>
      </c>
      <c r="G262" s="68">
        <v>1792.19</v>
      </c>
    </row>
    <row r="263" spans="1:7" x14ac:dyDescent="0.25">
      <c r="A263" s="67">
        <v>2006</v>
      </c>
      <c r="B263" s="67" t="s">
        <v>29</v>
      </c>
      <c r="C263" s="67" t="s">
        <v>34</v>
      </c>
      <c r="D263" s="67" t="s">
        <v>24</v>
      </c>
      <c r="E263" s="67" t="s">
        <v>54</v>
      </c>
      <c r="F263" s="67">
        <v>894</v>
      </c>
      <c r="G263" s="68">
        <v>1904.22</v>
      </c>
    </row>
    <row r="264" spans="1:7" x14ac:dyDescent="0.25">
      <c r="A264" s="67">
        <v>2005</v>
      </c>
      <c r="B264" s="67" t="s">
        <v>26</v>
      </c>
      <c r="C264" s="67" t="s">
        <v>34</v>
      </c>
      <c r="D264" s="67" t="s">
        <v>24</v>
      </c>
      <c r="E264" s="67" t="s">
        <v>47</v>
      </c>
      <c r="F264" s="67">
        <v>637</v>
      </c>
      <c r="G264" s="68">
        <v>1420.51</v>
      </c>
    </row>
    <row r="265" spans="1:7" x14ac:dyDescent="0.25">
      <c r="A265" s="67">
        <v>2007</v>
      </c>
      <c r="B265" s="67" t="s">
        <v>41</v>
      </c>
      <c r="C265" s="67" t="s">
        <v>23</v>
      </c>
      <c r="D265" s="67" t="s">
        <v>35</v>
      </c>
      <c r="E265" s="67" t="s">
        <v>46</v>
      </c>
      <c r="F265" s="67">
        <v>943</v>
      </c>
      <c r="G265" s="68">
        <v>2348.0700000000002</v>
      </c>
    </row>
    <row r="266" spans="1:7" x14ac:dyDescent="0.25">
      <c r="A266" s="67">
        <v>2007</v>
      </c>
      <c r="B266" s="67" t="s">
        <v>52</v>
      </c>
      <c r="C266" s="67" t="s">
        <v>30</v>
      </c>
      <c r="D266" s="67" t="s">
        <v>27</v>
      </c>
      <c r="E266" s="67" t="s">
        <v>49</v>
      </c>
      <c r="F266" s="67">
        <v>704</v>
      </c>
      <c r="G266" s="68">
        <v>2323.1999999999998</v>
      </c>
    </row>
    <row r="267" spans="1:7" x14ac:dyDescent="0.25">
      <c r="A267" s="67">
        <v>2005</v>
      </c>
      <c r="B267" s="67" t="s">
        <v>22</v>
      </c>
      <c r="C267" s="67" t="s">
        <v>30</v>
      </c>
      <c r="D267" s="67" t="s">
        <v>24</v>
      </c>
      <c r="E267" s="67" t="s">
        <v>25</v>
      </c>
      <c r="F267" s="67">
        <v>943</v>
      </c>
      <c r="G267" s="68">
        <v>2961.02</v>
      </c>
    </row>
    <row r="268" spans="1:7" x14ac:dyDescent="0.25">
      <c r="A268" s="67">
        <v>2005</v>
      </c>
      <c r="B268" s="67" t="s">
        <v>52</v>
      </c>
      <c r="C268" s="67" t="s">
        <v>32</v>
      </c>
      <c r="D268" s="67" t="s">
        <v>42</v>
      </c>
      <c r="E268" s="67" t="s">
        <v>45</v>
      </c>
      <c r="F268" s="67">
        <v>900</v>
      </c>
      <c r="G268" s="68">
        <v>2043</v>
      </c>
    </row>
    <row r="269" spans="1:7" x14ac:dyDescent="0.25">
      <c r="A269" s="67">
        <v>2006</v>
      </c>
      <c r="B269" s="67" t="s">
        <v>51</v>
      </c>
      <c r="C269" s="67" t="s">
        <v>23</v>
      </c>
      <c r="D269" s="67" t="s">
        <v>27</v>
      </c>
      <c r="E269" s="67" t="s">
        <v>55</v>
      </c>
      <c r="F269" s="67">
        <v>693</v>
      </c>
      <c r="G269" s="68">
        <v>2716.56</v>
      </c>
    </row>
    <row r="270" spans="1:7" x14ac:dyDescent="0.25">
      <c r="A270" s="67">
        <v>2006</v>
      </c>
      <c r="B270" s="67" t="s">
        <v>48</v>
      </c>
      <c r="C270" s="67" t="s">
        <v>23</v>
      </c>
      <c r="D270" s="67" t="s">
        <v>42</v>
      </c>
      <c r="E270" s="67" t="s">
        <v>53</v>
      </c>
      <c r="F270" s="67">
        <v>926</v>
      </c>
      <c r="G270" s="68">
        <v>2555.7600000000002</v>
      </c>
    </row>
    <row r="271" spans="1:7" x14ac:dyDescent="0.25">
      <c r="A271" s="67">
        <v>2005</v>
      </c>
      <c r="B271" s="67" t="s">
        <v>26</v>
      </c>
      <c r="C271" s="67" t="s">
        <v>34</v>
      </c>
      <c r="D271" s="67" t="s">
        <v>27</v>
      </c>
      <c r="E271" s="67" t="s">
        <v>28</v>
      </c>
      <c r="F271" s="67">
        <v>993</v>
      </c>
      <c r="G271" s="68">
        <v>2651.31</v>
      </c>
    </row>
    <row r="272" spans="1:7" x14ac:dyDescent="0.25">
      <c r="A272" s="67">
        <v>2006</v>
      </c>
      <c r="B272" s="67" t="s">
        <v>22</v>
      </c>
      <c r="C272" s="67" t="s">
        <v>23</v>
      </c>
      <c r="D272" s="67" t="s">
        <v>27</v>
      </c>
      <c r="E272" s="67" t="s">
        <v>55</v>
      </c>
      <c r="F272" s="67">
        <v>962</v>
      </c>
      <c r="G272" s="68">
        <v>3116.88</v>
      </c>
    </row>
    <row r="273" spans="1:7" x14ac:dyDescent="0.25">
      <c r="A273" s="67">
        <v>2006</v>
      </c>
      <c r="B273" s="67" t="s">
        <v>37</v>
      </c>
      <c r="C273" s="67" t="s">
        <v>32</v>
      </c>
      <c r="D273" s="67" t="s">
        <v>27</v>
      </c>
      <c r="E273" s="67" t="s">
        <v>28</v>
      </c>
      <c r="F273" s="67">
        <v>843</v>
      </c>
      <c r="G273" s="68">
        <v>2731.32</v>
      </c>
    </row>
    <row r="274" spans="1:7" x14ac:dyDescent="0.25">
      <c r="A274" s="67">
        <v>2005</v>
      </c>
      <c r="B274" s="67" t="s">
        <v>26</v>
      </c>
      <c r="C274" s="67" t="s">
        <v>32</v>
      </c>
      <c r="D274" s="67" t="s">
        <v>27</v>
      </c>
      <c r="E274" s="67" t="s">
        <v>49</v>
      </c>
      <c r="F274" s="67">
        <v>819</v>
      </c>
      <c r="G274" s="68">
        <v>1670.76</v>
      </c>
    </row>
    <row r="275" spans="1:7" x14ac:dyDescent="0.25">
      <c r="A275" s="67">
        <v>2007</v>
      </c>
      <c r="B275" s="67" t="s">
        <v>48</v>
      </c>
      <c r="C275" s="67" t="s">
        <v>34</v>
      </c>
      <c r="D275" s="67" t="s">
        <v>24</v>
      </c>
      <c r="E275" s="67" t="s">
        <v>31</v>
      </c>
      <c r="F275" s="67">
        <v>616</v>
      </c>
      <c r="G275" s="68">
        <v>1416.8</v>
      </c>
    </row>
    <row r="276" spans="1:7" x14ac:dyDescent="0.25">
      <c r="A276" s="67">
        <v>2005</v>
      </c>
      <c r="B276" s="67" t="s">
        <v>44</v>
      </c>
      <c r="C276" s="67" t="s">
        <v>32</v>
      </c>
      <c r="D276" s="67" t="s">
        <v>42</v>
      </c>
      <c r="E276" s="67" t="s">
        <v>45</v>
      </c>
      <c r="F276" s="67">
        <v>904</v>
      </c>
      <c r="G276" s="68">
        <v>3064.56</v>
      </c>
    </row>
    <row r="277" spans="1:7" x14ac:dyDescent="0.25">
      <c r="A277" s="67">
        <v>2006</v>
      </c>
      <c r="B277" s="67" t="s">
        <v>37</v>
      </c>
      <c r="C277" s="67" t="s">
        <v>32</v>
      </c>
      <c r="D277" s="67" t="s">
        <v>24</v>
      </c>
      <c r="E277" s="67" t="s">
        <v>25</v>
      </c>
      <c r="F277" s="67">
        <v>815</v>
      </c>
      <c r="G277" s="68">
        <v>2665.05</v>
      </c>
    </row>
    <row r="278" spans="1:7" x14ac:dyDescent="0.25">
      <c r="A278" s="67">
        <v>2005</v>
      </c>
      <c r="B278" s="67" t="s">
        <v>50</v>
      </c>
      <c r="C278" s="67" t="s">
        <v>34</v>
      </c>
      <c r="D278" s="67" t="s">
        <v>27</v>
      </c>
      <c r="E278" s="67" t="s">
        <v>49</v>
      </c>
      <c r="F278" s="67">
        <v>663</v>
      </c>
      <c r="G278" s="68">
        <v>1922.7</v>
      </c>
    </row>
    <row r="279" spans="1:7" x14ac:dyDescent="0.25">
      <c r="A279" s="67">
        <v>2007</v>
      </c>
      <c r="B279" s="67" t="s">
        <v>22</v>
      </c>
      <c r="C279" s="67" t="s">
        <v>34</v>
      </c>
      <c r="D279" s="67" t="s">
        <v>42</v>
      </c>
      <c r="E279" s="67" t="s">
        <v>45</v>
      </c>
      <c r="F279" s="67">
        <v>727</v>
      </c>
      <c r="G279" s="68">
        <v>2050.14</v>
      </c>
    </row>
    <row r="280" spans="1:7" x14ac:dyDescent="0.25">
      <c r="A280" s="67">
        <v>2006</v>
      </c>
      <c r="B280" s="67" t="s">
        <v>26</v>
      </c>
      <c r="C280" s="67" t="s">
        <v>34</v>
      </c>
      <c r="D280" s="67" t="s">
        <v>27</v>
      </c>
      <c r="E280" s="67" t="s">
        <v>49</v>
      </c>
      <c r="F280" s="67">
        <v>592</v>
      </c>
      <c r="G280" s="68">
        <v>1444.48</v>
      </c>
    </row>
    <row r="281" spans="1:7" x14ac:dyDescent="0.25">
      <c r="A281" s="67">
        <v>2006</v>
      </c>
      <c r="B281" s="67" t="s">
        <v>33</v>
      </c>
      <c r="C281" s="67" t="s">
        <v>23</v>
      </c>
      <c r="D281" s="67" t="s">
        <v>42</v>
      </c>
      <c r="E281" s="67" t="s">
        <v>53</v>
      </c>
      <c r="F281" s="67">
        <v>703</v>
      </c>
      <c r="G281" s="68">
        <v>1989.49</v>
      </c>
    </row>
    <row r="282" spans="1:7" x14ac:dyDescent="0.25">
      <c r="A282" s="67">
        <v>2007</v>
      </c>
      <c r="B282" s="67" t="s">
        <v>29</v>
      </c>
      <c r="C282" s="67" t="s">
        <v>23</v>
      </c>
      <c r="D282" s="67" t="s">
        <v>35</v>
      </c>
      <c r="E282" s="67" t="s">
        <v>36</v>
      </c>
      <c r="F282" s="67">
        <v>546</v>
      </c>
      <c r="G282" s="68">
        <v>1457.82</v>
      </c>
    </row>
    <row r="283" spans="1:7" x14ac:dyDescent="0.25">
      <c r="A283" s="67">
        <v>2005</v>
      </c>
      <c r="B283" s="67" t="s">
        <v>52</v>
      </c>
      <c r="C283" s="67" t="s">
        <v>34</v>
      </c>
      <c r="D283" s="67" t="s">
        <v>42</v>
      </c>
      <c r="E283" s="67" t="s">
        <v>43</v>
      </c>
      <c r="F283" s="67">
        <v>992</v>
      </c>
      <c r="G283" s="68">
        <v>3888.64</v>
      </c>
    </row>
    <row r="284" spans="1:7" x14ac:dyDescent="0.25">
      <c r="A284" s="67">
        <v>2007</v>
      </c>
      <c r="B284" s="67" t="s">
        <v>22</v>
      </c>
      <c r="C284" s="67" t="s">
        <v>23</v>
      </c>
      <c r="D284" s="67" t="s">
        <v>35</v>
      </c>
      <c r="E284" s="67" t="s">
        <v>36</v>
      </c>
      <c r="F284" s="67">
        <v>625</v>
      </c>
      <c r="G284" s="68">
        <v>2018.75</v>
      </c>
    </row>
    <row r="285" spans="1:7" x14ac:dyDescent="0.25">
      <c r="A285" s="67">
        <v>2006</v>
      </c>
      <c r="B285" s="67" t="s">
        <v>22</v>
      </c>
      <c r="C285" s="67" t="s">
        <v>32</v>
      </c>
      <c r="D285" s="67" t="s">
        <v>42</v>
      </c>
      <c r="E285" s="67" t="s">
        <v>45</v>
      </c>
      <c r="F285" s="67">
        <v>911</v>
      </c>
      <c r="G285" s="68">
        <v>2796.77</v>
      </c>
    </row>
    <row r="286" spans="1:7" x14ac:dyDescent="0.25">
      <c r="A286" s="67">
        <v>2007</v>
      </c>
      <c r="B286" s="67" t="s">
        <v>44</v>
      </c>
      <c r="C286" s="67" t="s">
        <v>30</v>
      </c>
      <c r="D286" s="67" t="s">
        <v>42</v>
      </c>
      <c r="E286" s="67" t="s">
        <v>43</v>
      </c>
      <c r="F286" s="67">
        <v>744</v>
      </c>
      <c r="G286" s="68">
        <v>2715.6</v>
      </c>
    </row>
    <row r="287" spans="1:7" x14ac:dyDescent="0.25">
      <c r="A287" s="67">
        <v>2006</v>
      </c>
      <c r="B287" s="67" t="s">
        <v>39</v>
      </c>
      <c r="C287" s="67" t="s">
        <v>30</v>
      </c>
      <c r="D287" s="67" t="s">
        <v>35</v>
      </c>
      <c r="E287" s="67" t="s">
        <v>36</v>
      </c>
      <c r="F287" s="67">
        <v>680</v>
      </c>
      <c r="G287" s="68">
        <v>2040</v>
      </c>
    </row>
    <row r="288" spans="1:7" x14ac:dyDescent="0.25">
      <c r="A288" s="67">
        <v>2006</v>
      </c>
      <c r="B288" s="67" t="s">
        <v>39</v>
      </c>
      <c r="C288" s="67" t="s">
        <v>30</v>
      </c>
      <c r="D288" s="67" t="s">
        <v>27</v>
      </c>
      <c r="E288" s="67" t="s">
        <v>49</v>
      </c>
      <c r="F288" s="67">
        <v>618</v>
      </c>
      <c r="G288" s="68">
        <v>1724.22</v>
      </c>
    </row>
    <row r="289" spans="1:7" x14ac:dyDescent="0.25">
      <c r="A289" s="67">
        <v>2007</v>
      </c>
      <c r="B289" s="67" t="s">
        <v>44</v>
      </c>
      <c r="C289" s="67" t="s">
        <v>23</v>
      </c>
      <c r="D289" s="67" t="s">
        <v>42</v>
      </c>
      <c r="E289" s="67" t="s">
        <v>43</v>
      </c>
      <c r="F289" s="67">
        <v>979</v>
      </c>
      <c r="G289" s="68">
        <v>1997.16</v>
      </c>
    </row>
    <row r="290" spans="1:7" x14ac:dyDescent="0.25">
      <c r="A290" s="67">
        <v>2006</v>
      </c>
      <c r="B290" s="67" t="s">
        <v>39</v>
      </c>
      <c r="C290" s="67" t="s">
        <v>30</v>
      </c>
      <c r="D290" s="67" t="s">
        <v>27</v>
      </c>
      <c r="E290" s="67" t="s">
        <v>55</v>
      </c>
      <c r="F290" s="67">
        <v>635</v>
      </c>
      <c r="G290" s="68">
        <v>1708.15</v>
      </c>
    </row>
    <row r="291" spans="1:7" x14ac:dyDescent="0.25">
      <c r="A291" s="67">
        <v>2007</v>
      </c>
      <c r="B291" s="67" t="s">
        <v>37</v>
      </c>
      <c r="C291" s="67" t="s">
        <v>23</v>
      </c>
      <c r="D291" s="67" t="s">
        <v>24</v>
      </c>
      <c r="E291" s="67" t="s">
        <v>25</v>
      </c>
      <c r="F291" s="67">
        <v>531</v>
      </c>
      <c r="G291" s="68">
        <v>1062</v>
      </c>
    </row>
    <row r="292" spans="1:7" x14ac:dyDescent="0.25">
      <c r="A292" s="67">
        <v>2006</v>
      </c>
      <c r="B292" s="67" t="s">
        <v>44</v>
      </c>
      <c r="C292" s="67" t="s">
        <v>30</v>
      </c>
      <c r="D292" s="67" t="s">
        <v>42</v>
      </c>
      <c r="E292" s="67" t="s">
        <v>53</v>
      </c>
      <c r="F292" s="67">
        <v>861</v>
      </c>
      <c r="G292" s="68">
        <v>1833.93</v>
      </c>
    </row>
    <row r="293" spans="1:7" x14ac:dyDescent="0.25">
      <c r="A293" s="67">
        <v>2005</v>
      </c>
      <c r="B293" s="67" t="s">
        <v>44</v>
      </c>
      <c r="C293" s="67" t="s">
        <v>23</v>
      </c>
      <c r="D293" s="67" t="s">
        <v>35</v>
      </c>
      <c r="E293" s="67" t="s">
        <v>36</v>
      </c>
      <c r="F293" s="67">
        <v>872</v>
      </c>
      <c r="G293" s="68">
        <v>2214.88</v>
      </c>
    </row>
    <row r="294" spans="1:7" x14ac:dyDescent="0.25">
      <c r="A294" s="67">
        <v>2007</v>
      </c>
      <c r="B294" s="67" t="s">
        <v>51</v>
      </c>
      <c r="C294" s="67" t="s">
        <v>32</v>
      </c>
      <c r="D294" s="67" t="s">
        <v>24</v>
      </c>
      <c r="E294" s="67" t="s">
        <v>47</v>
      </c>
      <c r="F294" s="67">
        <v>676</v>
      </c>
      <c r="G294" s="68">
        <v>1419.6</v>
      </c>
    </row>
    <row r="295" spans="1:7" x14ac:dyDescent="0.25">
      <c r="A295" s="67">
        <v>2006</v>
      </c>
      <c r="B295" s="67" t="s">
        <v>37</v>
      </c>
      <c r="C295" s="67" t="s">
        <v>34</v>
      </c>
      <c r="D295" s="67" t="s">
        <v>27</v>
      </c>
      <c r="E295" s="67" t="s">
        <v>49</v>
      </c>
      <c r="F295" s="67">
        <v>725</v>
      </c>
      <c r="G295" s="68">
        <v>2211.25</v>
      </c>
    </row>
    <row r="296" spans="1:7" x14ac:dyDescent="0.25">
      <c r="A296" s="67">
        <v>2007</v>
      </c>
      <c r="B296" s="67" t="s">
        <v>48</v>
      </c>
      <c r="C296" s="67" t="s">
        <v>32</v>
      </c>
      <c r="D296" s="67" t="s">
        <v>42</v>
      </c>
      <c r="E296" s="67" t="s">
        <v>45</v>
      </c>
      <c r="F296" s="67">
        <v>890</v>
      </c>
      <c r="G296" s="68">
        <v>2225</v>
      </c>
    </row>
    <row r="297" spans="1:7" x14ac:dyDescent="0.25">
      <c r="A297" s="67">
        <v>2006</v>
      </c>
      <c r="B297" s="67" t="s">
        <v>51</v>
      </c>
      <c r="C297" s="67" t="s">
        <v>23</v>
      </c>
      <c r="D297" s="67" t="s">
        <v>35</v>
      </c>
      <c r="E297" s="67" t="s">
        <v>38</v>
      </c>
      <c r="F297" s="67">
        <v>792</v>
      </c>
      <c r="G297" s="68">
        <v>2185.92</v>
      </c>
    </row>
    <row r="298" spans="1:7" x14ac:dyDescent="0.25">
      <c r="A298" s="67">
        <v>2006</v>
      </c>
      <c r="B298" s="67" t="s">
        <v>50</v>
      </c>
      <c r="C298" s="67" t="s">
        <v>34</v>
      </c>
      <c r="D298" s="67" t="s">
        <v>35</v>
      </c>
      <c r="E298" s="67" t="s">
        <v>36</v>
      </c>
      <c r="F298" s="67">
        <v>884</v>
      </c>
      <c r="G298" s="68">
        <v>3253.12</v>
      </c>
    </row>
    <row r="299" spans="1:7" x14ac:dyDescent="0.25">
      <c r="A299" s="67">
        <v>2006</v>
      </c>
      <c r="B299" s="67" t="s">
        <v>26</v>
      </c>
      <c r="C299" s="67" t="s">
        <v>30</v>
      </c>
      <c r="D299" s="67" t="s">
        <v>35</v>
      </c>
      <c r="E299" s="67" t="s">
        <v>36</v>
      </c>
      <c r="F299" s="67">
        <v>640</v>
      </c>
      <c r="G299" s="68">
        <v>2124.8000000000002</v>
      </c>
    </row>
    <row r="300" spans="1:7" x14ac:dyDescent="0.25">
      <c r="A300" s="67">
        <v>2007</v>
      </c>
      <c r="B300" s="67" t="s">
        <v>48</v>
      </c>
      <c r="C300" s="67" t="s">
        <v>32</v>
      </c>
      <c r="D300" s="67" t="s">
        <v>27</v>
      </c>
      <c r="E300" s="67" t="s">
        <v>49</v>
      </c>
      <c r="F300" s="67">
        <v>903</v>
      </c>
      <c r="G300" s="68">
        <v>1914.36</v>
      </c>
    </row>
    <row r="301" spans="1:7" x14ac:dyDescent="0.25">
      <c r="A301" s="67">
        <v>2005</v>
      </c>
      <c r="B301" s="67" t="s">
        <v>52</v>
      </c>
      <c r="C301" s="67" t="s">
        <v>23</v>
      </c>
      <c r="D301" s="67" t="s">
        <v>24</v>
      </c>
      <c r="E301" s="67" t="s">
        <v>25</v>
      </c>
      <c r="F301" s="67">
        <v>668</v>
      </c>
      <c r="G301" s="68">
        <v>2177.6799999999998</v>
      </c>
    </row>
    <row r="302" spans="1:7" x14ac:dyDescent="0.25">
      <c r="A302" s="67">
        <v>2007</v>
      </c>
      <c r="B302" s="67" t="s">
        <v>33</v>
      </c>
      <c r="C302" s="67" t="s">
        <v>34</v>
      </c>
      <c r="D302" s="67" t="s">
        <v>35</v>
      </c>
      <c r="E302" s="67" t="s">
        <v>46</v>
      </c>
      <c r="F302" s="67">
        <v>918</v>
      </c>
      <c r="G302" s="68">
        <v>1982.88</v>
      </c>
    </row>
    <row r="303" spans="1:7" x14ac:dyDescent="0.25">
      <c r="A303" s="67">
        <v>2006</v>
      </c>
      <c r="B303" s="67" t="s">
        <v>26</v>
      </c>
      <c r="C303" s="67" t="s">
        <v>30</v>
      </c>
      <c r="D303" s="67" t="s">
        <v>24</v>
      </c>
      <c r="E303" s="67" t="s">
        <v>54</v>
      </c>
      <c r="F303" s="67">
        <v>896</v>
      </c>
      <c r="G303" s="68">
        <v>3557.12</v>
      </c>
    </row>
    <row r="304" spans="1:7" x14ac:dyDescent="0.25">
      <c r="A304" s="67">
        <v>2005</v>
      </c>
      <c r="B304" s="67" t="s">
        <v>29</v>
      </c>
      <c r="C304" s="67" t="s">
        <v>23</v>
      </c>
      <c r="D304" s="67" t="s">
        <v>35</v>
      </c>
      <c r="E304" s="67" t="s">
        <v>36</v>
      </c>
      <c r="F304" s="67">
        <v>703</v>
      </c>
      <c r="G304" s="68">
        <v>2312.87</v>
      </c>
    </row>
    <row r="305" spans="1:7" x14ac:dyDescent="0.25">
      <c r="A305" s="67">
        <v>2006</v>
      </c>
      <c r="B305" s="67" t="s">
        <v>37</v>
      </c>
      <c r="C305" s="67" t="s">
        <v>23</v>
      </c>
      <c r="D305" s="67" t="s">
        <v>24</v>
      </c>
      <c r="E305" s="67" t="s">
        <v>31</v>
      </c>
      <c r="F305" s="67">
        <v>742</v>
      </c>
      <c r="G305" s="68">
        <v>1617.56</v>
      </c>
    </row>
    <row r="306" spans="1:7" x14ac:dyDescent="0.25">
      <c r="A306" s="67">
        <v>2005</v>
      </c>
      <c r="B306" s="67" t="s">
        <v>39</v>
      </c>
      <c r="C306" s="67" t="s">
        <v>23</v>
      </c>
      <c r="D306" s="67" t="s">
        <v>35</v>
      </c>
      <c r="E306" s="67" t="s">
        <v>38</v>
      </c>
      <c r="F306" s="67">
        <v>788</v>
      </c>
      <c r="G306" s="68">
        <v>1843.92</v>
      </c>
    </row>
    <row r="307" spans="1:7" x14ac:dyDescent="0.25">
      <c r="A307" s="67">
        <v>2007</v>
      </c>
      <c r="B307" s="67" t="s">
        <v>51</v>
      </c>
      <c r="C307" s="67" t="s">
        <v>32</v>
      </c>
      <c r="D307" s="67" t="s">
        <v>42</v>
      </c>
      <c r="E307" s="67" t="s">
        <v>45</v>
      </c>
      <c r="F307" s="67">
        <v>570</v>
      </c>
      <c r="G307" s="68">
        <v>1145.7</v>
      </c>
    </row>
    <row r="308" spans="1:7" x14ac:dyDescent="0.25">
      <c r="A308" s="67">
        <v>2005</v>
      </c>
      <c r="B308" s="67" t="s">
        <v>37</v>
      </c>
      <c r="C308" s="67" t="s">
        <v>30</v>
      </c>
      <c r="D308" s="67" t="s">
        <v>42</v>
      </c>
      <c r="E308" s="67" t="s">
        <v>45</v>
      </c>
      <c r="F308" s="67">
        <v>848</v>
      </c>
      <c r="G308" s="68">
        <v>2713.6</v>
      </c>
    </row>
    <row r="309" spans="1:7" x14ac:dyDescent="0.25">
      <c r="A309" s="67">
        <v>2005</v>
      </c>
      <c r="B309" s="67" t="s">
        <v>29</v>
      </c>
      <c r="C309" s="67" t="s">
        <v>34</v>
      </c>
      <c r="D309" s="67" t="s">
        <v>35</v>
      </c>
      <c r="E309" s="67" t="s">
        <v>46</v>
      </c>
      <c r="F309" s="67">
        <v>604</v>
      </c>
      <c r="G309" s="68">
        <v>1528.12</v>
      </c>
    </row>
    <row r="310" spans="1:7" x14ac:dyDescent="0.25">
      <c r="A310" s="67">
        <v>2006</v>
      </c>
      <c r="B310" s="67" t="s">
        <v>26</v>
      </c>
      <c r="C310" s="67" t="s">
        <v>32</v>
      </c>
      <c r="D310" s="67" t="s">
        <v>35</v>
      </c>
      <c r="E310" s="67" t="s">
        <v>40</v>
      </c>
      <c r="F310" s="67">
        <v>767</v>
      </c>
      <c r="G310" s="68">
        <v>2876.25</v>
      </c>
    </row>
    <row r="311" spans="1:7" x14ac:dyDescent="0.25">
      <c r="A311" s="67">
        <v>2005</v>
      </c>
      <c r="B311" s="67" t="s">
        <v>33</v>
      </c>
      <c r="C311" s="67" t="s">
        <v>32</v>
      </c>
      <c r="D311" s="67" t="s">
        <v>27</v>
      </c>
      <c r="E311" s="67" t="s">
        <v>55</v>
      </c>
      <c r="F311" s="67">
        <v>675</v>
      </c>
      <c r="G311" s="68">
        <v>1856.25</v>
      </c>
    </row>
    <row r="312" spans="1:7" x14ac:dyDescent="0.25">
      <c r="A312" s="67">
        <v>2005</v>
      </c>
      <c r="B312" s="67" t="s">
        <v>41</v>
      </c>
      <c r="C312" s="67" t="s">
        <v>32</v>
      </c>
      <c r="D312" s="67" t="s">
        <v>24</v>
      </c>
      <c r="E312" s="67" t="s">
        <v>47</v>
      </c>
      <c r="F312" s="67">
        <v>781</v>
      </c>
      <c r="G312" s="68">
        <v>1796.3</v>
      </c>
    </row>
    <row r="313" spans="1:7" x14ac:dyDescent="0.25">
      <c r="A313" s="67">
        <v>2006</v>
      </c>
      <c r="B313" s="67" t="s">
        <v>33</v>
      </c>
      <c r="C313" s="67" t="s">
        <v>34</v>
      </c>
      <c r="D313" s="67" t="s">
        <v>42</v>
      </c>
      <c r="E313" s="67" t="s">
        <v>45</v>
      </c>
      <c r="F313" s="67">
        <v>535</v>
      </c>
      <c r="G313" s="68">
        <v>1551.5</v>
      </c>
    </row>
    <row r="314" spans="1:7" x14ac:dyDescent="0.25">
      <c r="A314" s="67">
        <v>2005</v>
      </c>
      <c r="B314" s="67" t="s">
        <v>52</v>
      </c>
      <c r="C314" s="67" t="s">
        <v>30</v>
      </c>
      <c r="D314" s="67" t="s">
        <v>24</v>
      </c>
      <c r="E314" s="67" t="s">
        <v>31</v>
      </c>
      <c r="F314" s="67">
        <v>620</v>
      </c>
      <c r="G314" s="68">
        <v>2399.4</v>
      </c>
    </row>
    <row r="315" spans="1:7" x14ac:dyDescent="0.25">
      <c r="A315" s="67">
        <v>2007</v>
      </c>
      <c r="B315" s="67" t="s">
        <v>22</v>
      </c>
      <c r="C315" s="67" t="s">
        <v>34</v>
      </c>
      <c r="D315" s="67" t="s">
        <v>42</v>
      </c>
      <c r="E315" s="67" t="s">
        <v>45</v>
      </c>
      <c r="F315" s="67">
        <v>749</v>
      </c>
      <c r="G315" s="68">
        <v>1505.49</v>
      </c>
    </row>
    <row r="316" spans="1:7" x14ac:dyDescent="0.25">
      <c r="A316" s="67">
        <v>2007</v>
      </c>
      <c r="B316" s="67" t="s">
        <v>39</v>
      </c>
      <c r="C316" s="67" t="s">
        <v>34</v>
      </c>
      <c r="D316" s="67" t="s">
        <v>24</v>
      </c>
      <c r="E316" s="67" t="s">
        <v>47</v>
      </c>
      <c r="F316" s="67">
        <v>972</v>
      </c>
      <c r="G316" s="68">
        <v>3129.84</v>
      </c>
    </row>
    <row r="317" spans="1:7" x14ac:dyDescent="0.25">
      <c r="A317" s="67">
        <v>2006</v>
      </c>
      <c r="B317" s="67" t="s">
        <v>51</v>
      </c>
      <c r="C317" s="67" t="s">
        <v>23</v>
      </c>
      <c r="D317" s="67" t="s">
        <v>27</v>
      </c>
      <c r="E317" s="67" t="s">
        <v>55</v>
      </c>
      <c r="F317" s="67">
        <v>932</v>
      </c>
      <c r="G317" s="68">
        <v>1985.16</v>
      </c>
    </row>
    <row r="318" spans="1:7" x14ac:dyDescent="0.25">
      <c r="A318" s="67">
        <v>2007</v>
      </c>
      <c r="B318" s="67" t="s">
        <v>26</v>
      </c>
      <c r="C318" s="67" t="s">
        <v>32</v>
      </c>
      <c r="D318" s="67" t="s">
        <v>24</v>
      </c>
      <c r="E318" s="67" t="s">
        <v>47</v>
      </c>
      <c r="F318" s="67">
        <v>761</v>
      </c>
      <c r="G318" s="68">
        <v>2716.77</v>
      </c>
    </row>
    <row r="319" spans="1:7" x14ac:dyDescent="0.25">
      <c r="A319" s="67">
        <v>2005</v>
      </c>
      <c r="B319" s="67" t="s">
        <v>50</v>
      </c>
      <c r="C319" s="67" t="s">
        <v>34</v>
      </c>
      <c r="D319" s="67" t="s">
        <v>42</v>
      </c>
      <c r="E319" s="67" t="s">
        <v>53</v>
      </c>
      <c r="F319" s="67">
        <v>922</v>
      </c>
      <c r="G319" s="68">
        <v>2387.98</v>
      </c>
    </row>
    <row r="320" spans="1:7" x14ac:dyDescent="0.25">
      <c r="A320" s="67">
        <v>2007</v>
      </c>
      <c r="B320" s="67" t="s">
        <v>50</v>
      </c>
      <c r="C320" s="67" t="s">
        <v>30</v>
      </c>
      <c r="D320" s="67" t="s">
        <v>35</v>
      </c>
      <c r="E320" s="67" t="s">
        <v>36</v>
      </c>
      <c r="F320" s="67">
        <v>636</v>
      </c>
      <c r="G320" s="68">
        <v>2397.7199999999998</v>
      </c>
    </row>
    <row r="321" spans="1:7" x14ac:dyDescent="0.25">
      <c r="A321" s="67">
        <v>2005</v>
      </c>
      <c r="B321" s="67" t="s">
        <v>33</v>
      </c>
      <c r="C321" s="67" t="s">
        <v>34</v>
      </c>
      <c r="D321" s="67" t="s">
        <v>42</v>
      </c>
      <c r="E321" s="67" t="s">
        <v>45</v>
      </c>
      <c r="F321" s="67">
        <v>674</v>
      </c>
      <c r="G321" s="68">
        <v>1846.76</v>
      </c>
    </row>
    <row r="322" spans="1:7" x14ac:dyDescent="0.25">
      <c r="A322" s="67">
        <v>2007</v>
      </c>
      <c r="B322" s="67" t="s">
        <v>39</v>
      </c>
      <c r="C322" s="67" t="s">
        <v>32</v>
      </c>
      <c r="D322" s="67" t="s">
        <v>24</v>
      </c>
      <c r="E322" s="67" t="s">
        <v>31</v>
      </c>
      <c r="F322" s="67">
        <v>516</v>
      </c>
      <c r="G322" s="68">
        <v>1166.1600000000001</v>
      </c>
    </row>
    <row r="323" spans="1:7" x14ac:dyDescent="0.25">
      <c r="A323" s="67">
        <v>2006</v>
      </c>
      <c r="B323" s="67" t="s">
        <v>48</v>
      </c>
      <c r="C323" s="67" t="s">
        <v>30</v>
      </c>
      <c r="D323" s="67" t="s">
        <v>42</v>
      </c>
      <c r="E323" s="67" t="s">
        <v>45</v>
      </c>
      <c r="F323" s="67">
        <v>771</v>
      </c>
      <c r="G323" s="68">
        <v>1827.27</v>
      </c>
    </row>
    <row r="324" spans="1:7" x14ac:dyDescent="0.25">
      <c r="A324" s="67">
        <v>2005</v>
      </c>
      <c r="B324" s="67" t="s">
        <v>50</v>
      </c>
      <c r="C324" s="67" t="s">
        <v>23</v>
      </c>
      <c r="D324" s="67" t="s">
        <v>42</v>
      </c>
      <c r="E324" s="67" t="s">
        <v>45</v>
      </c>
      <c r="F324" s="67">
        <v>806</v>
      </c>
      <c r="G324" s="68">
        <v>2643.68</v>
      </c>
    </row>
    <row r="325" spans="1:7" x14ac:dyDescent="0.25">
      <c r="A325" s="67">
        <v>2006</v>
      </c>
      <c r="B325" s="67" t="s">
        <v>26</v>
      </c>
      <c r="C325" s="67" t="s">
        <v>30</v>
      </c>
      <c r="D325" s="67" t="s">
        <v>35</v>
      </c>
      <c r="E325" s="67" t="s">
        <v>36</v>
      </c>
      <c r="F325" s="67">
        <v>716</v>
      </c>
      <c r="G325" s="68">
        <v>2405.7600000000002</v>
      </c>
    </row>
    <row r="326" spans="1:7" x14ac:dyDescent="0.25">
      <c r="A326" s="67">
        <v>2007</v>
      </c>
      <c r="B326" s="67" t="s">
        <v>50</v>
      </c>
      <c r="C326" s="67" t="s">
        <v>32</v>
      </c>
      <c r="D326" s="67" t="s">
        <v>35</v>
      </c>
      <c r="E326" s="67" t="s">
        <v>46</v>
      </c>
      <c r="F326" s="67">
        <v>810</v>
      </c>
      <c r="G326" s="68">
        <v>2786.4</v>
      </c>
    </row>
    <row r="327" spans="1:7" x14ac:dyDescent="0.25">
      <c r="A327" s="67">
        <v>2006</v>
      </c>
      <c r="B327" s="67" t="s">
        <v>51</v>
      </c>
      <c r="C327" s="67" t="s">
        <v>32</v>
      </c>
      <c r="D327" s="67" t="s">
        <v>42</v>
      </c>
      <c r="E327" s="67" t="s">
        <v>45</v>
      </c>
      <c r="F327" s="67">
        <v>512</v>
      </c>
      <c r="G327" s="68">
        <v>1536</v>
      </c>
    </row>
    <row r="328" spans="1:7" x14ac:dyDescent="0.25">
      <c r="A328" s="67">
        <v>2007</v>
      </c>
      <c r="B328" s="67" t="s">
        <v>37</v>
      </c>
      <c r="C328" s="67" t="s">
        <v>23</v>
      </c>
      <c r="D328" s="67" t="s">
        <v>27</v>
      </c>
      <c r="E328" s="67" t="s">
        <v>49</v>
      </c>
      <c r="F328" s="67">
        <v>726</v>
      </c>
      <c r="G328" s="68">
        <v>1749.66</v>
      </c>
    </row>
    <row r="329" spans="1:7" x14ac:dyDescent="0.25">
      <c r="A329" s="67">
        <v>2006</v>
      </c>
      <c r="B329" s="67" t="s">
        <v>39</v>
      </c>
      <c r="C329" s="67" t="s">
        <v>23</v>
      </c>
      <c r="D329" s="67" t="s">
        <v>42</v>
      </c>
      <c r="E329" s="67" t="s">
        <v>45</v>
      </c>
      <c r="F329" s="67">
        <v>730</v>
      </c>
      <c r="G329" s="68">
        <v>1898</v>
      </c>
    </row>
    <row r="330" spans="1:7" x14ac:dyDescent="0.25">
      <c r="A330" s="67">
        <v>2005</v>
      </c>
      <c r="B330" s="67" t="s">
        <v>39</v>
      </c>
      <c r="C330" s="67" t="s">
        <v>23</v>
      </c>
      <c r="D330" s="67" t="s">
        <v>27</v>
      </c>
      <c r="E330" s="67" t="s">
        <v>28</v>
      </c>
      <c r="F330" s="67">
        <v>701</v>
      </c>
      <c r="G330" s="68">
        <v>2390.41</v>
      </c>
    </row>
    <row r="331" spans="1:7" x14ac:dyDescent="0.25">
      <c r="A331" s="67">
        <v>2005</v>
      </c>
      <c r="B331" s="67" t="s">
        <v>22</v>
      </c>
      <c r="C331" s="67" t="s">
        <v>23</v>
      </c>
      <c r="D331" s="67" t="s">
        <v>24</v>
      </c>
      <c r="E331" s="67" t="s">
        <v>31</v>
      </c>
      <c r="F331" s="67">
        <v>822</v>
      </c>
      <c r="G331" s="68">
        <v>2260.5</v>
      </c>
    </row>
    <row r="332" spans="1:7" x14ac:dyDescent="0.25">
      <c r="A332" s="67">
        <v>2006</v>
      </c>
      <c r="B332" s="67" t="s">
        <v>37</v>
      </c>
      <c r="C332" s="67" t="s">
        <v>34</v>
      </c>
      <c r="D332" s="67" t="s">
        <v>24</v>
      </c>
      <c r="E332" s="67" t="s">
        <v>25</v>
      </c>
      <c r="F332" s="67">
        <v>910</v>
      </c>
      <c r="G332" s="68">
        <v>3567.2</v>
      </c>
    </row>
    <row r="333" spans="1:7" x14ac:dyDescent="0.25">
      <c r="A333" s="67">
        <v>2006</v>
      </c>
      <c r="B333" s="67" t="s">
        <v>50</v>
      </c>
      <c r="C333" s="67" t="s">
        <v>23</v>
      </c>
      <c r="D333" s="67" t="s">
        <v>24</v>
      </c>
      <c r="E333" s="67" t="s">
        <v>31</v>
      </c>
      <c r="F333" s="67">
        <v>1000</v>
      </c>
      <c r="G333" s="68">
        <v>2380</v>
      </c>
    </row>
    <row r="334" spans="1:7" x14ac:dyDescent="0.25">
      <c r="A334" s="67">
        <v>2006</v>
      </c>
      <c r="B334" s="67" t="s">
        <v>48</v>
      </c>
      <c r="C334" s="67" t="s">
        <v>30</v>
      </c>
      <c r="D334" s="67" t="s">
        <v>35</v>
      </c>
      <c r="E334" s="67" t="s">
        <v>40</v>
      </c>
      <c r="F334" s="67">
        <v>778</v>
      </c>
      <c r="G334" s="68">
        <v>2085.04</v>
      </c>
    </row>
    <row r="335" spans="1:7" x14ac:dyDescent="0.25">
      <c r="A335" s="67">
        <v>2005</v>
      </c>
      <c r="B335" s="67" t="s">
        <v>41</v>
      </c>
      <c r="C335" s="67" t="s">
        <v>30</v>
      </c>
      <c r="D335" s="67" t="s">
        <v>27</v>
      </c>
      <c r="E335" s="67" t="s">
        <v>49</v>
      </c>
      <c r="F335" s="67">
        <v>775</v>
      </c>
      <c r="G335" s="68">
        <v>1953</v>
      </c>
    </row>
    <row r="336" spans="1:7" x14ac:dyDescent="0.25">
      <c r="A336" s="67">
        <v>2005</v>
      </c>
      <c r="B336" s="67" t="s">
        <v>52</v>
      </c>
      <c r="C336" s="67" t="s">
        <v>30</v>
      </c>
      <c r="D336" s="67" t="s">
        <v>24</v>
      </c>
      <c r="E336" s="67" t="s">
        <v>54</v>
      </c>
      <c r="F336" s="67">
        <v>832</v>
      </c>
      <c r="G336" s="68">
        <v>1847.04</v>
      </c>
    </row>
    <row r="337" spans="1:7" x14ac:dyDescent="0.25">
      <c r="A337" s="67">
        <v>2006</v>
      </c>
      <c r="B337" s="67" t="s">
        <v>41</v>
      </c>
      <c r="C337" s="67" t="s">
        <v>23</v>
      </c>
      <c r="D337" s="67" t="s">
        <v>35</v>
      </c>
      <c r="E337" s="67" t="s">
        <v>46</v>
      </c>
      <c r="F337" s="67">
        <v>719</v>
      </c>
      <c r="G337" s="68">
        <v>1833.45</v>
      </c>
    </row>
    <row r="338" spans="1:7" x14ac:dyDescent="0.25">
      <c r="A338" s="67">
        <v>2007</v>
      </c>
      <c r="B338" s="67" t="s">
        <v>22</v>
      </c>
      <c r="C338" s="67" t="s">
        <v>23</v>
      </c>
      <c r="D338" s="67" t="s">
        <v>27</v>
      </c>
      <c r="E338" s="67" t="s">
        <v>55</v>
      </c>
      <c r="F338" s="67">
        <v>650</v>
      </c>
      <c r="G338" s="68">
        <v>1716</v>
      </c>
    </row>
    <row r="339" spans="1:7" x14ac:dyDescent="0.25">
      <c r="A339" s="67">
        <v>2005</v>
      </c>
      <c r="B339" s="67" t="s">
        <v>48</v>
      </c>
      <c r="C339" s="67" t="s">
        <v>34</v>
      </c>
      <c r="D339" s="67" t="s">
        <v>35</v>
      </c>
      <c r="E339" s="67" t="s">
        <v>38</v>
      </c>
      <c r="F339" s="67">
        <v>775</v>
      </c>
      <c r="G339" s="68">
        <v>1852.25</v>
      </c>
    </row>
    <row r="340" spans="1:7" x14ac:dyDescent="0.25">
      <c r="A340" s="67">
        <v>2007</v>
      </c>
      <c r="B340" s="67" t="s">
        <v>51</v>
      </c>
      <c r="C340" s="67" t="s">
        <v>30</v>
      </c>
      <c r="D340" s="67" t="s">
        <v>27</v>
      </c>
      <c r="E340" s="67" t="s">
        <v>49</v>
      </c>
      <c r="F340" s="67">
        <v>686</v>
      </c>
      <c r="G340" s="68">
        <v>1996.26</v>
      </c>
    </row>
    <row r="341" spans="1:7" x14ac:dyDescent="0.25">
      <c r="A341" s="67">
        <v>2005</v>
      </c>
      <c r="B341" s="67" t="s">
        <v>26</v>
      </c>
      <c r="C341" s="67" t="s">
        <v>32</v>
      </c>
      <c r="D341" s="67" t="s">
        <v>24</v>
      </c>
      <c r="E341" s="67" t="s">
        <v>25</v>
      </c>
      <c r="F341" s="67">
        <v>734</v>
      </c>
      <c r="G341" s="68">
        <v>1695.54</v>
      </c>
    </row>
    <row r="342" spans="1:7" x14ac:dyDescent="0.25">
      <c r="A342" s="67">
        <v>2006</v>
      </c>
      <c r="B342" s="67" t="s">
        <v>52</v>
      </c>
      <c r="C342" s="67" t="s">
        <v>30</v>
      </c>
      <c r="D342" s="67" t="s">
        <v>35</v>
      </c>
      <c r="E342" s="67" t="s">
        <v>40</v>
      </c>
      <c r="F342" s="67">
        <v>845</v>
      </c>
      <c r="G342" s="68">
        <v>1867.45</v>
      </c>
    </row>
    <row r="343" spans="1:7" x14ac:dyDescent="0.25">
      <c r="A343" s="67">
        <v>2006</v>
      </c>
      <c r="B343" s="67" t="s">
        <v>29</v>
      </c>
      <c r="C343" s="67" t="s">
        <v>34</v>
      </c>
      <c r="D343" s="67" t="s">
        <v>27</v>
      </c>
      <c r="E343" s="67" t="s">
        <v>49</v>
      </c>
      <c r="F343" s="67">
        <v>732</v>
      </c>
      <c r="G343" s="68">
        <v>1639.68</v>
      </c>
    </row>
    <row r="344" spans="1:7" x14ac:dyDescent="0.25">
      <c r="A344" s="67">
        <v>2005</v>
      </c>
      <c r="B344" s="67" t="s">
        <v>26</v>
      </c>
      <c r="C344" s="67" t="s">
        <v>30</v>
      </c>
      <c r="D344" s="67" t="s">
        <v>35</v>
      </c>
      <c r="E344" s="67" t="s">
        <v>38</v>
      </c>
      <c r="F344" s="67">
        <v>619</v>
      </c>
      <c r="G344" s="68">
        <v>1770.34</v>
      </c>
    </row>
    <row r="345" spans="1:7" x14ac:dyDescent="0.25">
      <c r="A345" s="67">
        <v>2005</v>
      </c>
      <c r="B345" s="67" t="s">
        <v>22</v>
      </c>
      <c r="C345" s="67" t="s">
        <v>30</v>
      </c>
      <c r="D345" s="67" t="s">
        <v>24</v>
      </c>
      <c r="E345" s="67" t="s">
        <v>25</v>
      </c>
      <c r="F345" s="67">
        <v>738</v>
      </c>
      <c r="G345" s="68">
        <v>1763.82</v>
      </c>
    </row>
    <row r="346" spans="1:7" x14ac:dyDescent="0.25">
      <c r="A346" s="67">
        <v>2005</v>
      </c>
      <c r="B346" s="67" t="s">
        <v>29</v>
      </c>
      <c r="C346" s="67" t="s">
        <v>23</v>
      </c>
      <c r="D346" s="67" t="s">
        <v>27</v>
      </c>
      <c r="E346" s="67" t="s">
        <v>55</v>
      </c>
      <c r="F346" s="67">
        <v>598</v>
      </c>
      <c r="G346" s="68">
        <v>1985.36</v>
      </c>
    </row>
    <row r="347" spans="1:7" x14ac:dyDescent="0.25">
      <c r="A347" s="67">
        <v>2005</v>
      </c>
      <c r="B347" s="67" t="s">
        <v>26</v>
      </c>
      <c r="C347" s="67" t="s">
        <v>34</v>
      </c>
      <c r="D347" s="67" t="s">
        <v>24</v>
      </c>
      <c r="E347" s="67" t="s">
        <v>25</v>
      </c>
      <c r="F347" s="67">
        <v>535</v>
      </c>
      <c r="G347" s="68">
        <v>1867.15</v>
      </c>
    </row>
    <row r="348" spans="1:7" x14ac:dyDescent="0.25">
      <c r="A348" s="67">
        <v>2005</v>
      </c>
      <c r="B348" s="67" t="s">
        <v>48</v>
      </c>
      <c r="C348" s="67" t="s">
        <v>32</v>
      </c>
      <c r="D348" s="67" t="s">
        <v>27</v>
      </c>
      <c r="E348" s="67" t="s">
        <v>55</v>
      </c>
      <c r="F348" s="67">
        <v>827</v>
      </c>
      <c r="G348" s="68">
        <v>2166.7399999999998</v>
      </c>
    </row>
    <row r="349" spans="1:7" x14ac:dyDescent="0.25">
      <c r="A349" s="67">
        <v>2005</v>
      </c>
      <c r="B349" s="67" t="s">
        <v>44</v>
      </c>
      <c r="C349" s="67" t="s">
        <v>34</v>
      </c>
      <c r="D349" s="67" t="s">
        <v>42</v>
      </c>
      <c r="E349" s="67" t="s">
        <v>45</v>
      </c>
      <c r="F349" s="67">
        <v>801</v>
      </c>
      <c r="G349" s="68">
        <v>2531.16</v>
      </c>
    </row>
    <row r="350" spans="1:7" x14ac:dyDescent="0.25">
      <c r="A350" s="67">
        <v>2006</v>
      </c>
      <c r="B350" s="67" t="s">
        <v>51</v>
      </c>
      <c r="C350" s="67" t="s">
        <v>34</v>
      </c>
      <c r="D350" s="67" t="s">
        <v>24</v>
      </c>
      <c r="E350" s="67" t="s">
        <v>54</v>
      </c>
      <c r="F350" s="67">
        <v>868</v>
      </c>
      <c r="G350" s="68">
        <v>2656.08</v>
      </c>
    </row>
    <row r="351" spans="1:7" x14ac:dyDescent="0.25">
      <c r="A351" s="67">
        <v>2006</v>
      </c>
      <c r="B351" s="67" t="s">
        <v>33</v>
      </c>
      <c r="C351" s="67" t="s">
        <v>34</v>
      </c>
      <c r="D351" s="67" t="s">
        <v>27</v>
      </c>
      <c r="E351" s="67" t="s">
        <v>49</v>
      </c>
      <c r="F351" s="67">
        <v>511</v>
      </c>
      <c r="G351" s="68">
        <v>1696.52</v>
      </c>
    </row>
    <row r="352" spans="1:7" x14ac:dyDescent="0.25">
      <c r="A352" s="67">
        <v>2006</v>
      </c>
      <c r="B352" s="67" t="s">
        <v>44</v>
      </c>
      <c r="C352" s="67" t="s">
        <v>32</v>
      </c>
      <c r="D352" s="67" t="s">
        <v>27</v>
      </c>
      <c r="E352" s="67" t="s">
        <v>55</v>
      </c>
      <c r="F352" s="67">
        <v>524</v>
      </c>
      <c r="G352" s="68">
        <v>1875.92</v>
      </c>
    </row>
    <row r="353" spans="1:7" x14ac:dyDescent="0.25">
      <c r="A353" s="67">
        <v>2005</v>
      </c>
      <c r="B353" s="67" t="s">
        <v>26</v>
      </c>
      <c r="C353" s="67" t="s">
        <v>30</v>
      </c>
      <c r="D353" s="67" t="s">
        <v>24</v>
      </c>
      <c r="E353" s="67" t="s">
        <v>54</v>
      </c>
      <c r="F353" s="67">
        <v>922</v>
      </c>
      <c r="G353" s="68">
        <v>2931.96</v>
      </c>
    </row>
    <row r="354" spans="1:7" x14ac:dyDescent="0.25">
      <c r="A354" s="67">
        <v>2007</v>
      </c>
      <c r="B354" s="67" t="s">
        <v>37</v>
      </c>
      <c r="C354" s="67" t="s">
        <v>23</v>
      </c>
      <c r="D354" s="67" t="s">
        <v>35</v>
      </c>
      <c r="E354" s="67" t="s">
        <v>46</v>
      </c>
      <c r="F354" s="67">
        <v>902</v>
      </c>
      <c r="G354" s="68">
        <v>3463.68</v>
      </c>
    </row>
    <row r="355" spans="1:7" x14ac:dyDescent="0.25">
      <c r="A355" s="67">
        <v>2005</v>
      </c>
      <c r="B355" s="67" t="s">
        <v>37</v>
      </c>
      <c r="C355" s="67" t="s">
        <v>34</v>
      </c>
      <c r="D355" s="67" t="s">
        <v>24</v>
      </c>
      <c r="E355" s="67" t="s">
        <v>47</v>
      </c>
      <c r="F355" s="67">
        <v>832</v>
      </c>
      <c r="G355" s="68">
        <v>2129.92</v>
      </c>
    </row>
    <row r="356" spans="1:7" x14ac:dyDescent="0.25">
      <c r="A356" s="67">
        <v>2006</v>
      </c>
      <c r="B356" s="67" t="s">
        <v>39</v>
      </c>
      <c r="C356" s="67" t="s">
        <v>23</v>
      </c>
      <c r="D356" s="67" t="s">
        <v>24</v>
      </c>
      <c r="E356" s="67" t="s">
        <v>54</v>
      </c>
      <c r="F356" s="67">
        <v>668</v>
      </c>
      <c r="G356" s="68">
        <v>2478.2800000000002</v>
      </c>
    </row>
    <row r="357" spans="1:7" x14ac:dyDescent="0.25">
      <c r="A357" s="67">
        <v>2007</v>
      </c>
      <c r="B357" s="67" t="s">
        <v>37</v>
      </c>
      <c r="C357" s="67" t="s">
        <v>32</v>
      </c>
      <c r="D357" s="67" t="s">
        <v>35</v>
      </c>
      <c r="E357" s="67" t="s">
        <v>38</v>
      </c>
      <c r="F357" s="67">
        <v>510</v>
      </c>
      <c r="G357" s="68">
        <v>1407.6</v>
      </c>
    </row>
    <row r="358" spans="1:7" x14ac:dyDescent="0.25">
      <c r="A358" s="67">
        <v>2005</v>
      </c>
      <c r="B358" s="67" t="s">
        <v>39</v>
      </c>
      <c r="C358" s="67" t="s">
        <v>23</v>
      </c>
      <c r="D358" s="67" t="s">
        <v>35</v>
      </c>
      <c r="E358" s="67" t="s">
        <v>46</v>
      </c>
      <c r="F358" s="67">
        <v>669</v>
      </c>
      <c r="G358" s="68">
        <v>2408.4</v>
      </c>
    </row>
    <row r="359" spans="1:7" x14ac:dyDescent="0.25">
      <c r="A359" s="67">
        <v>2007</v>
      </c>
      <c r="B359" s="67" t="s">
        <v>52</v>
      </c>
      <c r="C359" s="67" t="s">
        <v>32</v>
      </c>
      <c r="D359" s="67" t="s">
        <v>27</v>
      </c>
      <c r="E359" s="67" t="s">
        <v>28</v>
      </c>
      <c r="F359" s="67">
        <v>671</v>
      </c>
      <c r="G359" s="68">
        <v>2455.86</v>
      </c>
    </row>
    <row r="360" spans="1:7" x14ac:dyDescent="0.25">
      <c r="A360" s="67">
        <v>2005</v>
      </c>
      <c r="B360" s="67" t="s">
        <v>26</v>
      </c>
      <c r="C360" s="67" t="s">
        <v>34</v>
      </c>
      <c r="D360" s="67" t="s">
        <v>27</v>
      </c>
      <c r="E360" s="67" t="s">
        <v>49</v>
      </c>
      <c r="F360" s="67">
        <v>644</v>
      </c>
      <c r="G360" s="68">
        <v>1835.4</v>
      </c>
    </row>
    <row r="361" spans="1:7" x14ac:dyDescent="0.25">
      <c r="A361" s="67">
        <v>2007</v>
      </c>
      <c r="B361" s="67" t="s">
        <v>29</v>
      </c>
      <c r="C361" s="67" t="s">
        <v>23</v>
      </c>
      <c r="D361" s="67" t="s">
        <v>42</v>
      </c>
      <c r="E361" s="67" t="s">
        <v>45</v>
      </c>
      <c r="F361" s="67">
        <v>846</v>
      </c>
      <c r="G361" s="68">
        <v>2961</v>
      </c>
    </row>
    <row r="362" spans="1:7" x14ac:dyDescent="0.25">
      <c r="A362" s="67">
        <v>2006</v>
      </c>
      <c r="B362" s="67" t="s">
        <v>41</v>
      </c>
      <c r="C362" s="67" t="s">
        <v>23</v>
      </c>
      <c r="D362" s="67" t="s">
        <v>24</v>
      </c>
      <c r="E362" s="67" t="s">
        <v>31</v>
      </c>
      <c r="F362" s="67">
        <v>846</v>
      </c>
      <c r="G362" s="68">
        <v>3079.44</v>
      </c>
    </row>
    <row r="363" spans="1:7" x14ac:dyDescent="0.25">
      <c r="A363" s="67">
        <v>2006</v>
      </c>
      <c r="B363" s="67" t="s">
        <v>44</v>
      </c>
      <c r="C363" s="67" t="s">
        <v>34</v>
      </c>
      <c r="D363" s="67" t="s">
        <v>24</v>
      </c>
      <c r="E363" s="67" t="s">
        <v>25</v>
      </c>
      <c r="F363" s="67">
        <v>954</v>
      </c>
      <c r="G363" s="68">
        <v>3253.14</v>
      </c>
    </row>
    <row r="364" spans="1:7" x14ac:dyDescent="0.25">
      <c r="A364" s="67">
        <v>2005</v>
      </c>
      <c r="B364" s="67" t="s">
        <v>51</v>
      </c>
      <c r="C364" s="67" t="s">
        <v>30</v>
      </c>
      <c r="D364" s="67" t="s">
        <v>24</v>
      </c>
      <c r="E364" s="67" t="s">
        <v>25</v>
      </c>
      <c r="F364" s="67">
        <v>733</v>
      </c>
      <c r="G364" s="68">
        <v>2125.6999999999998</v>
      </c>
    </row>
    <row r="365" spans="1:7" x14ac:dyDescent="0.25">
      <c r="A365" s="67">
        <v>2005</v>
      </c>
      <c r="B365" s="67" t="s">
        <v>22</v>
      </c>
      <c r="C365" s="67" t="s">
        <v>32</v>
      </c>
      <c r="D365" s="67" t="s">
        <v>27</v>
      </c>
      <c r="E365" s="67" t="s">
        <v>55</v>
      </c>
      <c r="F365" s="67">
        <v>800</v>
      </c>
      <c r="G365" s="68">
        <v>1648</v>
      </c>
    </row>
    <row r="366" spans="1:7" x14ac:dyDescent="0.25">
      <c r="A366" s="67">
        <v>2007</v>
      </c>
      <c r="B366" s="67" t="s">
        <v>26</v>
      </c>
      <c r="C366" s="67" t="s">
        <v>34</v>
      </c>
      <c r="D366" s="67" t="s">
        <v>24</v>
      </c>
      <c r="E366" s="67" t="s">
        <v>25</v>
      </c>
      <c r="F366" s="67">
        <v>534</v>
      </c>
      <c r="G366" s="68">
        <v>1708.8</v>
      </c>
    </row>
    <row r="367" spans="1:7" x14ac:dyDescent="0.25">
      <c r="A367" s="67">
        <v>2006</v>
      </c>
      <c r="B367" s="67" t="s">
        <v>33</v>
      </c>
      <c r="C367" s="67" t="s">
        <v>23</v>
      </c>
      <c r="D367" s="67" t="s">
        <v>24</v>
      </c>
      <c r="E367" s="67" t="s">
        <v>31</v>
      </c>
      <c r="F367" s="67">
        <v>600</v>
      </c>
      <c r="G367" s="68">
        <v>1620</v>
      </c>
    </row>
    <row r="368" spans="1:7" x14ac:dyDescent="0.25">
      <c r="A368" s="67">
        <v>2005</v>
      </c>
      <c r="B368" s="67" t="s">
        <v>33</v>
      </c>
      <c r="C368" s="67" t="s">
        <v>30</v>
      </c>
      <c r="D368" s="67" t="s">
        <v>42</v>
      </c>
      <c r="E368" s="67" t="s">
        <v>53</v>
      </c>
      <c r="F368" s="67">
        <v>708</v>
      </c>
      <c r="G368" s="68">
        <v>2619.6</v>
      </c>
    </row>
    <row r="369" spans="1:7" x14ac:dyDescent="0.25">
      <c r="A369" s="67">
        <v>2005</v>
      </c>
      <c r="B369" s="67" t="s">
        <v>29</v>
      </c>
      <c r="C369" s="67" t="s">
        <v>34</v>
      </c>
      <c r="D369" s="67" t="s">
        <v>24</v>
      </c>
      <c r="E369" s="67" t="s">
        <v>47</v>
      </c>
      <c r="F369" s="67">
        <v>532</v>
      </c>
      <c r="G369" s="68">
        <v>1590.68</v>
      </c>
    </row>
    <row r="370" spans="1:7" x14ac:dyDescent="0.25">
      <c r="A370" s="67">
        <v>2006</v>
      </c>
      <c r="B370" s="67" t="s">
        <v>26</v>
      </c>
      <c r="C370" s="67" t="s">
        <v>23</v>
      </c>
      <c r="D370" s="67" t="s">
        <v>24</v>
      </c>
      <c r="E370" s="67" t="s">
        <v>54</v>
      </c>
      <c r="F370" s="67">
        <v>656</v>
      </c>
      <c r="G370" s="68">
        <v>1856.48</v>
      </c>
    </row>
    <row r="371" spans="1:7" x14ac:dyDescent="0.25">
      <c r="A371" s="67">
        <v>2007</v>
      </c>
      <c r="B371" s="67" t="s">
        <v>22</v>
      </c>
      <c r="C371" s="67" t="s">
        <v>30</v>
      </c>
      <c r="D371" s="67" t="s">
        <v>42</v>
      </c>
      <c r="E371" s="67" t="s">
        <v>53</v>
      </c>
      <c r="F371" s="67">
        <v>771</v>
      </c>
      <c r="G371" s="68">
        <v>2205.06</v>
      </c>
    </row>
    <row r="372" spans="1:7" x14ac:dyDescent="0.25">
      <c r="A372" s="67">
        <v>2007</v>
      </c>
      <c r="B372" s="67" t="s">
        <v>29</v>
      </c>
      <c r="C372" s="67" t="s">
        <v>34</v>
      </c>
      <c r="D372" s="67" t="s">
        <v>35</v>
      </c>
      <c r="E372" s="67" t="s">
        <v>46</v>
      </c>
      <c r="F372" s="67">
        <v>558</v>
      </c>
      <c r="G372" s="68">
        <v>1964.16</v>
      </c>
    </row>
    <row r="373" spans="1:7" x14ac:dyDescent="0.25">
      <c r="A373" s="67">
        <v>2006</v>
      </c>
      <c r="B373" s="67" t="s">
        <v>52</v>
      </c>
      <c r="C373" s="67" t="s">
        <v>30</v>
      </c>
      <c r="D373" s="67" t="s">
        <v>27</v>
      </c>
      <c r="E373" s="67" t="s">
        <v>49</v>
      </c>
      <c r="F373" s="67">
        <v>962</v>
      </c>
      <c r="G373" s="68">
        <v>3694.08</v>
      </c>
    </row>
    <row r="374" spans="1:7" x14ac:dyDescent="0.25">
      <c r="A374" s="67">
        <v>2005</v>
      </c>
      <c r="B374" s="67" t="s">
        <v>50</v>
      </c>
      <c r="C374" s="67" t="s">
        <v>32</v>
      </c>
      <c r="D374" s="67" t="s">
        <v>27</v>
      </c>
      <c r="E374" s="67" t="s">
        <v>28</v>
      </c>
      <c r="F374" s="67">
        <v>844</v>
      </c>
      <c r="G374" s="68">
        <v>3224.08</v>
      </c>
    </row>
    <row r="375" spans="1:7" x14ac:dyDescent="0.25">
      <c r="A375" s="67">
        <v>2005</v>
      </c>
      <c r="B375" s="67" t="s">
        <v>26</v>
      </c>
      <c r="C375" s="67" t="s">
        <v>23</v>
      </c>
      <c r="D375" s="67" t="s">
        <v>35</v>
      </c>
      <c r="E375" s="67" t="s">
        <v>40</v>
      </c>
      <c r="F375" s="67">
        <v>503</v>
      </c>
      <c r="G375" s="68">
        <v>1287.68</v>
      </c>
    </row>
    <row r="376" spans="1:7" x14ac:dyDescent="0.25">
      <c r="A376" s="67">
        <v>2005</v>
      </c>
      <c r="B376" s="67" t="s">
        <v>48</v>
      </c>
      <c r="C376" s="67" t="s">
        <v>30</v>
      </c>
      <c r="D376" s="67" t="s">
        <v>35</v>
      </c>
      <c r="E376" s="67" t="s">
        <v>36</v>
      </c>
      <c r="F376" s="67">
        <v>840</v>
      </c>
      <c r="G376" s="68">
        <v>2343.6</v>
      </c>
    </row>
    <row r="377" spans="1:7" x14ac:dyDescent="0.25">
      <c r="A377" s="67">
        <v>2006</v>
      </c>
      <c r="B377" s="67" t="s">
        <v>39</v>
      </c>
      <c r="C377" s="67" t="s">
        <v>32</v>
      </c>
      <c r="D377" s="67" t="s">
        <v>35</v>
      </c>
      <c r="E377" s="67" t="s">
        <v>38</v>
      </c>
      <c r="F377" s="67">
        <v>705</v>
      </c>
      <c r="G377" s="68">
        <v>1628.55</v>
      </c>
    </row>
    <row r="378" spans="1:7" x14ac:dyDescent="0.25">
      <c r="A378" s="67">
        <v>2005</v>
      </c>
      <c r="B378" s="67" t="s">
        <v>41</v>
      </c>
      <c r="C378" s="67" t="s">
        <v>34</v>
      </c>
      <c r="D378" s="67" t="s">
        <v>27</v>
      </c>
      <c r="E378" s="67" t="s">
        <v>55</v>
      </c>
      <c r="F378" s="67">
        <v>559</v>
      </c>
      <c r="G378" s="68">
        <v>1855.88</v>
      </c>
    </row>
    <row r="379" spans="1:7" x14ac:dyDescent="0.25">
      <c r="A379" s="67">
        <v>2006</v>
      </c>
      <c r="B379" s="67" t="s">
        <v>39</v>
      </c>
      <c r="C379" s="67" t="s">
        <v>23</v>
      </c>
      <c r="D379" s="67" t="s">
        <v>24</v>
      </c>
      <c r="E379" s="67" t="s">
        <v>54</v>
      </c>
      <c r="F379" s="67">
        <v>994</v>
      </c>
      <c r="G379" s="68">
        <v>2803.08</v>
      </c>
    </row>
    <row r="380" spans="1:7" x14ac:dyDescent="0.25">
      <c r="A380" s="67">
        <v>2005</v>
      </c>
      <c r="B380" s="67" t="s">
        <v>41</v>
      </c>
      <c r="C380" s="67" t="s">
        <v>34</v>
      </c>
      <c r="D380" s="67" t="s">
        <v>24</v>
      </c>
      <c r="E380" s="67" t="s">
        <v>47</v>
      </c>
      <c r="F380" s="67">
        <v>853</v>
      </c>
      <c r="G380" s="68">
        <v>2209.27</v>
      </c>
    </row>
    <row r="381" spans="1:7" x14ac:dyDescent="0.25">
      <c r="A381" s="67">
        <v>2007</v>
      </c>
      <c r="B381" s="67" t="s">
        <v>50</v>
      </c>
      <c r="C381" s="67" t="s">
        <v>32</v>
      </c>
      <c r="D381" s="67" t="s">
        <v>35</v>
      </c>
      <c r="E381" s="67" t="s">
        <v>40</v>
      </c>
      <c r="F381" s="67">
        <v>858</v>
      </c>
      <c r="G381" s="68">
        <v>2737.02</v>
      </c>
    </row>
    <row r="382" spans="1:7" x14ac:dyDescent="0.25">
      <c r="A382" s="67">
        <v>2007</v>
      </c>
      <c r="B382" s="67" t="s">
        <v>50</v>
      </c>
      <c r="C382" s="67" t="s">
        <v>32</v>
      </c>
      <c r="D382" s="67" t="s">
        <v>27</v>
      </c>
      <c r="E382" s="67" t="s">
        <v>55</v>
      </c>
      <c r="F382" s="67">
        <v>555</v>
      </c>
      <c r="G382" s="68">
        <v>1182.1500000000001</v>
      </c>
    </row>
    <row r="383" spans="1:7" x14ac:dyDescent="0.25">
      <c r="A383" s="67">
        <v>2007</v>
      </c>
      <c r="B383" s="67" t="s">
        <v>50</v>
      </c>
      <c r="C383" s="67" t="s">
        <v>23</v>
      </c>
      <c r="D383" s="67" t="s">
        <v>27</v>
      </c>
      <c r="E383" s="67" t="s">
        <v>49</v>
      </c>
      <c r="F383" s="67">
        <v>543</v>
      </c>
      <c r="G383" s="68">
        <v>1476.96</v>
      </c>
    </row>
    <row r="384" spans="1:7" x14ac:dyDescent="0.25">
      <c r="A384" s="67">
        <v>2005</v>
      </c>
      <c r="B384" s="67" t="s">
        <v>29</v>
      </c>
      <c r="C384" s="67" t="s">
        <v>34</v>
      </c>
      <c r="D384" s="67" t="s">
        <v>42</v>
      </c>
      <c r="E384" s="67" t="s">
        <v>45</v>
      </c>
      <c r="F384" s="67">
        <v>646</v>
      </c>
      <c r="G384" s="68">
        <v>2344.98</v>
      </c>
    </row>
    <row r="385" spans="1:7" x14ac:dyDescent="0.25">
      <c r="A385" s="67">
        <v>2006</v>
      </c>
      <c r="B385" s="67" t="s">
        <v>52</v>
      </c>
      <c r="C385" s="67" t="s">
        <v>23</v>
      </c>
      <c r="D385" s="67" t="s">
        <v>42</v>
      </c>
      <c r="E385" s="67" t="s">
        <v>45</v>
      </c>
      <c r="F385" s="67">
        <v>794</v>
      </c>
      <c r="G385" s="68">
        <v>1992.94</v>
      </c>
    </row>
    <row r="386" spans="1:7" x14ac:dyDescent="0.25">
      <c r="A386" s="67">
        <v>2007</v>
      </c>
      <c r="B386" s="67" t="s">
        <v>39</v>
      </c>
      <c r="C386" s="67" t="s">
        <v>30</v>
      </c>
      <c r="D386" s="67" t="s">
        <v>27</v>
      </c>
      <c r="E386" s="67" t="s">
        <v>55</v>
      </c>
      <c r="F386" s="67">
        <v>573</v>
      </c>
      <c r="G386" s="68">
        <v>1237.68</v>
      </c>
    </row>
    <row r="387" spans="1:7" x14ac:dyDescent="0.25">
      <c r="A387" s="67">
        <v>2007</v>
      </c>
      <c r="B387" s="67" t="s">
        <v>22</v>
      </c>
      <c r="C387" s="67" t="s">
        <v>32</v>
      </c>
      <c r="D387" s="67" t="s">
        <v>24</v>
      </c>
      <c r="E387" s="67" t="s">
        <v>25</v>
      </c>
      <c r="F387" s="67">
        <v>534</v>
      </c>
      <c r="G387" s="68">
        <v>1431.12</v>
      </c>
    </row>
    <row r="388" spans="1:7" x14ac:dyDescent="0.25">
      <c r="A388" s="67">
        <v>2005</v>
      </c>
      <c r="B388" s="67" t="s">
        <v>41</v>
      </c>
      <c r="C388" s="67" t="s">
        <v>23</v>
      </c>
      <c r="D388" s="67" t="s">
        <v>42</v>
      </c>
      <c r="E388" s="67" t="s">
        <v>45</v>
      </c>
      <c r="F388" s="67">
        <v>793</v>
      </c>
      <c r="G388" s="68">
        <v>2497.9499999999998</v>
      </c>
    </row>
    <row r="389" spans="1:7" x14ac:dyDescent="0.25">
      <c r="A389" s="67">
        <v>2005</v>
      </c>
      <c r="B389" s="67" t="s">
        <v>41</v>
      </c>
      <c r="C389" s="67" t="s">
        <v>23</v>
      </c>
      <c r="D389" s="67" t="s">
        <v>27</v>
      </c>
      <c r="E389" s="67" t="s">
        <v>28</v>
      </c>
      <c r="F389" s="67">
        <v>709</v>
      </c>
      <c r="G389" s="68">
        <v>1985.2</v>
      </c>
    </row>
    <row r="390" spans="1:7" x14ac:dyDescent="0.25">
      <c r="A390" s="67">
        <v>2007</v>
      </c>
      <c r="B390" s="67" t="s">
        <v>26</v>
      </c>
      <c r="C390" s="67" t="s">
        <v>23</v>
      </c>
      <c r="D390" s="67" t="s">
        <v>27</v>
      </c>
      <c r="E390" s="67" t="s">
        <v>28</v>
      </c>
      <c r="F390" s="67">
        <v>907</v>
      </c>
      <c r="G390" s="68">
        <v>2058.89</v>
      </c>
    </row>
    <row r="391" spans="1:7" x14ac:dyDescent="0.25">
      <c r="A391" s="67">
        <v>2005</v>
      </c>
      <c r="B391" s="67" t="s">
        <v>51</v>
      </c>
      <c r="C391" s="67" t="s">
        <v>32</v>
      </c>
      <c r="D391" s="67" t="s">
        <v>35</v>
      </c>
      <c r="E391" s="67" t="s">
        <v>36</v>
      </c>
      <c r="F391" s="67">
        <v>955</v>
      </c>
      <c r="G391" s="68">
        <v>2989.15</v>
      </c>
    </row>
    <row r="392" spans="1:7" x14ac:dyDescent="0.25">
      <c r="A392" s="67">
        <v>2006</v>
      </c>
      <c r="B392" s="67" t="s">
        <v>33</v>
      </c>
      <c r="C392" s="67" t="s">
        <v>32</v>
      </c>
      <c r="D392" s="67" t="s">
        <v>35</v>
      </c>
      <c r="E392" s="67" t="s">
        <v>36</v>
      </c>
      <c r="F392" s="67">
        <v>685</v>
      </c>
      <c r="G392" s="68">
        <v>2116.65</v>
      </c>
    </row>
    <row r="393" spans="1:7" x14ac:dyDescent="0.25">
      <c r="A393" s="67">
        <v>2006</v>
      </c>
      <c r="B393" s="67" t="s">
        <v>50</v>
      </c>
      <c r="C393" s="67" t="s">
        <v>32</v>
      </c>
      <c r="D393" s="67" t="s">
        <v>27</v>
      </c>
      <c r="E393" s="67" t="s">
        <v>28</v>
      </c>
      <c r="F393" s="67">
        <v>903</v>
      </c>
      <c r="G393" s="68">
        <v>2600.64</v>
      </c>
    </row>
    <row r="394" spans="1:7" x14ac:dyDescent="0.25">
      <c r="A394" s="67">
        <v>2007</v>
      </c>
      <c r="B394" s="67" t="s">
        <v>41</v>
      </c>
      <c r="C394" s="67" t="s">
        <v>34</v>
      </c>
      <c r="D394" s="67" t="s">
        <v>27</v>
      </c>
      <c r="E394" s="67" t="s">
        <v>49</v>
      </c>
      <c r="F394" s="67">
        <v>903</v>
      </c>
      <c r="G394" s="68">
        <v>2438.1</v>
      </c>
    </row>
    <row r="395" spans="1:7" x14ac:dyDescent="0.25">
      <c r="A395" s="67">
        <v>2005</v>
      </c>
      <c r="B395" s="67" t="s">
        <v>52</v>
      </c>
      <c r="C395" s="67" t="s">
        <v>30</v>
      </c>
      <c r="D395" s="67" t="s">
        <v>24</v>
      </c>
      <c r="E395" s="67" t="s">
        <v>31</v>
      </c>
      <c r="F395" s="67">
        <v>701</v>
      </c>
      <c r="G395" s="68">
        <v>2495.56</v>
      </c>
    </row>
    <row r="396" spans="1:7" x14ac:dyDescent="0.25">
      <c r="A396" s="67">
        <v>2005</v>
      </c>
      <c r="B396" s="67" t="s">
        <v>52</v>
      </c>
      <c r="C396" s="67" t="s">
        <v>34</v>
      </c>
      <c r="D396" s="67" t="s">
        <v>35</v>
      </c>
      <c r="E396" s="67" t="s">
        <v>36</v>
      </c>
      <c r="F396" s="67">
        <v>738</v>
      </c>
      <c r="G396" s="68">
        <v>2214</v>
      </c>
    </row>
    <row r="397" spans="1:7" x14ac:dyDescent="0.25">
      <c r="A397" s="67">
        <v>2007</v>
      </c>
      <c r="B397" s="67" t="s">
        <v>37</v>
      </c>
      <c r="C397" s="67" t="s">
        <v>32</v>
      </c>
      <c r="D397" s="67" t="s">
        <v>24</v>
      </c>
      <c r="E397" s="67" t="s">
        <v>25</v>
      </c>
      <c r="F397" s="67">
        <v>950</v>
      </c>
      <c r="G397" s="68">
        <v>2023.5</v>
      </c>
    </row>
    <row r="398" spans="1:7" x14ac:dyDescent="0.25">
      <c r="A398" s="67">
        <v>2005</v>
      </c>
      <c r="B398" s="67" t="s">
        <v>29</v>
      </c>
      <c r="C398" s="67" t="s">
        <v>32</v>
      </c>
      <c r="D398" s="67" t="s">
        <v>35</v>
      </c>
      <c r="E398" s="67" t="s">
        <v>40</v>
      </c>
      <c r="F398" s="67">
        <v>773</v>
      </c>
      <c r="G398" s="68">
        <v>2434.9499999999998</v>
      </c>
    </row>
    <row r="399" spans="1:7" x14ac:dyDescent="0.25">
      <c r="A399" s="67">
        <v>2006</v>
      </c>
      <c r="B399" s="67" t="s">
        <v>41</v>
      </c>
      <c r="C399" s="67" t="s">
        <v>30</v>
      </c>
      <c r="D399" s="67" t="s">
        <v>42</v>
      </c>
      <c r="E399" s="67" t="s">
        <v>43</v>
      </c>
      <c r="F399" s="67">
        <v>760</v>
      </c>
      <c r="G399" s="68">
        <v>1801.2</v>
      </c>
    </row>
    <row r="400" spans="1:7" x14ac:dyDescent="0.25">
      <c r="A400" s="67">
        <v>2006</v>
      </c>
      <c r="B400" s="67" t="s">
        <v>26</v>
      </c>
      <c r="C400" s="67" t="s">
        <v>34</v>
      </c>
      <c r="D400" s="67" t="s">
        <v>35</v>
      </c>
      <c r="E400" s="67" t="s">
        <v>40</v>
      </c>
      <c r="F400" s="67">
        <v>502</v>
      </c>
      <c r="G400" s="68">
        <v>1490.94</v>
      </c>
    </row>
    <row r="401" spans="1:7" x14ac:dyDescent="0.25">
      <c r="A401" s="67">
        <v>2007</v>
      </c>
      <c r="B401" s="67" t="s">
        <v>50</v>
      </c>
      <c r="C401" s="67" t="s">
        <v>32</v>
      </c>
      <c r="D401" s="67" t="s">
        <v>35</v>
      </c>
      <c r="E401" s="67" t="s">
        <v>40</v>
      </c>
      <c r="F401" s="67">
        <v>925</v>
      </c>
      <c r="G401" s="68">
        <v>2479</v>
      </c>
    </row>
    <row r="402" spans="1:7" x14ac:dyDescent="0.25">
      <c r="A402" s="67">
        <v>2005</v>
      </c>
      <c r="B402" s="67" t="s">
        <v>33</v>
      </c>
      <c r="C402" s="67" t="s">
        <v>23</v>
      </c>
      <c r="D402" s="67" t="s">
        <v>27</v>
      </c>
      <c r="E402" s="67" t="s">
        <v>55</v>
      </c>
      <c r="F402" s="67">
        <v>893</v>
      </c>
      <c r="G402" s="68">
        <v>2812.95</v>
      </c>
    </row>
    <row r="403" spans="1:7" x14ac:dyDescent="0.25">
      <c r="A403" s="67">
        <v>2006</v>
      </c>
      <c r="B403" s="67" t="s">
        <v>29</v>
      </c>
      <c r="C403" s="67" t="s">
        <v>30</v>
      </c>
      <c r="D403" s="67" t="s">
        <v>42</v>
      </c>
      <c r="E403" s="67" t="s">
        <v>43</v>
      </c>
      <c r="F403" s="67">
        <v>786</v>
      </c>
      <c r="G403" s="68">
        <v>2837.46</v>
      </c>
    </row>
    <row r="404" spans="1:7" x14ac:dyDescent="0.25">
      <c r="A404" s="67">
        <v>2006</v>
      </c>
      <c r="B404" s="67" t="s">
        <v>33</v>
      </c>
      <c r="C404" s="67" t="s">
        <v>30</v>
      </c>
      <c r="D404" s="67" t="s">
        <v>35</v>
      </c>
      <c r="E404" s="67" t="s">
        <v>38</v>
      </c>
      <c r="F404" s="67">
        <v>837</v>
      </c>
      <c r="G404" s="68">
        <v>2879.28</v>
      </c>
    </row>
    <row r="405" spans="1:7" x14ac:dyDescent="0.25">
      <c r="A405" s="67">
        <v>2006</v>
      </c>
      <c r="B405" s="67" t="s">
        <v>22</v>
      </c>
      <c r="C405" s="67" t="s">
        <v>23</v>
      </c>
      <c r="D405" s="67" t="s">
        <v>24</v>
      </c>
      <c r="E405" s="67" t="s">
        <v>47</v>
      </c>
      <c r="F405" s="67">
        <v>823</v>
      </c>
      <c r="G405" s="68">
        <v>2156.2600000000002</v>
      </c>
    </row>
    <row r="406" spans="1:7" x14ac:dyDescent="0.25">
      <c r="A406" s="67">
        <v>2007</v>
      </c>
      <c r="B406" s="67" t="s">
        <v>22</v>
      </c>
      <c r="C406" s="67" t="s">
        <v>32</v>
      </c>
      <c r="D406" s="67" t="s">
        <v>42</v>
      </c>
      <c r="E406" s="67" t="s">
        <v>45</v>
      </c>
      <c r="F406" s="67">
        <v>823</v>
      </c>
      <c r="G406" s="68">
        <v>2469</v>
      </c>
    </row>
    <row r="407" spans="1:7" x14ac:dyDescent="0.25">
      <c r="A407" s="67">
        <v>2007</v>
      </c>
      <c r="B407" s="67" t="s">
        <v>44</v>
      </c>
      <c r="C407" s="67" t="s">
        <v>30</v>
      </c>
      <c r="D407" s="67" t="s">
        <v>42</v>
      </c>
      <c r="E407" s="67" t="s">
        <v>53</v>
      </c>
      <c r="F407" s="67">
        <v>577</v>
      </c>
      <c r="G407" s="68">
        <v>1846.4</v>
      </c>
    </row>
    <row r="408" spans="1:7" x14ac:dyDescent="0.25">
      <c r="A408" s="67">
        <v>2007</v>
      </c>
      <c r="B408" s="67" t="s">
        <v>44</v>
      </c>
      <c r="C408" s="67" t="s">
        <v>32</v>
      </c>
      <c r="D408" s="67" t="s">
        <v>35</v>
      </c>
      <c r="E408" s="67" t="s">
        <v>46</v>
      </c>
      <c r="F408" s="67">
        <v>758</v>
      </c>
      <c r="G408" s="68">
        <v>2516.56</v>
      </c>
    </row>
    <row r="409" spans="1:7" x14ac:dyDescent="0.25">
      <c r="A409" s="67">
        <v>2007</v>
      </c>
      <c r="B409" s="67" t="s">
        <v>26</v>
      </c>
      <c r="C409" s="67" t="s">
        <v>30</v>
      </c>
      <c r="D409" s="67" t="s">
        <v>27</v>
      </c>
      <c r="E409" s="67" t="s">
        <v>49</v>
      </c>
      <c r="F409" s="67">
        <v>681</v>
      </c>
      <c r="G409" s="68">
        <v>2717.19</v>
      </c>
    </row>
    <row r="410" spans="1:7" x14ac:dyDescent="0.25">
      <c r="A410" s="67">
        <v>2007</v>
      </c>
      <c r="B410" s="67" t="s">
        <v>44</v>
      </c>
      <c r="C410" s="67" t="s">
        <v>30</v>
      </c>
      <c r="D410" s="67" t="s">
        <v>27</v>
      </c>
      <c r="E410" s="67" t="s">
        <v>49</v>
      </c>
      <c r="F410" s="67">
        <v>837</v>
      </c>
      <c r="G410" s="68">
        <v>2410.56</v>
      </c>
    </row>
    <row r="411" spans="1:7" x14ac:dyDescent="0.25">
      <c r="A411" s="67">
        <v>2006</v>
      </c>
      <c r="B411" s="67" t="s">
        <v>37</v>
      </c>
      <c r="C411" s="67" t="s">
        <v>34</v>
      </c>
      <c r="D411" s="67" t="s">
        <v>42</v>
      </c>
      <c r="E411" s="67" t="s">
        <v>43</v>
      </c>
      <c r="F411" s="67">
        <v>964</v>
      </c>
      <c r="G411" s="68">
        <v>2217.1999999999998</v>
      </c>
    </row>
    <row r="412" spans="1:7" x14ac:dyDescent="0.25">
      <c r="A412" s="67">
        <v>2007</v>
      </c>
      <c r="B412" s="67" t="s">
        <v>52</v>
      </c>
      <c r="C412" s="67" t="s">
        <v>32</v>
      </c>
      <c r="D412" s="67" t="s">
        <v>24</v>
      </c>
      <c r="E412" s="67" t="s">
        <v>54</v>
      </c>
      <c r="F412" s="67">
        <v>998</v>
      </c>
      <c r="G412" s="68">
        <v>3473.04</v>
      </c>
    </row>
    <row r="413" spans="1:7" x14ac:dyDescent="0.25">
      <c r="A413" s="67">
        <v>2005</v>
      </c>
      <c r="B413" s="67" t="s">
        <v>33</v>
      </c>
      <c r="C413" s="67" t="s">
        <v>23</v>
      </c>
      <c r="D413" s="67" t="s">
        <v>35</v>
      </c>
      <c r="E413" s="67" t="s">
        <v>46</v>
      </c>
      <c r="F413" s="67">
        <v>729</v>
      </c>
      <c r="G413" s="68">
        <v>2624.4</v>
      </c>
    </row>
    <row r="414" spans="1:7" x14ac:dyDescent="0.25">
      <c r="A414" s="67">
        <v>2005</v>
      </c>
      <c r="B414" s="67" t="s">
        <v>51</v>
      </c>
      <c r="C414" s="67" t="s">
        <v>34</v>
      </c>
      <c r="D414" s="67" t="s">
        <v>35</v>
      </c>
      <c r="E414" s="67" t="s">
        <v>36</v>
      </c>
      <c r="F414" s="67">
        <v>658</v>
      </c>
      <c r="G414" s="68">
        <v>1730.54</v>
      </c>
    </row>
    <row r="415" spans="1:7" x14ac:dyDescent="0.25">
      <c r="A415" s="67">
        <v>2005</v>
      </c>
      <c r="B415" s="67" t="s">
        <v>33</v>
      </c>
      <c r="C415" s="67" t="s">
        <v>23</v>
      </c>
      <c r="D415" s="67" t="s">
        <v>24</v>
      </c>
      <c r="E415" s="67" t="s">
        <v>31</v>
      </c>
      <c r="F415" s="67">
        <v>738</v>
      </c>
      <c r="G415" s="68">
        <v>1505.52</v>
      </c>
    </row>
    <row r="416" spans="1:7" x14ac:dyDescent="0.25">
      <c r="A416" s="67">
        <v>2005</v>
      </c>
      <c r="B416" s="67" t="s">
        <v>37</v>
      </c>
      <c r="C416" s="67" t="s">
        <v>30</v>
      </c>
      <c r="D416" s="67" t="s">
        <v>27</v>
      </c>
      <c r="E416" s="67" t="s">
        <v>49</v>
      </c>
      <c r="F416" s="67">
        <v>950</v>
      </c>
      <c r="G416" s="68">
        <v>3619.5</v>
      </c>
    </row>
    <row r="417" spans="1:7" x14ac:dyDescent="0.25">
      <c r="A417" s="67">
        <v>2007</v>
      </c>
      <c r="B417" s="67" t="s">
        <v>33</v>
      </c>
      <c r="C417" s="67" t="s">
        <v>32</v>
      </c>
      <c r="D417" s="67" t="s">
        <v>27</v>
      </c>
      <c r="E417" s="67" t="s">
        <v>55</v>
      </c>
      <c r="F417" s="67">
        <v>776</v>
      </c>
      <c r="G417" s="68">
        <v>3041.92</v>
      </c>
    </row>
    <row r="418" spans="1:7" x14ac:dyDescent="0.25">
      <c r="A418" s="67">
        <v>2007</v>
      </c>
      <c r="B418" s="67" t="s">
        <v>29</v>
      </c>
      <c r="C418" s="67" t="s">
        <v>34</v>
      </c>
      <c r="D418" s="67" t="s">
        <v>24</v>
      </c>
      <c r="E418" s="67" t="s">
        <v>47</v>
      </c>
      <c r="F418" s="67">
        <v>768</v>
      </c>
      <c r="G418" s="68">
        <v>1774.08</v>
      </c>
    </row>
    <row r="419" spans="1:7" x14ac:dyDescent="0.25">
      <c r="A419" s="67">
        <v>2007</v>
      </c>
      <c r="B419" s="67" t="s">
        <v>48</v>
      </c>
      <c r="C419" s="67" t="s">
        <v>23</v>
      </c>
      <c r="D419" s="67" t="s">
        <v>24</v>
      </c>
      <c r="E419" s="67" t="s">
        <v>47</v>
      </c>
      <c r="F419" s="67">
        <v>809</v>
      </c>
      <c r="G419" s="68">
        <v>2386.5500000000002</v>
      </c>
    </row>
    <row r="420" spans="1:7" x14ac:dyDescent="0.25">
      <c r="A420" s="67">
        <v>2007</v>
      </c>
      <c r="B420" s="67" t="s">
        <v>29</v>
      </c>
      <c r="C420" s="67" t="s">
        <v>34</v>
      </c>
      <c r="D420" s="67" t="s">
        <v>27</v>
      </c>
      <c r="E420" s="67" t="s">
        <v>28</v>
      </c>
      <c r="F420" s="67">
        <v>764</v>
      </c>
      <c r="G420" s="68">
        <v>2849.72</v>
      </c>
    </row>
    <row r="421" spans="1:7" x14ac:dyDescent="0.25">
      <c r="A421" s="67">
        <v>2006</v>
      </c>
      <c r="B421" s="67" t="s">
        <v>33</v>
      </c>
      <c r="C421" s="67" t="s">
        <v>34</v>
      </c>
      <c r="D421" s="67" t="s">
        <v>24</v>
      </c>
      <c r="E421" s="67" t="s">
        <v>25</v>
      </c>
      <c r="F421" s="67">
        <v>789</v>
      </c>
      <c r="G421" s="68">
        <v>2272.3200000000002</v>
      </c>
    </row>
    <row r="422" spans="1:7" x14ac:dyDescent="0.25">
      <c r="A422" s="67">
        <v>2005</v>
      </c>
      <c r="B422" s="67" t="s">
        <v>26</v>
      </c>
      <c r="C422" s="67" t="s">
        <v>32</v>
      </c>
      <c r="D422" s="67" t="s">
        <v>24</v>
      </c>
      <c r="E422" s="67" t="s">
        <v>25</v>
      </c>
      <c r="F422" s="67">
        <v>781</v>
      </c>
      <c r="G422" s="68">
        <v>1835.35</v>
      </c>
    </row>
    <row r="423" spans="1:7" x14ac:dyDescent="0.25">
      <c r="A423" s="67">
        <v>2007</v>
      </c>
      <c r="B423" s="67" t="s">
        <v>44</v>
      </c>
      <c r="C423" s="67" t="s">
        <v>32</v>
      </c>
      <c r="D423" s="67" t="s">
        <v>24</v>
      </c>
      <c r="E423" s="67" t="s">
        <v>47</v>
      </c>
      <c r="F423" s="67">
        <v>885</v>
      </c>
      <c r="G423" s="68">
        <v>3442.65</v>
      </c>
    </row>
    <row r="424" spans="1:7" x14ac:dyDescent="0.25">
      <c r="A424" s="67">
        <v>2005</v>
      </c>
      <c r="B424" s="67" t="s">
        <v>33</v>
      </c>
      <c r="C424" s="67" t="s">
        <v>34</v>
      </c>
      <c r="D424" s="67" t="s">
        <v>35</v>
      </c>
      <c r="E424" s="67" t="s">
        <v>36</v>
      </c>
      <c r="F424" s="67">
        <v>816</v>
      </c>
      <c r="G424" s="68">
        <v>2358.2399999999998</v>
      </c>
    </row>
    <row r="425" spans="1:7" x14ac:dyDescent="0.25">
      <c r="A425" s="67">
        <v>2005</v>
      </c>
      <c r="B425" s="67" t="s">
        <v>52</v>
      </c>
      <c r="C425" s="67" t="s">
        <v>34</v>
      </c>
      <c r="D425" s="67" t="s">
        <v>42</v>
      </c>
      <c r="E425" s="67" t="s">
        <v>45</v>
      </c>
      <c r="F425" s="67">
        <v>789</v>
      </c>
      <c r="G425" s="68">
        <v>2524.8000000000002</v>
      </c>
    </row>
    <row r="426" spans="1:7" x14ac:dyDescent="0.25">
      <c r="A426" s="67">
        <v>2007</v>
      </c>
      <c r="B426" s="67" t="s">
        <v>37</v>
      </c>
      <c r="C426" s="67" t="s">
        <v>32</v>
      </c>
      <c r="D426" s="67" t="s">
        <v>42</v>
      </c>
      <c r="E426" s="67" t="s">
        <v>43</v>
      </c>
      <c r="F426" s="67">
        <v>572</v>
      </c>
      <c r="G426" s="68">
        <v>2019.16</v>
      </c>
    </row>
    <row r="427" spans="1:7" x14ac:dyDescent="0.25">
      <c r="A427" s="67">
        <v>2005</v>
      </c>
      <c r="B427" s="67" t="s">
        <v>44</v>
      </c>
      <c r="C427" s="67" t="s">
        <v>34</v>
      </c>
      <c r="D427" s="67" t="s">
        <v>27</v>
      </c>
      <c r="E427" s="67" t="s">
        <v>28</v>
      </c>
      <c r="F427" s="67">
        <v>627</v>
      </c>
      <c r="G427" s="68">
        <v>2062.83</v>
      </c>
    </row>
    <row r="428" spans="1:7" x14ac:dyDescent="0.25">
      <c r="A428" s="67">
        <v>2006</v>
      </c>
      <c r="B428" s="67" t="s">
        <v>39</v>
      </c>
      <c r="C428" s="67" t="s">
        <v>30</v>
      </c>
      <c r="D428" s="67" t="s">
        <v>35</v>
      </c>
      <c r="E428" s="67" t="s">
        <v>40</v>
      </c>
      <c r="F428" s="67">
        <v>858</v>
      </c>
      <c r="G428" s="68">
        <v>2179.3200000000002</v>
      </c>
    </row>
    <row r="429" spans="1:7" x14ac:dyDescent="0.25">
      <c r="A429" s="67">
        <v>2006</v>
      </c>
      <c r="B429" s="67" t="s">
        <v>37</v>
      </c>
      <c r="C429" s="67" t="s">
        <v>34</v>
      </c>
      <c r="D429" s="67" t="s">
        <v>35</v>
      </c>
      <c r="E429" s="67" t="s">
        <v>38</v>
      </c>
      <c r="F429" s="67">
        <v>892</v>
      </c>
      <c r="G429" s="68">
        <v>3041.72</v>
      </c>
    </row>
    <row r="430" spans="1:7" x14ac:dyDescent="0.25">
      <c r="A430" s="67">
        <v>2006</v>
      </c>
      <c r="B430" s="67" t="s">
        <v>44</v>
      </c>
      <c r="C430" s="67" t="s">
        <v>32</v>
      </c>
      <c r="D430" s="67" t="s">
        <v>42</v>
      </c>
      <c r="E430" s="67" t="s">
        <v>43</v>
      </c>
      <c r="F430" s="67">
        <v>858</v>
      </c>
      <c r="G430" s="68">
        <v>3380.52</v>
      </c>
    </row>
    <row r="431" spans="1:7" x14ac:dyDescent="0.25">
      <c r="A431" s="67">
        <v>2007</v>
      </c>
      <c r="B431" s="67" t="s">
        <v>52</v>
      </c>
      <c r="C431" s="67" t="s">
        <v>30</v>
      </c>
      <c r="D431" s="67" t="s">
        <v>42</v>
      </c>
      <c r="E431" s="67" t="s">
        <v>43</v>
      </c>
      <c r="F431" s="67">
        <v>967</v>
      </c>
      <c r="G431" s="68">
        <v>2137.0700000000002</v>
      </c>
    </row>
    <row r="432" spans="1:7" x14ac:dyDescent="0.25">
      <c r="A432" s="67">
        <v>2006</v>
      </c>
      <c r="B432" s="67" t="s">
        <v>51</v>
      </c>
      <c r="C432" s="67" t="s">
        <v>32</v>
      </c>
      <c r="D432" s="67" t="s">
        <v>24</v>
      </c>
      <c r="E432" s="67" t="s">
        <v>54</v>
      </c>
      <c r="F432" s="67">
        <v>836</v>
      </c>
      <c r="G432" s="68">
        <v>2666.84</v>
      </c>
    </row>
    <row r="433" spans="1:7" x14ac:dyDescent="0.25">
      <c r="A433" s="67">
        <v>2005</v>
      </c>
      <c r="B433" s="67" t="s">
        <v>52</v>
      </c>
      <c r="C433" s="67" t="s">
        <v>30</v>
      </c>
      <c r="D433" s="67" t="s">
        <v>42</v>
      </c>
      <c r="E433" s="67" t="s">
        <v>45</v>
      </c>
      <c r="F433" s="67">
        <v>921</v>
      </c>
      <c r="G433" s="68">
        <v>3536.64</v>
      </c>
    </row>
    <row r="434" spans="1:7" x14ac:dyDescent="0.25">
      <c r="A434" s="67">
        <v>2007</v>
      </c>
      <c r="B434" s="67" t="s">
        <v>33</v>
      </c>
      <c r="C434" s="67" t="s">
        <v>30</v>
      </c>
      <c r="D434" s="67" t="s">
        <v>35</v>
      </c>
      <c r="E434" s="67" t="s">
        <v>36</v>
      </c>
      <c r="F434" s="67">
        <v>898</v>
      </c>
      <c r="G434" s="68">
        <v>3035.24</v>
      </c>
    </row>
    <row r="435" spans="1:7" x14ac:dyDescent="0.25">
      <c r="A435" s="67">
        <v>2006</v>
      </c>
      <c r="B435" s="67" t="s">
        <v>39</v>
      </c>
      <c r="C435" s="67" t="s">
        <v>32</v>
      </c>
      <c r="D435" s="67" t="s">
        <v>27</v>
      </c>
      <c r="E435" s="67" t="s">
        <v>49</v>
      </c>
      <c r="F435" s="67">
        <v>516</v>
      </c>
      <c r="G435" s="68">
        <v>1640.88</v>
      </c>
    </row>
    <row r="436" spans="1:7" x14ac:dyDescent="0.25">
      <c r="A436" s="67">
        <v>2007</v>
      </c>
      <c r="B436" s="67" t="s">
        <v>33</v>
      </c>
      <c r="C436" s="67" t="s">
        <v>30</v>
      </c>
      <c r="D436" s="67" t="s">
        <v>24</v>
      </c>
      <c r="E436" s="67" t="s">
        <v>31</v>
      </c>
      <c r="F436" s="67">
        <v>722</v>
      </c>
      <c r="G436" s="68">
        <v>2064.92</v>
      </c>
    </row>
    <row r="437" spans="1:7" x14ac:dyDescent="0.25">
      <c r="A437" s="67">
        <v>2005</v>
      </c>
      <c r="B437" s="67" t="s">
        <v>37</v>
      </c>
      <c r="C437" s="67" t="s">
        <v>32</v>
      </c>
      <c r="D437" s="67" t="s">
        <v>42</v>
      </c>
      <c r="E437" s="67" t="s">
        <v>45</v>
      </c>
      <c r="F437" s="67">
        <v>991</v>
      </c>
      <c r="G437" s="68">
        <v>2437.86</v>
      </c>
    </row>
    <row r="438" spans="1:7" x14ac:dyDescent="0.25">
      <c r="A438" s="67">
        <v>2006</v>
      </c>
      <c r="B438" s="67" t="s">
        <v>44</v>
      </c>
      <c r="C438" s="67" t="s">
        <v>32</v>
      </c>
      <c r="D438" s="67" t="s">
        <v>27</v>
      </c>
      <c r="E438" s="67" t="s">
        <v>49</v>
      </c>
      <c r="F438" s="67">
        <v>798</v>
      </c>
      <c r="G438" s="68">
        <v>1787.52</v>
      </c>
    </row>
    <row r="439" spans="1:7" x14ac:dyDescent="0.25">
      <c r="A439" s="67">
        <v>2007</v>
      </c>
      <c r="B439" s="67" t="s">
        <v>51</v>
      </c>
      <c r="C439" s="67" t="s">
        <v>23</v>
      </c>
      <c r="D439" s="67" t="s">
        <v>35</v>
      </c>
      <c r="E439" s="67" t="s">
        <v>36</v>
      </c>
      <c r="F439" s="67">
        <v>803</v>
      </c>
      <c r="G439" s="68">
        <v>2569.6</v>
      </c>
    </row>
    <row r="440" spans="1:7" x14ac:dyDescent="0.25">
      <c r="A440" s="67">
        <v>2005</v>
      </c>
      <c r="B440" s="67" t="s">
        <v>26</v>
      </c>
      <c r="C440" s="67" t="s">
        <v>34</v>
      </c>
      <c r="D440" s="67" t="s">
        <v>42</v>
      </c>
      <c r="E440" s="67" t="s">
        <v>43</v>
      </c>
      <c r="F440" s="67">
        <v>520</v>
      </c>
      <c r="G440" s="68">
        <v>1258.4000000000001</v>
      </c>
    </row>
    <row r="441" spans="1:7" x14ac:dyDescent="0.25">
      <c r="A441" s="67">
        <v>2007</v>
      </c>
      <c r="B441" s="67" t="s">
        <v>29</v>
      </c>
      <c r="C441" s="67" t="s">
        <v>34</v>
      </c>
      <c r="D441" s="67" t="s">
        <v>24</v>
      </c>
      <c r="E441" s="67" t="s">
        <v>47</v>
      </c>
      <c r="F441" s="67">
        <v>529</v>
      </c>
      <c r="G441" s="68">
        <v>1433.59</v>
      </c>
    </row>
    <row r="442" spans="1:7" x14ac:dyDescent="0.25">
      <c r="A442" s="67">
        <v>2005</v>
      </c>
      <c r="B442" s="67" t="s">
        <v>39</v>
      </c>
      <c r="C442" s="67" t="s">
        <v>30</v>
      </c>
      <c r="D442" s="67" t="s">
        <v>24</v>
      </c>
      <c r="E442" s="67" t="s">
        <v>25</v>
      </c>
      <c r="F442" s="67">
        <v>888</v>
      </c>
      <c r="G442" s="68">
        <v>2353.1999999999998</v>
      </c>
    </row>
    <row r="443" spans="1:7" x14ac:dyDescent="0.25">
      <c r="A443" s="67">
        <v>2007</v>
      </c>
      <c r="B443" s="67" t="s">
        <v>33</v>
      </c>
      <c r="C443" s="67" t="s">
        <v>23</v>
      </c>
      <c r="D443" s="67" t="s">
        <v>35</v>
      </c>
      <c r="E443" s="67" t="s">
        <v>46</v>
      </c>
      <c r="F443" s="67">
        <v>552</v>
      </c>
      <c r="G443" s="68">
        <v>1644.96</v>
      </c>
    </row>
    <row r="444" spans="1:7" x14ac:dyDescent="0.25">
      <c r="A444" s="67">
        <v>2007</v>
      </c>
      <c r="B444" s="67" t="s">
        <v>48</v>
      </c>
      <c r="C444" s="67" t="s">
        <v>32</v>
      </c>
      <c r="D444" s="67" t="s">
        <v>42</v>
      </c>
      <c r="E444" s="67" t="s">
        <v>53</v>
      </c>
      <c r="F444" s="67">
        <v>740</v>
      </c>
      <c r="G444" s="68">
        <v>1531.8</v>
      </c>
    </row>
    <row r="445" spans="1:7" x14ac:dyDescent="0.25">
      <c r="A445" s="67">
        <v>2005</v>
      </c>
      <c r="B445" s="67" t="s">
        <v>44</v>
      </c>
      <c r="C445" s="67" t="s">
        <v>34</v>
      </c>
      <c r="D445" s="67" t="s">
        <v>27</v>
      </c>
      <c r="E445" s="67" t="s">
        <v>49</v>
      </c>
      <c r="F445" s="67">
        <v>962</v>
      </c>
      <c r="G445" s="68">
        <v>1943.24</v>
      </c>
    </row>
    <row r="446" spans="1:7" x14ac:dyDescent="0.25">
      <c r="A446" s="67">
        <v>2005</v>
      </c>
      <c r="B446" s="67" t="s">
        <v>41</v>
      </c>
      <c r="C446" s="67" t="s">
        <v>32</v>
      </c>
      <c r="D446" s="67" t="s">
        <v>27</v>
      </c>
      <c r="E446" s="67" t="s">
        <v>49</v>
      </c>
      <c r="F446" s="67">
        <v>614</v>
      </c>
      <c r="G446" s="68">
        <v>2406.88</v>
      </c>
    </row>
    <row r="447" spans="1:7" x14ac:dyDescent="0.25">
      <c r="A447" s="67">
        <v>2005</v>
      </c>
      <c r="B447" s="67" t="s">
        <v>29</v>
      </c>
      <c r="C447" s="67" t="s">
        <v>23</v>
      </c>
      <c r="D447" s="67" t="s">
        <v>27</v>
      </c>
      <c r="E447" s="67" t="s">
        <v>28</v>
      </c>
      <c r="F447" s="67">
        <v>775</v>
      </c>
      <c r="G447" s="68">
        <v>2123.5</v>
      </c>
    </row>
    <row r="448" spans="1:7" x14ac:dyDescent="0.25">
      <c r="A448" s="67">
        <v>2006</v>
      </c>
      <c r="B448" s="67" t="s">
        <v>37</v>
      </c>
      <c r="C448" s="67" t="s">
        <v>32</v>
      </c>
      <c r="D448" s="67" t="s">
        <v>42</v>
      </c>
      <c r="E448" s="67" t="s">
        <v>45</v>
      </c>
      <c r="F448" s="67">
        <v>589</v>
      </c>
      <c r="G448" s="68">
        <v>1943.7</v>
      </c>
    </row>
    <row r="449" spans="1:7" x14ac:dyDescent="0.25">
      <c r="A449" s="67">
        <v>2006</v>
      </c>
      <c r="B449" s="67" t="s">
        <v>39</v>
      </c>
      <c r="C449" s="67" t="s">
        <v>32</v>
      </c>
      <c r="D449" s="67" t="s">
        <v>27</v>
      </c>
      <c r="E449" s="67" t="s">
        <v>28</v>
      </c>
      <c r="F449" s="67">
        <v>951</v>
      </c>
      <c r="G449" s="68">
        <v>2329.9499999999998</v>
      </c>
    </row>
    <row r="450" spans="1:7" x14ac:dyDescent="0.25">
      <c r="A450" s="67">
        <v>2007</v>
      </c>
      <c r="B450" s="67" t="s">
        <v>41</v>
      </c>
      <c r="C450" s="67" t="s">
        <v>30</v>
      </c>
      <c r="D450" s="67" t="s">
        <v>24</v>
      </c>
      <c r="E450" s="67" t="s">
        <v>31</v>
      </c>
      <c r="F450" s="67">
        <v>796</v>
      </c>
      <c r="G450" s="68">
        <v>2037.76</v>
      </c>
    </row>
    <row r="451" spans="1:7" x14ac:dyDescent="0.25">
      <c r="A451" s="67">
        <v>2006</v>
      </c>
      <c r="B451" s="67" t="s">
        <v>33</v>
      </c>
      <c r="C451" s="67" t="s">
        <v>30</v>
      </c>
      <c r="D451" s="67" t="s">
        <v>42</v>
      </c>
      <c r="E451" s="67" t="s">
        <v>45</v>
      </c>
      <c r="F451" s="67">
        <v>822</v>
      </c>
      <c r="G451" s="68">
        <v>1824.84</v>
      </c>
    </row>
    <row r="452" spans="1:7" x14ac:dyDescent="0.25">
      <c r="A452" s="67">
        <v>2007</v>
      </c>
      <c r="B452" s="67" t="s">
        <v>44</v>
      </c>
      <c r="C452" s="67" t="s">
        <v>32</v>
      </c>
      <c r="D452" s="67" t="s">
        <v>27</v>
      </c>
      <c r="E452" s="67" t="s">
        <v>55</v>
      </c>
      <c r="F452" s="67">
        <v>503</v>
      </c>
      <c r="G452" s="68">
        <v>1996.91</v>
      </c>
    </row>
    <row r="453" spans="1:7" x14ac:dyDescent="0.25">
      <c r="A453" s="67">
        <v>2007</v>
      </c>
      <c r="B453" s="67" t="s">
        <v>33</v>
      </c>
      <c r="C453" s="67" t="s">
        <v>32</v>
      </c>
      <c r="D453" s="67" t="s">
        <v>24</v>
      </c>
      <c r="E453" s="67" t="s">
        <v>31</v>
      </c>
      <c r="F453" s="67">
        <v>557</v>
      </c>
      <c r="G453" s="68">
        <v>1899.37</v>
      </c>
    </row>
    <row r="454" spans="1:7" x14ac:dyDescent="0.25">
      <c r="A454" s="67">
        <v>2005</v>
      </c>
      <c r="B454" s="67" t="s">
        <v>41</v>
      </c>
      <c r="C454" s="67" t="s">
        <v>30</v>
      </c>
      <c r="D454" s="67" t="s">
        <v>24</v>
      </c>
      <c r="E454" s="67" t="s">
        <v>31</v>
      </c>
      <c r="F454" s="67">
        <v>782</v>
      </c>
      <c r="G454" s="68">
        <v>2267.8000000000002</v>
      </c>
    </row>
    <row r="455" spans="1:7" x14ac:dyDescent="0.25">
      <c r="A455" s="67">
        <v>2005</v>
      </c>
      <c r="B455" s="67" t="s">
        <v>37</v>
      </c>
      <c r="C455" s="67" t="s">
        <v>32</v>
      </c>
      <c r="D455" s="67" t="s">
        <v>35</v>
      </c>
      <c r="E455" s="67" t="s">
        <v>38</v>
      </c>
      <c r="F455" s="67">
        <v>930</v>
      </c>
      <c r="G455" s="68">
        <v>3692.1</v>
      </c>
    </row>
    <row r="456" spans="1:7" x14ac:dyDescent="0.25">
      <c r="A456" s="67">
        <v>2006</v>
      </c>
      <c r="B456" s="67" t="s">
        <v>39</v>
      </c>
      <c r="C456" s="67" t="s">
        <v>34</v>
      </c>
      <c r="D456" s="67" t="s">
        <v>27</v>
      </c>
      <c r="E456" s="67" t="s">
        <v>55</v>
      </c>
      <c r="F456" s="67">
        <v>720</v>
      </c>
      <c r="G456" s="68">
        <v>1800</v>
      </c>
    </row>
    <row r="457" spans="1:7" x14ac:dyDescent="0.25">
      <c r="A457" s="67">
        <v>2006</v>
      </c>
      <c r="B457" s="67" t="s">
        <v>22</v>
      </c>
      <c r="C457" s="67" t="s">
        <v>23</v>
      </c>
      <c r="D457" s="67" t="s">
        <v>24</v>
      </c>
      <c r="E457" s="67" t="s">
        <v>25</v>
      </c>
      <c r="F457" s="67">
        <v>701</v>
      </c>
      <c r="G457" s="68">
        <v>2593.6999999999998</v>
      </c>
    </row>
    <row r="458" spans="1:7" x14ac:dyDescent="0.25">
      <c r="A458" s="67">
        <v>2006</v>
      </c>
      <c r="B458" s="67" t="s">
        <v>48</v>
      </c>
      <c r="C458" s="67" t="s">
        <v>34</v>
      </c>
      <c r="D458" s="67" t="s">
        <v>42</v>
      </c>
      <c r="E458" s="67" t="s">
        <v>43</v>
      </c>
      <c r="F458" s="67">
        <v>887</v>
      </c>
      <c r="G458" s="68">
        <v>3281.9</v>
      </c>
    </row>
    <row r="459" spans="1:7" x14ac:dyDescent="0.25">
      <c r="A459" s="67">
        <v>2007</v>
      </c>
      <c r="B459" s="67" t="s">
        <v>41</v>
      </c>
      <c r="C459" s="67" t="s">
        <v>32</v>
      </c>
      <c r="D459" s="67" t="s">
        <v>42</v>
      </c>
      <c r="E459" s="67" t="s">
        <v>43</v>
      </c>
      <c r="F459" s="67">
        <v>920</v>
      </c>
      <c r="G459" s="68">
        <v>2714</v>
      </c>
    </row>
    <row r="460" spans="1:7" x14ac:dyDescent="0.25">
      <c r="A460" s="67">
        <v>2006</v>
      </c>
      <c r="B460" s="67" t="s">
        <v>39</v>
      </c>
      <c r="C460" s="67" t="s">
        <v>34</v>
      </c>
      <c r="D460" s="67" t="s">
        <v>35</v>
      </c>
      <c r="E460" s="67" t="s">
        <v>40</v>
      </c>
      <c r="F460" s="67">
        <v>524</v>
      </c>
      <c r="G460" s="68">
        <v>1388.6</v>
      </c>
    </row>
    <row r="461" spans="1:7" x14ac:dyDescent="0.25">
      <c r="A461" s="67">
        <v>2007</v>
      </c>
      <c r="B461" s="67" t="s">
        <v>52</v>
      </c>
      <c r="C461" s="67" t="s">
        <v>34</v>
      </c>
      <c r="D461" s="67" t="s">
        <v>24</v>
      </c>
      <c r="E461" s="67" t="s">
        <v>47</v>
      </c>
      <c r="F461" s="67">
        <v>878</v>
      </c>
      <c r="G461" s="68">
        <v>2634</v>
      </c>
    </row>
    <row r="462" spans="1:7" x14ac:dyDescent="0.25">
      <c r="A462" s="67">
        <v>2007</v>
      </c>
      <c r="B462" s="67" t="s">
        <v>39</v>
      </c>
      <c r="C462" s="67" t="s">
        <v>34</v>
      </c>
      <c r="D462" s="67" t="s">
        <v>27</v>
      </c>
      <c r="E462" s="67" t="s">
        <v>49</v>
      </c>
      <c r="F462" s="67">
        <v>858</v>
      </c>
      <c r="G462" s="68">
        <v>3071.64</v>
      </c>
    </row>
    <row r="463" spans="1:7" x14ac:dyDescent="0.25">
      <c r="A463" s="67">
        <v>2006</v>
      </c>
      <c r="B463" s="67" t="s">
        <v>29</v>
      </c>
      <c r="C463" s="67" t="s">
        <v>23</v>
      </c>
      <c r="D463" s="67" t="s">
        <v>35</v>
      </c>
      <c r="E463" s="67" t="s">
        <v>36</v>
      </c>
      <c r="F463" s="67">
        <v>868</v>
      </c>
      <c r="G463" s="68">
        <v>2421.7199999999998</v>
      </c>
    </row>
    <row r="464" spans="1:7" x14ac:dyDescent="0.25">
      <c r="A464" s="67">
        <v>2005</v>
      </c>
      <c r="B464" s="67" t="s">
        <v>39</v>
      </c>
      <c r="C464" s="67" t="s">
        <v>23</v>
      </c>
      <c r="D464" s="67" t="s">
        <v>35</v>
      </c>
      <c r="E464" s="67" t="s">
        <v>40</v>
      </c>
      <c r="F464" s="67">
        <v>951</v>
      </c>
      <c r="G464" s="68">
        <v>3689.88</v>
      </c>
    </row>
    <row r="465" spans="1:7" x14ac:dyDescent="0.25">
      <c r="A465" s="67">
        <v>2006</v>
      </c>
      <c r="B465" s="67" t="s">
        <v>22</v>
      </c>
      <c r="C465" s="67" t="s">
        <v>23</v>
      </c>
      <c r="D465" s="67" t="s">
        <v>27</v>
      </c>
      <c r="E465" s="67" t="s">
        <v>49</v>
      </c>
      <c r="F465" s="67">
        <v>740</v>
      </c>
      <c r="G465" s="68">
        <v>1998</v>
      </c>
    </row>
    <row r="466" spans="1:7" x14ac:dyDescent="0.25">
      <c r="A466" s="67">
        <v>2005</v>
      </c>
      <c r="B466" s="67" t="s">
        <v>29</v>
      </c>
      <c r="C466" s="67" t="s">
        <v>32</v>
      </c>
      <c r="D466" s="67" t="s">
        <v>27</v>
      </c>
      <c r="E466" s="67" t="s">
        <v>55</v>
      </c>
      <c r="F466" s="67">
        <v>590</v>
      </c>
      <c r="G466" s="68">
        <v>2147.6</v>
      </c>
    </row>
    <row r="467" spans="1:7" x14ac:dyDescent="0.25">
      <c r="A467" s="67">
        <v>2007</v>
      </c>
      <c r="B467" s="67" t="s">
        <v>37</v>
      </c>
      <c r="C467" s="67" t="s">
        <v>23</v>
      </c>
      <c r="D467" s="67" t="s">
        <v>27</v>
      </c>
      <c r="E467" s="67" t="s">
        <v>49</v>
      </c>
      <c r="F467" s="67">
        <v>539</v>
      </c>
      <c r="G467" s="68">
        <v>1665.51</v>
      </c>
    </row>
    <row r="468" spans="1:7" x14ac:dyDescent="0.25">
      <c r="A468" s="67">
        <v>2005</v>
      </c>
      <c r="B468" s="67" t="s">
        <v>33</v>
      </c>
      <c r="C468" s="67" t="s">
        <v>23</v>
      </c>
      <c r="D468" s="67" t="s">
        <v>35</v>
      </c>
      <c r="E468" s="67" t="s">
        <v>40</v>
      </c>
      <c r="F468" s="67">
        <v>922</v>
      </c>
      <c r="G468" s="68">
        <v>1880.88</v>
      </c>
    </row>
    <row r="469" spans="1:7" x14ac:dyDescent="0.25">
      <c r="A469" s="67">
        <v>2005</v>
      </c>
      <c r="B469" s="67" t="s">
        <v>41</v>
      </c>
      <c r="C469" s="67" t="s">
        <v>23</v>
      </c>
      <c r="D469" s="67" t="s">
        <v>27</v>
      </c>
      <c r="E469" s="67" t="s">
        <v>28</v>
      </c>
      <c r="F469" s="67">
        <v>842</v>
      </c>
      <c r="G469" s="68">
        <v>2568.1</v>
      </c>
    </row>
    <row r="470" spans="1:7" x14ac:dyDescent="0.25">
      <c r="A470" s="67">
        <v>2006</v>
      </c>
      <c r="B470" s="67" t="s">
        <v>39</v>
      </c>
      <c r="C470" s="67" t="s">
        <v>32</v>
      </c>
      <c r="D470" s="67" t="s">
        <v>35</v>
      </c>
      <c r="E470" s="67" t="s">
        <v>40</v>
      </c>
      <c r="F470" s="67">
        <v>724</v>
      </c>
      <c r="G470" s="68">
        <v>1643.48</v>
      </c>
    </row>
    <row r="471" spans="1:7" x14ac:dyDescent="0.25">
      <c r="A471" s="67">
        <v>2005</v>
      </c>
      <c r="B471" s="67" t="s">
        <v>22</v>
      </c>
      <c r="C471" s="67" t="s">
        <v>30</v>
      </c>
      <c r="D471" s="67" t="s">
        <v>27</v>
      </c>
      <c r="E471" s="67" t="s">
        <v>49</v>
      </c>
      <c r="F471" s="67">
        <v>670</v>
      </c>
      <c r="G471" s="68">
        <v>2264.6</v>
      </c>
    </row>
    <row r="472" spans="1:7" x14ac:dyDescent="0.25">
      <c r="A472" s="67">
        <v>2007</v>
      </c>
      <c r="B472" s="67" t="s">
        <v>44</v>
      </c>
      <c r="C472" s="67" t="s">
        <v>30</v>
      </c>
      <c r="D472" s="67" t="s">
        <v>24</v>
      </c>
      <c r="E472" s="67" t="s">
        <v>25</v>
      </c>
      <c r="F472" s="67">
        <v>791</v>
      </c>
      <c r="G472" s="68">
        <v>2428.37</v>
      </c>
    </row>
    <row r="473" spans="1:7" x14ac:dyDescent="0.25">
      <c r="A473" s="67">
        <v>2005</v>
      </c>
      <c r="B473" s="67" t="s">
        <v>29</v>
      </c>
      <c r="C473" s="67" t="s">
        <v>30</v>
      </c>
      <c r="D473" s="67" t="s">
        <v>24</v>
      </c>
      <c r="E473" s="67" t="s">
        <v>47</v>
      </c>
      <c r="F473" s="67">
        <v>673</v>
      </c>
      <c r="G473" s="68">
        <v>2072.84</v>
      </c>
    </row>
    <row r="474" spans="1:7" x14ac:dyDescent="0.25">
      <c r="A474" s="67">
        <v>2005</v>
      </c>
      <c r="B474" s="67" t="s">
        <v>44</v>
      </c>
      <c r="C474" s="67" t="s">
        <v>32</v>
      </c>
      <c r="D474" s="67" t="s">
        <v>42</v>
      </c>
      <c r="E474" s="67" t="s">
        <v>45</v>
      </c>
      <c r="F474" s="67">
        <v>589</v>
      </c>
      <c r="G474" s="68">
        <v>1884.8</v>
      </c>
    </row>
    <row r="475" spans="1:7" x14ac:dyDescent="0.25">
      <c r="A475" s="67">
        <v>2006</v>
      </c>
      <c r="B475" s="67" t="s">
        <v>44</v>
      </c>
      <c r="C475" s="67" t="s">
        <v>23</v>
      </c>
      <c r="D475" s="67" t="s">
        <v>27</v>
      </c>
      <c r="E475" s="67" t="s">
        <v>55</v>
      </c>
      <c r="F475" s="67">
        <v>950</v>
      </c>
      <c r="G475" s="68">
        <v>3277.5</v>
      </c>
    </row>
    <row r="476" spans="1:7" x14ac:dyDescent="0.25">
      <c r="A476" s="67">
        <v>2006</v>
      </c>
      <c r="B476" s="67" t="s">
        <v>44</v>
      </c>
      <c r="C476" s="67" t="s">
        <v>32</v>
      </c>
      <c r="D476" s="67" t="s">
        <v>24</v>
      </c>
      <c r="E476" s="67" t="s">
        <v>25</v>
      </c>
      <c r="F476" s="67">
        <v>921</v>
      </c>
      <c r="G476" s="68">
        <v>2984.04</v>
      </c>
    </row>
    <row r="477" spans="1:7" x14ac:dyDescent="0.25">
      <c r="A477" s="67">
        <v>2006</v>
      </c>
      <c r="B477" s="67" t="s">
        <v>50</v>
      </c>
      <c r="C477" s="67" t="s">
        <v>23</v>
      </c>
      <c r="D477" s="67" t="s">
        <v>27</v>
      </c>
      <c r="E477" s="67" t="s">
        <v>49</v>
      </c>
      <c r="F477" s="67">
        <v>912</v>
      </c>
      <c r="G477" s="68">
        <v>3556.8</v>
      </c>
    </row>
    <row r="478" spans="1:7" x14ac:dyDescent="0.25">
      <c r="A478" s="67">
        <v>2007</v>
      </c>
      <c r="B478" s="67" t="s">
        <v>51</v>
      </c>
      <c r="C478" s="67" t="s">
        <v>23</v>
      </c>
      <c r="D478" s="67" t="s">
        <v>27</v>
      </c>
      <c r="E478" s="67" t="s">
        <v>55</v>
      </c>
      <c r="F478" s="67">
        <v>640</v>
      </c>
      <c r="G478" s="68">
        <v>1984</v>
      </c>
    </row>
    <row r="479" spans="1:7" x14ac:dyDescent="0.25">
      <c r="A479" s="67">
        <v>2006</v>
      </c>
      <c r="B479" s="67" t="s">
        <v>51</v>
      </c>
      <c r="C479" s="67" t="s">
        <v>23</v>
      </c>
      <c r="D479" s="67" t="s">
        <v>42</v>
      </c>
      <c r="E479" s="67" t="s">
        <v>53</v>
      </c>
      <c r="F479" s="67">
        <v>891</v>
      </c>
      <c r="G479" s="68">
        <v>3109.59</v>
      </c>
    </row>
    <row r="480" spans="1:7" x14ac:dyDescent="0.25">
      <c r="A480" s="67">
        <v>2006</v>
      </c>
      <c r="B480" s="67" t="s">
        <v>51</v>
      </c>
      <c r="C480" s="67" t="s">
        <v>34</v>
      </c>
      <c r="D480" s="67" t="s">
        <v>24</v>
      </c>
      <c r="E480" s="67" t="s">
        <v>31</v>
      </c>
      <c r="F480" s="67">
        <v>986</v>
      </c>
      <c r="G480" s="68">
        <v>3796.1</v>
      </c>
    </row>
    <row r="481" spans="1:7" x14ac:dyDescent="0.25">
      <c r="A481" s="67">
        <v>2006</v>
      </c>
      <c r="B481" s="67" t="s">
        <v>22</v>
      </c>
      <c r="C481" s="67" t="s">
        <v>30</v>
      </c>
      <c r="D481" s="67" t="s">
        <v>42</v>
      </c>
      <c r="E481" s="67" t="s">
        <v>45</v>
      </c>
      <c r="F481" s="67">
        <v>788</v>
      </c>
      <c r="G481" s="68">
        <v>2663.44</v>
      </c>
    </row>
    <row r="482" spans="1:7" x14ac:dyDescent="0.25">
      <c r="A482" s="67">
        <v>2006</v>
      </c>
      <c r="B482" s="67" t="s">
        <v>26</v>
      </c>
      <c r="C482" s="67" t="s">
        <v>23</v>
      </c>
      <c r="D482" s="67" t="s">
        <v>27</v>
      </c>
      <c r="E482" s="67" t="s">
        <v>49</v>
      </c>
      <c r="F482" s="67">
        <v>700</v>
      </c>
      <c r="G482" s="68">
        <v>2030</v>
      </c>
    </row>
    <row r="483" spans="1:7" x14ac:dyDescent="0.25">
      <c r="A483" s="67">
        <v>2005</v>
      </c>
      <c r="B483" s="67" t="s">
        <v>33</v>
      </c>
      <c r="C483" s="67" t="s">
        <v>32</v>
      </c>
      <c r="D483" s="67" t="s">
        <v>24</v>
      </c>
      <c r="E483" s="67" t="s">
        <v>31</v>
      </c>
      <c r="F483" s="67">
        <v>773</v>
      </c>
      <c r="G483" s="68">
        <v>2744.15</v>
      </c>
    </row>
    <row r="484" spans="1:7" x14ac:dyDescent="0.25">
      <c r="A484" s="67">
        <v>2006</v>
      </c>
      <c r="B484" s="67" t="s">
        <v>50</v>
      </c>
      <c r="C484" s="67" t="s">
        <v>30</v>
      </c>
      <c r="D484" s="67" t="s">
        <v>42</v>
      </c>
      <c r="E484" s="67" t="s">
        <v>53</v>
      </c>
      <c r="F484" s="67">
        <v>611</v>
      </c>
      <c r="G484" s="68">
        <v>1276.99</v>
      </c>
    </row>
    <row r="485" spans="1:7" x14ac:dyDescent="0.25">
      <c r="A485" s="67">
        <v>2007</v>
      </c>
      <c r="B485" s="67" t="s">
        <v>37</v>
      </c>
      <c r="C485" s="67" t="s">
        <v>30</v>
      </c>
      <c r="D485" s="67" t="s">
        <v>35</v>
      </c>
      <c r="E485" s="67" t="s">
        <v>40</v>
      </c>
      <c r="F485" s="67">
        <v>573</v>
      </c>
      <c r="G485" s="68">
        <v>1833.6</v>
      </c>
    </row>
    <row r="486" spans="1:7" x14ac:dyDescent="0.25">
      <c r="A486" s="67">
        <v>2007</v>
      </c>
      <c r="B486" s="67" t="s">
        <v>37</v>
      </c>
      <c r="C486" s="67" t="s">
        <v>23</v>
      </c>
      <c r="D486" s="67" t="s">
        <v>35</v>
      </c>
      <c r="E486" s="67" t="s">
        <v>36</v>
      </c>
      <c r="F486" s="67">
        <v>821</v>
      </c>
      <c r="G486" s="68">
        <v>1756.94</v>
      </c>
    </row>
    <row r="487" spans="1:7" x14ac:dyDescent="0.25">
      <c r="A487" s="67">
        <v>2005</v>
      </c>
      <c r="B487" s="67" t="s">
        <v>22</v>
      </c>
      <c r="C487" s="67" t="s">
        <v>30</v>
      </c>
      <c r="D487" s="67" t="s">
        <v>24</v>
      </c>
      <c r="E487" s="67" t="s">
        <v>47</v>
      </c>
      <c r="F487" s="67">
        <v>699</v>
      </c>
      <c r="G487" s="68">
        <v>2656.2</v>
      </c>
    </row>
    <row r="488" spans="1:7" x14ac:dyDescent="0.25">
      <c r="A488" s="67">
        <v>2005</v>
      </c>
      <c r="B488" s="67" t="s">
        <v>44</v>
      </c>
      <c r="C488" s="67" t="s">
        <v>23</v>
      </c>
      <c r="D488" s="67" t="s">
        <v>27</v>
      </c>
      <c r="E488" s="67" t="s">
        <v>55</v>
      </c>
      <c r="F488" s="67">
        <v>784</v>
      </c>
      <c r="G488" s="68">
        <v>1936.48</v>
      </c>
    </row>
    <row r="489" spans="1:7" x14ac:dyDescent="0.25">
      <c r="A489" s="67">
        <v>2005</v>
      </c>
      <c r="B489" s="67" t="s">
        <v>50</v>
      </c>
      <c r="C489" s="67" t="s">
        <v>32</v>
      </c>
      <c r="D489" s="67" t="s">
        <v>35</v>
      </c>
      <c r="E489" s="67" t="s">
        <v>40</v>
      </c>
      <c r="F489" s="67">
        <v>737</v>
      </c>
      <c r="G489" s="68">
        <v>2859.56</v>
      </c>
    </row>
    <row r="490" spans="1:7" x14ac:dyDescent="0.25">
      <c r="A490" s="67">
        <v>2007</v>
      </c>
      <c r="B490" s="67" t="s">
        <v>52</v>
      </c>
      <c r="C490" s="67" t="s">
        <v>32</v>
      </c>
      <c r="D490" s="67" t="s">
        <v>42</v>
      </c>
      <c r="E490" s="67" t="s">
        <v>43</v>
      </c>
      <c r="F490" s="67">
        <v>621</v>
      </c>
      <c r="G490" s="68">
        <v>2285.2800000000002</v>
      </c>
    </row>
    <row r="491" spans="1:7" x14ac:dyDescent="0.25">
      <c r="A491" s="67">
        <v>2006</v>
      </c>
      <c r="B491" s="67" t="s">
        <v>41</v>
      </c>
      <c r="C491" s="67" t="s">
        <v>30</v>
      </c>
      <c r="D491" s="67" t="s">
        <v>24</v>
      </c>
      <c r="E491" s="67" t="s">
        <v>25</v>
      </c>
      <c r="F491" s="67">
        <v>991</v>
      </c>
      <c r="G491" s="68">
        <v>3141.47</v>
      </c>
    </row>
    <row r="492" spans="1:7" x14ac:dyDescent="0.25">
      <c r="A492" s="67">
        <v>2006</v>
      </c>
      <c r="B492" s="67" t="s">
        <v>50</v>
      </c>
      <c r="C492" s="67" t="s">
        <v>30</v>
      </c>
      <c r="D492" s="67" t="s">
        <v>35</v>
      </c>
      <c r="E492" s="67" t="s">
        <v>40</v>
      </c>
      <c r="F492" s="67">
        <v>567</v>
      </c>
      <c r="G492" s="68">
        <v>1508.22</v>
      </c>
    </row>
    <row r="493" spans="1:7" x14ac:dyDescent="0.25">
      <c r="A493" s="67">
        <v>2005</v>
      </c>
      <c r="B493" s="67" t="s">
        <v>51</v>
      </c>
      <c r="C493" s="67" t="s">
        <v>32</v>
      </c>
      <c r="D493" s="67" t="s">
        <v>42</v>
      </c>
      <c r="E493" s="67" t="s">
        <v>45</v>
      </c>
      <c r="F493" s="67">
        <v>897</v>
      </c>
      <c r="G493" s="68">
        <v>1874.73</v>
      </c>
    </row>
    <row r="494" spans="1:7" x14ac:dyDescent="0.25">
      <c r="A494" s="67">
        <v>2007</v>
      </c>
      <c r="B494" s="67" t="s">
        <v>39</v>
      </c>
      <c r="C494" s="67" t="s">
        <v>30</v>
      </c>
      <c r="D494" s="67" t="s">
        <v>35</v>
      </c>
      <c r="E494" s="67" t="s">
        <v>36</v>
      </c>
      <c r="F494" s="67">
        <v>676</v>
      </c>
      <c r="G494" s="68">
        <v>2676.96</v>
      </c>
    </row>
    <row r="495" spans="1:7" x14ac:dyDescent="0.25">
      <c r="A495" s="67">
        <v>2005</v>
      </c>
      <c r="B495" s="67" t="s">
        <v>22</v>
      </c>
      <c r="C495" s="67" t="s">
        <v>34</v>
      </c>
      <c r="D495" s="67" t="s">
        <v>35</v>
      </c>
      <c r="E495" s="67" t="s">
        <v>40</v>
      </c>
      <c r="F495" s="67">
        <v>892</v>
      </c>
      <c r="G495" s="68">
        <v>2007</v>
      </c>
    </row>
    <row r="496" spans="1:7" x14ac:dyDescent="0.25">
      <c r="A496" s="67">
        <v>2005</v>
      </c>
      <c r="B496" s="67" t="s">
        <v>51</v>
      </c>
      <c r="C496" s="67" t="s">
        <v>32</v>
      </c>
      <c r="D496" s="67" t="s">
        <v>42</v>
      </c>
      <c r="E496" s="67" t="s">
        <v>53</v>
      </c>
      <c r="F496" s="67">
        <v>650</v>
      </c>
      <c r="G496" s="68">
        <v>2515.5</v>
      </c>
    </row>
    <row r="497" spans="1:7" x14ac:dyDescent="0.25">
      <c r="A497" s="67">
        <v>2007</v>
      </c>
      <c r="B497" s="67" t="s">
        <v>26</v>
      </c>
      <c r="C497" s="67" t="s">
        <v>30</v>
      </c>
      <c r="D497" s="67" t="s">
        <v>24</v>
      </c>
      <c r="E497" s="67" t="s">
        <v>31</v>
      </c>
      <c r="F497" s="67">
        <v>625</v>
      </c>
      <c r="G497" s="68">
        <v>1950</v>
      </c>
    </row>
    <row r="498" spans="1:7" x14ac:dyDescent="0.25">
      <c r="A498" s="67">
        <v>2005</v>
      </c>
      <c r="B498" s="67" t="s">
        <v>48</v>
      </c>
      <c r="C498" s="67" t="s">
        <v>34</v>
      </c>
      <c r="D498" s="67" t="s">
        <v>35</v>
      </c>
      <c r="E498" s="67" t="s">
        <v>36</v>
      </c>
      <c r="F498" s="67">
        <v>862</v>
      </c>
      <c r="G498" s="68">
        <v>2982.52</v>
      </c>
    </row>
    <row r="499" spans="1:7" x14ac:dyDescent="0.25">
      <c r="A499" s="67">
        <v>2007</v>
      </c>
      <c r="B499" s="67" t="s">
        <v>44</v>
      </c>
      <c r="C499" s="67" t="s">
        <v>30</v>
      </c>
      <c r="D499" s="67" t="s">
        <v>42</v>
      </c>
      <c r="E499" s="67" t="s">
        <v>53</v>
      </c>
      <c r="F499" s="67">
        <v>935</v>
      </c>
      <c r="G499" s="68">
        <v>3160.3</v>
      </c>
    </row>
    <row r="500" spans="1:7" x14ac:dyDescent="0.25">
      <c r="A500" s="67">
        <v>2005</v>
      </c>
      <c r="B500" s="67" t="s">
        <v>33</v>
      </c>
      <c r="C500" s="67" t="s">
        <v>30</v>
      </c>
      <c r="D500" s="67" t="s">
        <v>24</v>
      </c>
      <c r="E500" s="67" t="s">
        <v>25</v>
      </c>
      <c r="F500" s="67">
        <v>850</v>
      </c>
      <c r="G500" s="68">
        <v>1717</v>
      </c>
    </row>
    <row r="501" spans="1:7" x14ac:dyDescent="0.25">
      <c r="A501" s="67">
        <v>2006</v>
      </c>
      <c r="B501" s="67" t="s">
        <v>52</v>
      </c>
      <c r="C501" s="67" t="s">
        <v>34</v>
      </c>
      <c r="D501" s="67" t="s">
        <v>24</v>
      </c>
      <c r="E501" s="67" t="s">
        <v>54</v>
      </c>
      <c r="F501" s="67">
        <v>610</v>
      </c>
      <c r="G501" s="68">
        <v>1708</v>
      </c>
    </row>
    <row r="502" spans="1:7" x14ac:dyDescent="0.25">
      <c r="A502" s="67">
        <v>2006</v>
      </c>
      <c r="B502" s="67" t="s">
        <v>41</v>
      </c>
      <c r="C502" s="67" t="s">
        <v>23</v>
      </c>
      <c r="D502" s="67" t="s">
        <v>24</v>
      </c>
      <c r="E502" s="67" t="s">
        <v>25</v>
      </c>
      <c r="F502" s="67">
        <v>970</v>
      </c>
      <c r="G502" s="68">
        <v>2648.1</v>
      </c>
    </row>
    <row r="503" spans="1:7" x14ac:dyDescent="0.25">
      <c r="A503" s="67">
        <v>2006</v>
      </c>
      <c r="B503" s="67" t="s">
        <v>50</v>
      </c>
      <c r="C503" s="67" t="s">
        <v>30</v>
      </c>
      <c r="D503" s="67" t="s">
        <v>24</v>
      </c>
      <c r="E503" s="67" t="s">
        <v>31</v>
      </c>
      <c r="F503" s="67">
        <v>918</v>
      </c>
      <c r="G503" s="68">
        <v>3470.04</v>
      </c>
    </row>
    <row r="504" spans="1:7" x14ac:dyDescent="0.25">
      <c r="A504" s="67">
        <v>2005</v>
      </c>
      <c r="B504" s="67" t="s">
        <v>48</v>
      </c>
      <c r="C504" s="67" t="s">
        <v>23</v>
      </c>
      <c r="D504" s="67" t="s">
        <v>42</v>
      </c>
      <c r="E504" s="67" t="s">
        <v>53</v>
      </c>
      <c r="F504" s="67">
        <v>853</v>
      </c>
      <c r="G504" s="68">
        <v>2362.81</v>
      </c>
    </row>
    <row r="505" spans="1:7" x14ac:dyDescent="0.25">
      <c r="A505" s="67">
        <v>2007</v>
      </c>
      <c r="B505" s="67" t="s">
        <v>52</v>
      </c>
      <c r="C505" s="67" t="s">
        <v>30</v>
      </c>
      <c r="D505" s="67" t="s">
        <v>24</v>
      </c>
      <c r="E505" s="67" t="s">
        <v>31</v>
      </c>
      <c r="F505" s="67">
        <v>744</v>
      </c>
      <c r="G505" s="68">
        <v>2946.24</v>
      </c>
    </row>
    <row r="506" spans="1:7" x14ac:dyDescent="0.25">
      <c r="A506" s="67">
        <v>2006</v>
      </c>
      <c r="B506" s="67" t="s">
        <v>26</v>
      </c>
      <c r="C506" s="67" t="s">
        <v>30</v>
      </c>
      <c r="D506" s="67" t="s">
        <v>24</v>
      </c>
      <c r="E506" s="67" t="s">
        <v>47</v>
      </c>
      <c r="F506" s="67">
        <v>964</v>
      </c>
      <c r="G506" s="68">
        <v>3161.92</v>
      </c>
    </row>
    <row r="507" spans="1:7" x14ac:dyDescent="0.25">
      <c r="A507" s="67">
        <v>2005</v>
      </c>
      <c r="B507" s="67" t="s">
        <v>22</v>
      </c>
      <c r="C507" s="67" t="s">
        <v>34</v>
      </c>
      <c r="D507" s="67" t="s">
        <v>42</v>
      </c>
      <c r="E507" s="67" t="s">
        <v>45</v>
      </c>
      <c r="F507" s="67">
        <v>629</v>
      </c>
      <c r="G507" s="68">
        <v>2113.44</v>
      </c>
    </row>
    <row r="508" spans="1:7" x14ac:dyDescent="0.25">
      <c r="A508" s="67">
        <v>2005</v>
      </c>
      <c r="B508" s="67" t="s">
        <v>41</v>
      </c>
      <c r="C508" s="67" t="s">
        <v>30</v>
      </c>
      <c r="D508" s="67" t="s">
        <v>27</v>
      </c>
      <c r="E508" s="67" t="s">
        <v>28</v>
      </c>
      <c r="F508" s="67">
        <v>712</v>
      </c>
      <c r="G508" s="68">
        <v>2363.84</v>
      </c>
    </row>
    <row r="509" spans="1:7" x14ac:dyDescent="0.25">
      <c r="A509" s="67">
        <v>2005</v>
      </c>
      <c r="B509" s="67" t="s">
        <v>52</v>
      </c>
      <c r="C509" s="67" t="s">
        <v>30</v>
      </c>
      <c r="D509" s="67" t="s">
        <v>35</v>
      </c>
      <c r="E509" s="67" t="s">
        <v>36</v>
      </c>
      <c r="F509" s="67">
        <v>800</v>
      </c>
      <c r="G509" s="68">
        <v>3184</v>
      </c>
    </row>
    <row r="510" spans="1:7" x14ac:dyDescent="0.25">
      <c r="A510" s="67">
        <v>2006</v>
      </c>
      <c r="B510" s="67" t="s">
        <v>52</v>
      </c>
      <c r="C510" s="67" t="s">
        <v>34</v>
      </c>
      <c r="D510" s="67" t="s">
        <v>42</v>
      </c>
      <c r="E510" s="67" t="s">
        <v>43</v>
      </c>
      <c r="F510" s="67">
        <v>734</v>
      </c>
      <c r="G510" s="68">
        <v>2216.6799999999998</v>
      </c>
    </row>
    <row r="511" spans="1:7" x14ac:dyDescent="0.25">
      <c r="A511" s="67">
        <v>2005</v>
      </c>
      <c r="B511" s="67" t="s">
        <v>39</v>
      </c>
      <c r="C511" s="67" t="s">
        <v>32</v>
      </c>
      <c r="D511" s="67" t="s">
        <v>27</v>
      </c>
      <c r="E511" s="67" t="s">
        <v>49</v>
      </c>
      <c r="F511" s="67">
        <v>762</v>
      </c>
      <c r="G511" s="68">
        <v>1790.7</v>
      </c>
    </row>
    <row r="512" spans="1:7" x14ac:dyDescent="0.25">
      <c r="A512" s="67">
        <v>2005</v>
      </c>
      <c r="B512" s="67" t="s">
        <v>26</v>
      </c>
      <c r="C512" s="67" t="s">
        <v>32</v>
      </c>
      <c r="D512" s="67" t="s">
        <v>24</v>
      </c>
      <c r="E512" s="67" t="s">
        <v>31</v>
      </c>
      <c r="F512" s="67">
        <v>512</v>
      </c>
      <c r="G512" s="68">
        <v>2027.52</v>
      </c>
    </row>
    <row r="513" spans="1:7" x14ac:dyDescent="0.25">
      <c r="A513" s="67">
        <v>2006</v>
      </c>
      <c r="B513" s="67" t="s">
        <v>51</v>
      </c>
      <c r="C513" s="67" t="s">
        <v>30</v>
      </c>
      <c r="D513" s="67" t="s">
        <v>24</v>
      </c>
      <c r="E513" s="67" t="s">
        <v>54</v>
      </c>
      <c r="F513" s="67">
        <v>590</v>
      </c>
      <c r="G513" s="68">
        <v>1256.7</v>
      </c>
    </row>
    <row r="514" spans="1:7" x14ac:dyDescent="0.25">
      <c r="A514" s="67">
        <v>2005</v>
      </c>
      <c r="B514" s="67" t="s">
        <v>50</v>
      </c>
      <c r="C514" s="67" t="s">
        <v>34</v>
      </c>
      <c r="D514" s="67" t="s">
        <v>24</v>
      </c>
      <c r="E514" s="67" t="s">
        <v>25</v>
      </c>
      <c r="F514" s="67">
        <v>694</v>
      </c>
      <c r="G514" s="68">
        <v>2130.58</v>
      </c>
    </row>
    <row r="515" spans="1:7" x14ac:dyDescent="0.25">
      <c r="A515" s="67">
        <v>2007</v>
      </c>
      <c r="B515" s="67" t="s">
        <v>48</v>
      </c>
      <c r="C515" s="67" t="s">
        <v>34</v>
      </c>
      <c r="D515" s="67" t="s">
        <v>35</v>
      </c>
      <c r="E515" s="67" t="s">
        <v>38</v>
      </c>
      <c r="F515" s="67">
        <v>933</v>
      </c>
      <c r="G515" s="68">
        <v>3498.75</v>
      </c>
    </row>
    <row r="516" spans="1:7" x14ac:dyDescent="0.25">
      <c r="A516" s="67">
        <v>2005</v>
      </c>
      <c r="B516" s="67" t="s">
        <v>48</v>
      </c>
      <c r="C516" s="67" t="s">
        <v>30</v>
      </c>
      <c r="D516" s="67" t="s">
        <v>27</v>
      </c>
      <c r="E516" s="67" t="s">
        <v>55</v>
      </c>
      <c r="F516" s="67">
        <v>916</v>
      </c>
      <c r="G516" s="68">
        <v>3370.88</v>
      </c>
    </row>
    <row r="517" spans="1:7" x14ac:dyDescent="0.25">
      <c r="A517" s="67">
        <v>2007</v>
      </c>
      <c r="B517" s="67" t="s">
        <v>52</v>
      </c>
      <c r="C517" s="67" t="s">
        <v>23</v>
      </c>
      <c r="D517" s="67" t="s">
        <v>42</v>
      </c>
      <c r="E517" s="67" t="s">
        <v>45</v>
      </c>
      <c r="F517" s="67">
        <v>539</v>
      </c>
      <c r="G517" s="68">
        <v>1891.89</v>
      </c>
    </row>
    <row r="518" spans="1:7" x14ac:dyDescent="0.25">
      <c r="A518" s="67">
        <v>2005</v>
      </c>
      <c r="B518" s="67" t="s">
        <v>48</v>
      </c>
      <c r="C518" s="67" t="s">
        <v>23</v>
      </c>
      <c r="D518" s="67" t="s">
        <v>35</v>
      </c>
      <c r="E518" s="67" t="s">
        <v>46</v>
      </c>
      <c r="F518" s="67">
        <v>833</v>
      </c>
      <c r="G518" s="68">
        <v>2832.2</v>
      </c>
    </row>
    <row r="519" spans="1:7" x14ac:dyDescent="0.25">
      <c r="A519" s="67">
        <v>2005</v>
      </c>
      <c r="B519" s="67" t="s">
        <v>33</v>
      </c>
      <c r="C519" s="67" t="s">
        <v>23</v>
      </c>
      <c r="D519" s="67" t="s">
        <v>24</v>
      </c>
      <c r="E519" s="67" t="s">
        <v>54</v>
      </c>
      <c r="F519" s="67">
        <v>964</v>
      </c>
      <c r="G519" s="68">
        <v>2400.36</v>
      </c>
    </row>
    <row r="520" spans="1:7" x14ac:dyDescent="0.25">
      <c r="A520" s="67">
        <v>2005</v>
      </c>
      <c r="B520" s="67" t="s">
        <v>44</v>
      </c>
      <c r="C520" s="67" t="s">
        <v>32</v>
      </c>
      <c r="D520" s="67" t="s">
        <v>35</v>
      </c>
      <c r="E520" s="67" t="s">
        <v>38</v>
      </c>
      <c r="F520" s="67">
        <v>707</v>
      </c>
      <c r="G520" s="68">
        <v>2792.65</v>
      </c>
    </row>
    <row r="521" spans="1:7" x14ac:dyDescent="0.25">
      <c r="A521" s="67">
        <v>2007</v>
      </c>
      <c r="B521" s="67" t="s">
        <v>39</v>
      </c>
      <c r="C521" s="67" t="s">
        <v>32</v>
      </c>
      <c r="D521" s="67" t="s">
        <v>35</v>
      </c>
      <c r="E521" s="67" t="s">
        <v>36</v>
      </c>
      <c r="F521" s="67">
        <v>517</v>
      </c>
      <c r="G521" s="68">
        <v>1566.51</v>
      </c>
    </row>
    <row r="522" spans="1:7" x14ac:dyDescent="0.25">
      <c r="A522" s="67">
        <v>2006</v>
      </c>
      <c r="B522" s="67" t="s">
        <v>41</v>
      </c>
      <c r="C522" s="67" t="s">
        <v>34</v>
      </c>
      <c r="D522" s="67" t="s">
        <v>35</v>
      </c>
      <c r="E522" s="67" t="s">
        <v>38</v>
      </c>
      <c r="F522" s="67">
        <v>755</v>
      </c>
      <c r="G522" s="68">
        <v>1532.65</v>
      </c>
    </row>
    <row r="523" spans="1:7" x14ac:dyDescent="0.25">
      <c r="A523" s="67">
        <v>2007</v>
      </c>
      <c r="B523" s="67" t="s">
        <v>50</v>
      </c>
      <c r="C523" s="67" t="s">
        <v>30</v>
      </c>
      <c r="D523" s="67" t="s">
        <v>35</v>
      </c>
      <c r="E523" s="67" t="s">
        <v>40</v>
      </c>
      <c r="F523" s="67">
        <v>964</v>
      </c>
      <c r="G523" s="68">
        <v>3316.16</v>
      </c>
    </row>
    <row r="524" spans="1:7" x14ac:dyDescent="0.25">
      <c r="A524" s="67">
        <v>2006</v>
      </c>
      <c r="B524" s="67" t="s">
        <v>22</v>
      </c>
      <c r="C524" s="67" t="s">
        <v>34</v>
      </c>
      <c r="D524" s="67" t="s">
        <v>35</v>
      </c>
      <c r="E524" s="67" t="s">
        <v>36</v>
      </c>
      <c r="F524" s="67">
        <v>632</v>
      </c>
      <c r="G524" s="68">
        <v>1813.84</v>
      </c>
    </row>
    <row r="525" spans="1:7" x14ac:dyDescent="0.25">
      <c r="A525" s="67">
        <v>2007</v>
      </c>
      <c r="B525" s="67" t="s">
        <v>39</v>
      </c>
      <c r="C525" s="67" t="s">
        <v>23</v>
      </c>
      <c r="D525" s="67" t="s">
        <v>35</v>
      </c>
      <c r="E525" s="67" t="s">
        <v>40</v>
      </c>
      <c r="F525" s="67">
        <v>516</v>
      </c>
      <c r="G525" s="68">
        <v>1738.92</v>
      </c>
    </row>
    <row r="526" spans="1:7" x14ac:dyDescent="0.25">
      <c r="A526" s="67">
        <v>2005</v>
      </c>
      <c r="B526" s="67" t="s">
        <v>48</v>
      </c>
      <c r="C526" s="67" t="s">
        <v>32</v>
      </c>
      <c r="D526" s="67" t="s">
        <v>27</v>
      </c>
      <c r="E526" s="67" t="s">
        <v>55</v>
      </c>
      <c r="F526" s="67">
        <v>819</v>
      </c>
      <c r="G526" s="68">
        <v>3104.01</v>
      </c>
    </row>
    <row r="527" spans="1:7" x14ac:dyDescent="0.25">
      <c r="A527" s="67">
        <v>2006</v>
      </c>
      <c r="B527" s="67" t="s">
        <v>52</v>
      </c>
      <c r="C527" s="67" t="s">
        <v>30</v>
      </c>
      <c r="D527" s="67" t="s">
        <v>27</v>
      </c>
      <c r="E527" s="67" t="s">
        <v>55</v>
      </c>
      <c r="F527" s="67">
        <v>608</v>
      </c>
      <c r="G527" s="68">
        <v>1483.52</v>
      </c>
    </row>
    <row r="528" spans="1:7" x14ac:dyDescent="0.25">
      <c r="A528" s="67">
        <v>2007</v>
      </c>
      <c r="B528" s="67" t="s">
        <v>44</v>
      </c>
      <c r="C528" s="67" t="s">
        <v>23</v>
      </c>
      <c r="D528" s="67" t="s">
        <v>27</v>
      </c>
      <c r="E528" s="67" t="s">
        <v>28</v>
      </c>
      <c r="F528" s="67">
        <v>868</v>
      </c>
      <c r="G528" s="68">
        <v>2282.84</v>
      </c>
    </row>
    <row r="529" spans="1:7" x14ac:dyDescent="0.25">
      <c r="A529" s="67">
        <v>2006</v>
      </c>
      <c r="B529" s="67" t="s">
        <v>39</v>
      </c>
      <c r="C529" s="67" t="s">
        <v>32</v>
      </c>
      <c r="D529" s="67" t="s">
        <v>35</v>
      </c>
      <c r="E529" s="67" t="s">
        <v>40</v>
      </c>
      <c r="F529" s="67">
        <v>593</v>
      </c>
      <c r="G529" s="68">
        <v>1666.33</v>
      </c>
    </row>
    <row r="530" spans="1:7" x14ac:dyDescent="0.25">
      <c r="A530" s="67">
        <v>2007</v>
      </c>
      <c r="B530" s="67" t="s">
        <v>48</v>
      </c>
      <c r="C530" s="67" t="s">
        <v>34</v>
      </c>
      <c r="D530" s="67" t="s">
        <v>35</v>
      </c>
      <c r="E530" s="67" t="s">
        <v>46</v>
      </c>
      <c r="F530" s="67">
        <v>984</v>
      </c>
      <c r="G530" s="68">
        <v>2351.7600000000002</v>
      </c>
    </row>
    <row r="531" spans="1:7" x14ac:dyDescent="0.25">
      <c r="A531" s="67">
        <v>2005</v>
      </c>
      <c r="B531" s="67" t="s">
        <v>29</v>
      </c>
      <c r="C531" s="67" t="s">
        <v>30</v>
      </c>
      <c r="D531" s="67" t="s">
        <v>42</v>
      </c>
      <c r="E531" s="67" t="s">
        <v>45</v>
      </c>
      <c r="F531" s="67">
        <v>624</v>
      </c>
      <c r="G531" s="68">
        <v>1709.76</v>
      </c>
    </row>
    <row r="532" spans="1:7" x14ac:dyDescent="0.25">
      <c r="A532" s="67">
        <v>2005</v>
      </c>
      <c r="B532" s="67" t="s">
        <v>37</v>
      </c>
      <c r="C532" s="67" t="s">
        <v>32</v>
      </c>
      <c r="D532" s="67" t="s">
        <v>27</v>
      </c>
      <c r="E532" s="67" t="s">
        <v>55</v>
      </c>
      <c r="F532" s="67">
        <v>528</v>
      </c>
      <c r="G532" s="68">
        <v>1832.16</v>
      </c>
    </row>
    <row r="533" spans="1:7" x14ac:dyDescent="0.25">
      <c r="A533" s="67">
        <v>2007</v>
      </c>
      <c r="B533" s="67" t="s">
        <v>52</v>
      </c>
      <c r="C533" s="67" t="s">
        <v>34</v>
      </c>
      <c r="D533" s="67" t="s">
        <v>42</v>
      </c>
      <c r="E533" s="67" t="s">
        <v>45</v>
      </c>
      <c r="F533" s="67">
        <v>724</v>
      </c>
      <c r="G533" s="68">
        <v>1976.52</v>
      </c>
    </row>
    <row r="534" spans="1:7" x14ac:dyDescent="0.25">
      <c r="A534" s="67">
        <v>2005</v>
      </c>
      <c r="B534" s="67" t="s">
        <v>39</v>
      </c>
      <c r="C534" s="67" t="s">
        <v>23</v>
      </c>
      <c r="D534" s="67" t="s">
        <v>24</v>
      </c>
      <c r="E534" s="67" t="s">
        <v>54</v>
      </c>
      <c r="F534" s="67">
        <v>600</v>
      </c>
      <c r="G534" s="68">
        <v>1950</v>
      </c>
    </row>
    <row r="535" spans="1:7" x14ac:dyDescent="0.25">
      <c r="A535" s="67">
        <v>2006</v>
      </c>
      <c r="B535" s="67" t="s">
        <v>51</v>
      </c>
      <c r="C535" s="67" t="s">
        <v>32</v>
      </c>
      <c r="D535" s="67" t="s">
        <v>24</v>
      </c>
      <c r="E535" s="67" t="s">
        <v>54</v>
      </c>
      <c r="F535" s="67">
        <v>660</v>
      </c>
      <c r="G535" s="68">
        <v>1821.6</v>
      </c>
    </row>
    <row r="536" spans="1:7" x14ac:dyDescent="0.25">
      <c r="A536" s="67">
        <v>2007</v>
      </c>
      <c r="B536" s="67" t="s">
        <v>29</v>
      </c>
      <c r="C536" s="67" t="s">
        <v>32</v>
      </c>
      <c r="D536" s="67" t="s">
        <v>24</v>
      </c>
      <c r="E536" s="67" t="s">
        <v>31</v>
      </c>
      <c r="F536" s="67">
        <v>514</v>
      </c>
      <c r="G536" s="68">
        <v>1870.96</v>
      </c>
    </row>
    <row r="537" spans="1:7" x14ac:dyDescent="0.25">
      <c r="A537" s="67">
        <v>2006</v>
      </c>
      <c r="B537" s="67" t="s">
        <v>52</v>
      </c>
      <c r="C537" s="67" t="s">
        <v>34</v>
      </c>
      <c r="D537" s="67" t="s">
        <v>27</v>
      </c>
      <c r="E537" s="67" t="s">
        <v>28</v>
      </c>
      <c r="F537" s="67">
        <v>516</v>
      </c>
      <c r="G537" s="68">
        <v>1176.48</v>
      </c>
    </row>
    <row r="538" spans="1:7" x14ac:dyDescent="0.25">
      <c r="A538" s="67">
        <v>2005</v>
      </c>
      <c r="B538" s="67" t="s">
        <v>37</v>
      </c>
      <c r="C538" s="67" t="s">
        <v>23</v>
      </c>
      <c r="D538" s="67" t="s">
        <v>24</v>
      </c>
      <c r="E538" s="67" t="s">
        <v>47</v>
      </c>
      <c r="F538" s="67">
        <v>887</v>
      </c>
      <c r="G538" s="68">
        <v>2838.4</v>
      </c>
    </row>
    <row r="539" spans="1:7" x14ac:dyDescent="0.25">
      <c r="A539" s="67">
        <v>2005</v>
      </c>
      <c r="B539" s="67" t="s">
        <v>51</v>
      </c>
      <c r="C539" s="67" t="s">
        <v>34</v>
      </c>
      <c r="D539" s="67" t="s">
        <v>42</v>
      </c>
      <c r="E539" s="67" t="s">
        <v>53</v>
      </c>
      <c r="F539" s="67">
        <v>719</v>
      </c>
      <c r="G539" s="68">
        <v>2782.53</v>
      </c>
    </row>
    <row r="540" spans="1:7" x14ac:dyDescent="0.25">
      <c r="A540" s="67">
        <v>2005</v>
      </c>
      <c r="B540" s="67" t="s">
        <v>51</v>
      </c>
      <c r="C540" s="67" t="s">
        <v>34</v>
      </c>
      <c r="D540" s="67" t="s">
        <v>42</v>
      </c>
      <c r="E540" s="67" t="s">
        <v>43</v>
      </c>
      <c r="F540" s="67">
        <v>941</v>
      </c>
      <c r="G540" s="68">
        <v>2465.42</v>
      </c>
    </row>
    <row r="541" spans="1:7" x14ac:dyDescent="0.25">
      <c r="A541" s="67">
        <v>2005</v>
      </c>
      <c r="B541" s="67" t="s">
        <v>41</v>
      </c>
      <c r="C541" s="67" t="s">
        <v>32</v>
      </c>
      <c r="D541" s="67" t="s">
        <v>35</v>
      </c>
      <c r="E541" s="67" t="s">
        <v>46</v>
      </c>
      <c r="F541" s="67">
        <v>778</v>
      </c>
      <c r="G541" s="68">
        <v>2474.04</v>
      </c>
    </row>
    <row r="542" spans="1:7" x14ac:dyDescent="0.25">
      <c r="A542" s="67">
        <v>2005</v>
      </c>
      <c r="B542" s="67" t="s">
        <v>37</v>
      </c>
      <c r="C542" s="67" t="s">
        <v>23</v>
      </c>
      <c r="D542" s="67" t="s">
        <v>27</v>
      </c>
      <c r="E542" s="67" t="s">
        <v>28</v>
      </c>
      <c r="F542" s="67">
        <v>622</v>
      </c>
      <c r="G542" s="68">
        <v>1436.82</v>
      </c>
    </row>
    <row r="543" spans="1:7" x14ac:dyDescent="0.25">
      <c r="A543" s="67">
        <v>2005</v>
      </c>
      <c r="B543" s="67" t="s">
        <v>33</v>
      </c>
      <c r="C543" s="67" t="s">
        <v>30</v>
      </c>
      <c r="D543" s="67" t="s">
        <v>24</v>
      </c>
      <c r="E543" s="67" t="s">
        <v>31</v>
      </c>
      <c r="F543" s="67">
        <v>660</v>
      </c>
      <c r="G543" s="68">
        <v>1445.4</v>
      </c>
    </row>
    <row r="544" spans="1:7" x14ac:dyDescent="0.25">
      <c r="A544" s="67">
        <v>2007</v>
      </c>
      <c r="B544" s="67" t="s">
        <v>51</v>
      </c>
      <c r="C544" s="67" t="s">
        <v>23</v>
      </c>
      <c r="D544" s="67" t="s">
        <v>42</v>
      </c>
      <c r="E544" s="67" t="s">
        <v>45</v>
      </c>
      <c r="F544" s="67">
        <v>711</v>
      </c>
      <c r="G544" s="68">
        <v>1763.28</v>
      </c>
    </row>
    <row r="545" spans="1:7" x14ac:dyDescent="0.25">
      <c r="A545" s="67">
        <v>2007</v>
      </c>
      <c r="B545" s="67" t="s">
        <v>41</v>
      </c>
      <c r="C545" s="67" t="s">
        <v>32</v>
      </c>
      <c r="D545" s="67" t="s">
        <v>24</v>
      </c>
      <c r="E545" s="67" t="s">
        <v>31</v>
      </c>
      <c r="F545" s="67">
        <v>750</v>
      </c>
      <c r="G545" s="68">
        <v>1522.5</v>
      </c>
    </row>
    <row r="546" spans="1:7" x14ac:dyDescent="0.25">
      <c r="A546" s="67">
        <v>2006</v>
      </c>
      <c r="B546" s="67" t="s">
        <v>22</v>
      </c>
      <c r="C546" s="67" t="s">
        <v>23</v>
      </c>
      <c r="D546" s="67" t="s">
        <v>27</v>
      </c>
      <c r="E546" s="67" t="s">
        <v>49</v>
      </c>
      <c r="F546" s="67">
        <v>605</v>
      </c>
      <c r="G546" s="68">
        <v>1524.6</v>
      </c>
    </row>
    <row r="547" spans="1:7" x14ac:dyDescent="0.25">
      <c r="A547" s="67">
        <v>2007</v>
      </c>
      <c r="B547" s="67" t="s">
        <v>51</v>
      </c>
      <c r="C547" s="67" t="s">
        <v>30</v>
      </c>
      <c r="D547" s="67" t="s">
        <v>42</v>
      </c>
      <c r="E547" s="67" t="s">
        <v>45</v>
      </c>
      <c r="F547" s="67">
        <v>619</v>
      </c>
      <c r="G547" s="68">
        <v>1293.71</v>
      </c>
    </row>
    <row r="548" spans="1:7" x14ac:dyDescent="0.25">
      <c r="A548" s="67">
        <v>2006</v>
      </c>
      <c r="B548" s="67" t="s">
        <v>39</v>
      </c>
      <c r="C548" s="67" t="s">
        <v>30</v>
      </c>
      <c r="D548" s="67" t="s">
        <v>35</v>
      </c>
      <c r="E548" s="67" t="s">
        <v>40</v>
      </c>
      <c r="F548" s="67">
        <v>702</v>
      </c>
      <c r="G548" s="68">
        <v>1509.3</v>
      </c>
    </row>
    <row r="549" spans="1:7" x14ac:dyDescent="0.25">
      <c r="A549" s="67">
        <v>2006</v>
      </c>
      <c r="B549" s="67" t="s">
        <v>29</v>
      </c>
      <c r="C549" s="67" t="s">
        <v>34</v>
      </c>
      <c r="D549" s="67" t="s">
        <v>35</v>
      </c>
      <c r="E549" s="67" t="s">
        <v>46</v>
      </c>
      <c r="F549" s="67">
        <v>508</v>
      </c>
      <c r="G549" s="68">
        <v>1198.8800000000001</v>
      </c>
    </row>
    <row r="550" spans="1:7" x14ac:dyDescent="0.25">
      <c r="A550" s="67">
        <v>2007</v>
      </c>
      <c r="B550" s="67" t="s">
        <v>52</v>
      </c>
      <c r="C550" s="67" t="s">
        <v>34</v>
      </c>
      <c r="D550" s="67" t="s">
        <v>35</v>
      </c>
      <c r="E550" s="67" t="s">
        <v>46</v>
      </c>
      <c r="F550" s="67">
        <v>750</v>
      </c>
      <c r="G550" s="68">
        <v>1860</v>
      </c>
    </row>
    <row r="551" spans="1:7" x14ac:dyDescent="0.25">
      <c r="A551" s="67">
        <v>2005</v>
      </c>
      <c r="B551" s="67" t="s">
        <v>26</v>
      </c>
      <c r="C551" s="67" t="s">
        <v>32</v>
      </c>
      <c r="D551" s="67" t="s">
        <v>24</v>
      </c>
      <c r="E551" s="67" t="s">
        <v>47</v>
      </c>
      <c r="F551" s="67">
        <v>874</v>
      </c>
      <c r="G551" s="68">
        <v>2010.2</v>
      </c>
    </row>
    <row r="552" spans="1:7" x14ac:dyDescent="0.25">
      <c r="A552" s="67">
        <v>2007</v>
      </c>
      <c r="B552" s="67" t="s">
        <v>48</v>
      </c>
      <c r="C552" s="67" t="s">
        <v>32</v>
      </c>
      <c r="D552" s="67" t="s">
        <v>42</v>
      </c>
      <c r="E552" s="67" t="s">
        <v>45</v>
      </c>
      <c r="F552" s="67">
        <v>871</v>
      </c>
      <c r="G552" s="68">
        <v>3440.45</v>
      </c>
    </row>
    <row r="553" spans="1:7" x14ac:dyDescent="0.25">
      <c r="A553" s="67">
        <v>2006</v>
      </c>
      <c r="B553" s="67" t="s">
        <v>51</v>
      </c>
      <c r="C553" s="67" t="s">
        <v>23</v>
      </c>
      <c r="D553" s="67" t="s">
        <v>35</v>
      </c>
      <c r="E553" s="67" t="s">
        <v>36</v>
      </c>
      <c r="F553" s="67">
        <v>981</v>
      </c>
      <c r="G553" s="68">
        <v>2786.04</v>
      </c>
    </row>
    <row r="554" spans="1:7" x14ac:dyDescent="0.25">
      <c r="A554" s="67">
        <v>2006</v>
      </c>
      <c r="B554" s="67" t="s">
        <v>51</v>
      </c>
      <c r="C554" s="67" t="s">
        <v>32</v>
      </c>
      <c r="D554" s="67" t="s">
        <v>24</v>
      </c>
      <c r="E554" s="67" t="s">
        <v>25</v>
      </c>
      <c r="F554" s="67">
        <v>719</v>
      </c>
      <c r="G554" s="68">
        <v>1495.52</v>
      </c>
    </row>
    <row r="555" spans="1:7" x14ac:dyDescent="0.25">
      <c r="A555" s="67">
        <v>2007</v>
      </c>
      <c r="B555" s="67" t="s">
        <v>37</v>
      </c>
      <c r="C555" s="67" t="s">
        <v>23</v>
      </c>
      <c r="D555" s="67" t="s">
        <v>42</v>
      </c>
      <c r="E555" s="67" t="s">
        <v>45</v>
      </c>
      <c r="F555" s="67">
        <v>885</v>
      </c>
      <c r="G555" s="68">
        <v>1858.5</v>
      </c>
    </row>
    <row r="556" spans="1:7" x14ac:dyDescent="0.25">
      <c r="A556" s="67">
        <v>2005</v>
      </c>
      <c r="B556" s="67" t="s">
        <v>41</v>
      </c>
      <c r="C556" s="67" t="s">
        <v>34</v>
      </c>
      <c r="D556" s="67" t="s">
        <v>27</v>
      </c>
      <c r="E556" s="67" t="s">
        <v>49</v>
      </c>
      <c r="F556" s="67">
        <v>535</v>
      </c>
      <c r="G556" s="68">
        <v>1594.3</v>
      </c>
    </row>
    <row r="557" spans="1:7" x14ac:dyDescent="0.25">
      <c r="A557" s="67">
        <v>2007</v>
      </c>
      <c r="B557" s="67" t="s">
        <v>41</v>
      </c>
      <c r="C557" s="67" t="s">
        <v>30</v>
      </c>
      <c r="D557" s="67" t="s">
        <v>35</v>
      </c>
      <c r="E557" s="67" t="s">
        <v>40</v>
      </c>
      <c r="F557" s="67">
        <v>949</v>
      </c>
      <c r="G557" s="68">
        <v>2524.34</v>
      </c>
    </row>
    <row r="558" spans="1:7" x14ac:dyDescent="0.25">
      <c r="A558" s="67">
        <v>2006</v>
      </c>
      <c r="B558" s="67" t="s">
        <v>50</v>
      </c>
      <c r="C558" s="67" t="s">
        <v>23</v>
      </c>
      <c r="D558" s="67" t="s">
        <v>42</v>
      </c>
      <c r="E558" s="67" t="s">
        <v>45</v>
      </c>
      <c r="F558" s="67">
        <v>645</v>
      </c>
      <c r="G558" s="68">
        <v>1876.95</v>
      </c>
    </row>
    <row r="559" spans="1:7" x14ac:dyDescent="0.25">
      <c r="A559" s="67">
        <v>2007</v>
      </c>
      <c r="B559" s="67" t="s">
        <v>52</v>
      </c>
      <c r="C559" s="67" t="s">
        <v>32</v>
      </c>
      <c r="D559" s="67" t="s">
        <v>27</v>
      </c>
      <c r="E559" s="67" t="s">
        <v>28</v>
      </c>
      <c r="F559" s="67">
        <v>669</v>
      </c>
      <c r="G559" s="68">
        <v>1485.18</v>
      </c>
    </row>
    <row r="560" spans="1:7" x14ac:dyDescent="0.25">
      <c r="A560" s="67">
        <v>2006</v>
      </c>
      <c r="B560" s="67" t="s">
        <v>44</v>
      </c>
      <c r="C560" s="67" t="s">
        <v>32</v>
      </c>
      <c r="D560" s="67" t="s">
        <v>42</v>
      </c>
      <c r="E560" s="67" t="s">
        <v>45</v>
      </c>
      <c r="F560" s="67">
        <v>834</v>
      </c>
      <c r="G560" s="68">
        <v>2860.62</v>
      </c>
    </row>
    <row r="561" spans="1:7" x14ac:dyDescent="0.25">
      <c r="A561" s="67">
        <v>2005</v>
      </c>
      <c r="B561" s="67" t="s">
        <v>52</v>
      </c>
      <c r="C561" s="67" t="s">
        <v>32</v>
      </c>
      <c r="D561" s="67" t="s">
        <v>42</v>
      </c>
      <c r="E561" s="67" t="s">
        <v>53</v>
      </c>
      <c r="F561" s="67">
        <v>989</v>
      </c>
      <c r="G561" s="68">
        <v>2472.5</v>
      </c>
    </row>
    <row r="562" spans="1:7" x14ac:dyDescent="0.25">
      <c r="A562" s="67">
        <v>2006</v>
      </c>
      <c r="B562" s="67" t="s">
        <v>29</v>
      </c>
      <c r="C562" s="67" t="s">
        <v>30</v>
      </c>
      <c r="D562" s="67" t="s">
        <v>27</v>
      </c>
      <c r="E562" s="67" t="s">
        <v>28</v>
      </c>
      <c r="F562" s="67">
        <v>604</v>
      </c>
      <c r="G562" s="68">
        <v>2373.7199999999998</v>
      </c>
    </row>
    <row r="563" spans="1:7" x14ac:dyDescent="0.25">
      <c r="A563" s="67">
        <v>2006</v>
      </c>
      <c r="B563" s="67" t="s">
        <v>33</v>
      </c>
      <c r="C563" s="67" t="s">
        <v>23</v>
      </c>
      <c r="D563" s="67" t="s">
        <v>24</v>
      </c>
      <c r="E563" s="67" t="s">
        <v>47</v>
      </c>
      <c r="F563" s="67">
        <v>751</v>
      </c>
      <c r="G563" s="68">
        <v>2185.41</v>
      </c>
    </row>
    <row r="564" spans="1:7" x14ac:dyDescent="0.25">
      <c r="A564" s="67">
        <v>2007</v>
      </c>
      <c r="B564" s="67" t="s">
        <v>26</v>
      </c>
      <c r="C564" s="67" t="s">
        <v>23</v>
      </c>
      <c r="D564" s="67" t="s">
        <v>35</v>
      </c>
      <c r="E564" s="67" t="s">
        <v>46</v>
      </c>
      <c r="F564" s="67">
        <v>740</v>
      </c>
      <c r="G564" s="68">
        <v>2264.4</v>
      </c>
    </row>
    <row r="565" spans="1:7" x14ac:dyDescent="0.25">
      <c r="A565" s="67">
        <v>2006</v>
      </c>
      <c r="B565" s="67" t="s">
        <v>44</v>
      </c>
      <c r="C565" s="67" t="s">
        <v>34</v>
      </c>
      <c r="D565" s="67" t="s">
        <v>35</v>
      </c>
      <c r="E565" s="67" t="s">
        <v>46</v>
      </c>
      <c r="F565" s="67">
        <v>694</v>
      </c>
      <c r="G565" s="68">
        <v>1880.74</v>
      </c>
    </row>
    <row r="566" spans="1:7" x14ac:dyDescent="0.25">
      <c r="A566" s="67">
        <v>2005</v>
      </c>
      <c r="B566" s="67" t="s">
        <v>51</v>
      </c>
      <c r="C566" s="67" t="s">
        <v>23</v>
      </c>
      <c r="D566" s="67" t="s">
        <v>42</v>
      </c>
      <c r="E566" s="67" t="s">
        <v>45</v>
      </c>
      <c r="F566" s="67">
        <v>640</v>
      </c>
      <c r="G566" s="68">
        <v>1478.4</v>
      </c>
    </row>
    <row r="567" spans="1:7" x14ac:dyDescent="0.25">
      <c r="A567" s="67">
        <v>2005</v>
      </c>
      <c r="B567" s="67" t="s">
        <v>51</v>
      </c>
      <c r="C567" s="67" t="s">
        <v>23</v>
      </c>
      <c r="D567" s="67" t="s">
        <v>27</v>
      </c>
      <c r="E567" s="67" t="s">
        <v>28</v>
      </c>
      <c r="F567" s="67">
        <v>810</v>
      </c>
      <c r="G567" s="68">
        <v>2762.1</v>
      </c>
    </row>
    <row r="568" spans="1:7" x14ac:dyDescent="0.25">
      <c r="A568" s="67">
        <v>2007</v>
      </c>
      <c r="B568" s="67" t="s">
        <v>48</v>
      </c>
      <c r="C568" s="67" t="s">
        <v>30</v>
      </c>
      <c r="D568" s="67" t="s">
        <v>24</v>
      </c>
      <c r="E568" s="67" t="s">
        <v>54</v>
      </c>
      <c r="F568" s="67">
        <v>651</v>
      </c>
      <c r="G568" s="68">
        <v>2057.16</v>
      </c>
    </row>
    <row r="569" spans="1:7" x14ac:dyDescent="0.25">
      <c r="A569" s="67">
        <v>2007</v>
      </c>
      <c r="B569" s="67" t="s">
        <v>33</v>
      </c>
      <c r="C569" s="67" t="s">
        <v>30</v>
      </c>
      <c r="D569" s="67" t="s">
        <v>24</v>
      </c>
      <c r="E569" s="67" t="s">
        <v>54</v>
      </c>
      <c r="F569" s="67">
        <v>979</v>
      </c>
      <c r="G569" s="68">
        <v>3064.27</v>
      </c>
    </row>
    <row r="570" spans="1:7" x14ac:dyDescent="0.25">
      <c r="A570" s="67">
        <v>2006</v>
      </c>
      <c r="B570" s="67" t="s">
        <v>22</v>
      </c>
      <c r="C570" s="67" t="s">
        <v>30</v>
      </c>
      <c r="D570" s="67" t="s">
        <v>35</v>
      </c>
      <c r="E570" s="67" t="s">
        <v>36</v>
      </c>
      <c r="F570" s="67">
        <v>810</v>
      </c>
      <c r="G570" s="68">
        <v>2843.1</v>
      </c>
    </row>
    <row r="571" spans="1:7" x14ac:dyDescent="0.25">
      <c r="A571" s="67">
        <v>2006</v>
      </c>
      <c r="B571" s="67" t="s">
        <v>52</v>
      </c>
      <c r="C571" s="67" t="s">
        <v>23</v>
      </c>
      <c r="D571" s="67" t="s">
        <v>35</v>
      </c>
      <c r="E571" s="67" t="s">
        <v>40</v>
      </c>
      <c r="F571" s="67">
        <v>646</v>
      </c>
      <c r="G571" s="68">
        <v>1395.36</v>
      </c>
    </row>
    <row r="572" spans="1:7" x14ac:dyDescent="0.25">
      <c r="A572" s="67">
        <v>2005</v>
      </c>
      <c r="B572" s="67" t="s">
        <v>39</v>
      </c>
      <c r="C572" s="67" t="s">
        <v>34</v>
      </c>
      <c r="D572" s="67" t="s">
        <v>24</v>
      </c>
      <c r="E572" s="67" t="s">
        <v>31</v>
      </c>
      <c r="F572" s="67">
        <v>734</v>
      </c>
      <c r="G572" s="68">
        <v>2414.86</v>
      </c>
    </row>
    <row r="573" spans="1:7" x14ac:dyDescent="0.25">
      <c r="A573" s="67">
        <v>2007</v>
      </c>
      <c r="B573" s="67" t="s">
        <v>44</v>
      </c>
      <c r="C573" s="67" t="s">
        <v>34</v>
      </c>
      <c r="D573" s="67" t="s">
        <v>35</v>
      </c>
      <c r="E573" s="67" t="s">
        <v>38</v>
      </c>
      <c r="F573" s="67">
        <v>739</v>
      </c>
      <c r="G573" s="68">
        <v>2638.23</v>
      </c>
    </row>
    <row r="574" spans="1:7" x14ac:dyDescent="0.25">
      <c r="A574" s="67">
        <v>2006</v>
      </c>
      <c r="B574" s="67" t="s">
        <v>26</v>
      </c>
      <c r="C574" s="67" t="s">
        <v>34</v>
      </c>
      <c r="D574" s="67" t="s">
        <v>42</v>
      </c>
      <c r="E574" s="67" t="s">
        <v>45</v>
      </c>
      <c r="F574" s="67">
        <v>808</v>
      </c>
      <c r="G574" s="68">
        <v>3215.84</v>
      </c>
    </row>
    <row r="575" spans="1:7" x14ac:dyDescent="0.25">
      <c r="A575" s="67">
        <v>2007</v>
      </c>
      <c r="B575" s="67" t="s">
        <v>39</v>
      </c>
      <c r="C575" s="67" t="s">
        <v>23</v>
      </c>
      <c r="D575" s="67" t="s">
        <v>27</v>
      </c>
      <c r="E575" s="67" t="s">
        <v>49</v>
      </c>
      <c r="F575" s="67">
        <v>859</v>
      </c>
      <c r="G575" s="68">
        <v>2748.8</v>
      </c>
    </row>
    <row r="576" spans="1:7" x14ac:dyDescent="0.25">
      <c r="A576" s="67">
        <v>2007</v>
      </c>
      <c r="B576" s="67" t="s">
        <v>51</v>
      </c>
      <c r="C576" s="67" t="s">
        <v>32</v>
      </c>
      <c r="D576" s="67" t="s">
        <v>27</v>
      </c>
      <c r="E576" s="67" t="s">
        <v>49</v>
      </c>
      <c r="F576" s="67">
        <v>831</v>
      </c>
      <c r="G576" s="68">
        <v>2891.88</v>
      </c>
    </row>
    <row r="577" spans="1:7" x14ac:dyDescent="0.25">
      <c r="A577" s="67">
        <v>2006</v>
      </c>
      <c r="B577" s="67" t="s">
        <v>39</v>
      </c>
      <c r="C577" s="67" t="s">
        <v>23</v>
      </c>
      <c r="D577" s="67" t="s">
        <v>27</v>
      </c>
      <c r="E577" s="67" t="s">
        <v>28</v>
      </c>
      <c r="F577" s="67">
        <v>829</v>
      </c>
      <c r="G577" s="68">
        <v>2346.0700000000002</v>
      </c>
    </row>
    <row r="578" spans="1:7" x14ac:dyDescent="0.25">
      <c r="A578" s="67">
        <v>2005</v>
      </c>
      <c r="B578" s="67" t="s">
        <v>33</v>
      </c>
      <c r="C578" s="67" t="s">
        <v>30</v>
      </c>
      <c r="D578" s="67" t="s">
        <v>24</v>
      </c>
      <c r="E578" s="67" t="s">
        <v>54</v>
      </c>
      <c r="F578" s="67">
        <v>835</v>
      </c>
      <c r="G578" s="68">
        <v>2588.5</v>
      </c>
    </row>
    <row r="579" spans="1:7" x14ac:dyDescent="0.25">
      <c r="A579" s="67">
        <v>2007</v>
      </c>
      <c r="B579" s="67" t="s">
        <v>39</v>
      </c>
      <c r="C579" s="67" t="s">
        <v>23</v>
      </c>
      <c r="D579" s="67" t="s">
        <v>24</v>
      </c>
      <c r="E579" s="67" t="s">
        <v>25</v>
      </c>
      <c r="F579" s="67">
        <v>548</v>
      </c>
      <c r="G579" s="68">
        <v>2109.8000000000002</v>
      </c>
    </row>
    <row r="580" spans="1:7" x14ac:dyDescent="0.25">
      <c r="A580" s="67">
        <v>2005</v>
      </c>
      <c r="B580" s="67" t="s">
        <v>44</v>
      </c>
      <c r="C580" s="67" t="s">
        <v>34</v>
      </c>
      <c r="D580" s="67" t="s">
        <v>42</v>
      </c>
      <c r="E580" s="67" t="s">
        <v>53</v>
      </c>
      <c r="F580" s="67">
        <v>711</v>
      </c>
      <c r="G580" s="68">
        <v>1521.54</v>
      </c>
    </row>
    <row r="581" spans="1:7" x14ac:dyDescent="0.25">
      <c r="A581" s="67">
        <v>2005</v>
      </c>
      <c r="B581" s="67" t="s">
        <v>29</v>
      </c>
      <c r="C581" s="67" t="s">
        <v>34</v>
      </c>
      <c r="D581" s="67" t="s">
        <v>24</v>
      </c>
      <c r="E581" s="67" t="s">
        <v>47</v>
      </c>
      <c r="F581" s="67">
        <v>889</v>
      </c>
      <c r="G581" s="68">
        <v>2044.7</v>
      </c>
    </row>
    <row r="582" spans="1:7" x14ac:dyDescent="0.25">
      <c r="A582" s="67">
        <v>2006</v>
      </c>
      <c r="B582" s="67" t="s">
        <v>41</v>
      </c>
      <c r="C582" s="67" t="s">
        <v>34</v>
      </c>
      <c r="D582" s="67" t="s">
        <v>27</v>
      </c>
      <c r="E582" s="67" t="s">
        <v>49</v>
      </c>
      <c r="F582" s="67">
        <v>509</v>
      </c>
      <c r="G582" s="68">
        <v>1073.99</v>
      </c>
    </row>
    <row r="583" spans="1:7" x14ac:dyDescent="0.25">
      <c r="A583" s="67">
        <v>2005</v>
      </c>
      <c r="B583" s="67" t="s">
        <v>50</v>
      </c>
      <c r="C583" s="67" t="s">
        <v>34</v>
      </c>
      <c r="D583" s="67" t="s">
        <v>24</v>
      </c>
      <c r="E583" s="67" t="s">
        <v>25</v>
      </c>
      <c r="F583" s="67">
        <v>565</v>
      </c>
      <c r="G583" s="68">
        <v>1994.45</v>
      </c>
    </row>
    <row r="584" spans="1:7" x14ac:dyDescent="0.25">
      <c r="A584" s="67">
        <v>2006</v>
      </c>
      <c r="B584" s="67" t="s">
        <v>37</v>
      </c>
      <c r="C584" s="67" t="s">
        <v>34</v>
      </c>
      <c r="D584" s="67" t="s">
        <v>42</v>
      </c>
      <c r="E584" s="67" t="s">
        <v>53</v>
      </c>
      <c r="F584" s="67">
        <v>526</v>
      </c>
      <c r="G584" s="68">
        <v>1893.6</v>
      </c>
    </row>
    <row r="585" spans="1:7" x14ac:dyDescent="0.25">
      <c r="A585" s="67">
        <v>2006</v>
      </c>
      <c r="B585" s="67" t="s">
        <v>41</v>
      </c>
      <c r="C585" s="67" t="s">
        <v>34</v>
      </c>
      <c r="D585" s="67" t="s">
        <v>24</v>
      </c>
      <c r="E585" s="67" t="s">
        <v>25</v>
      </c>
      <c r="F585" s="67">
        <v>714</v>
      </c>
      <c r="G585" s="68">
        <v>1799.28</v>
      </c>
    </row>
    <row r="586" spans="1:7" x14ac:dyDescent="0.25">
      <c r="A586" s="67">
        <v>2007</v>
      </c>
      <c r="B586" s="67" t="s">
        <v>26</v>
      </c>
      <c r="C586" s="67" t="s">
        <v>30</v>
      </c>
      <c r="D586" s="67" t="s">
        <v>42</v>
      </c>
      <c r="E586" s="67" t="s">
        <v>43</v>
      </c>
      <c r="F586" s="67">
        <v>813</v>
      </c>
      <c r="G586" s="68">
        <v>3170.7</v>
      </c>
    </row>
    <row r="587" spans="1:7" x14ac:dyDescent="0.25">
      <c r="A587" s="67">
        <v>2007</v>
      </c>
      <c r="B587" s="67" t="s">
        <v>50</v>
      </c>
      <c r="C587" s="67" t="s">
        <v>32</v>
      </c>
      <c r="D587" s="67" t="s">
        <v>27</v>
      </c>
      <c r="E587" s="67" t="s">
        <v>28</v>
      </c>
      <c r="F587" s="67">
        <v>894</v>
      </c>
      <c r="G587" s="68">
        <v>2503.1999999999998</v>
      </c>
    </row>
    <row r="588" spans="1:7" x14ac:dyDescent="0.25">
      <c r="A588" s="67">
        <v>2005</v>
      </c>
      <c r="B588" s="67" t="s">
        <v>33</v>
      </c>
      <c r="C588" s="67" t="s">
        <v>30</v>
      </c>
      <c r="D588" s="67" t="s">
        <v>35</v>
      </c>
      <c r="E588" s="67" t="s">
        <v>36</v>
      </c>
      <c r="F588" s="67">
        <v>576</v>
      </c>
      <c r="G588" s="68">
        <v>1969.92</v>
      </c>
    </row>
    <row r="589" spans="1:7" x14ac:dyDescent="0.25">
      <c r="A589" s="67">
        <v>2005</v>
      </c>
      <c r="B589" s="67" t="s">
        <v>29</v>
      </c>
      <c r="C589" s="67" t="s">
        <v>23</v>
      </c>
      <c r="D589" s="67" t="s">
        <v>42</v>
      </c>
      <c r="E589" s="67" t="s">
        <v>43</v>
      </c>
      <c r="F589" s="67">
        <v>877</v>
      </c>
      <c r="G589" s="68">
        <v>3253.67</v>
      </c>
    </row>
    <row r="590" spans="1:7" x14ac:dyDescent="0.25">
      <c r="A590" s="67">
        <v>2007</v>
      </c>
      <c r="B590" s="67" t="s">
        <v>48</v>
      </c>
      <c r="C590" s="67" t="s">
        <v>23</v>
      </c>
      <c r="D590" s="67" t="s">
        <v>27</v>
      </c>
      <c r="E590" s="67" t="s">
        <v>49</v>
      </c>
      <c r="F590" s="67">
        <v>887</v>
      </c>
      <c r="G590" s="68">
        <v>2767.44</v>
      </c>
    </row>
    <row r="591" spans="1:7" x14ac:dyDescent="0.25">
      <c r="A591" s="67">
        <v>2007</v>
      </c>
      <c r="B591" s="67" t="s">
        <v>48</v>
      </c>
      <c r="C591" s="67" t="s">
        <v>30</v>
      </c>
      <c r="D591" s="67" t="s">
        <v>24</v>
      </c>
      <c r="E591" s="67" t="s">
        <v>54</v>
      </c>
      <c r="F591" s="67">
        <v>992</v>
      </c>
      <c r="G591" s="68">
        <v>3104.96</v>
      </c>
    </row>
    <row r="592" spans="1:7" x14ac:dyDescent="0.25">
      <c r="A592" s="67">
        <v>2006</v>
      </c>
      <c r="B592" s="67" t="s">
        <v>52</v>
      </c>
      <c r="C592" s="67" t="s">
        <v>34</v>
      </c>
      <c r="D592" s="67" t="s">
        <v>24</v>
      </c>
      <c r="E592" s="67" t="s">
        <v>25</v>
      </c>
      <c r="F592" s="67">
        <v>962</v>
      </c>
      <c r="G592" s="68">
        <v>3684.46</v>
      </c>
    </row>
    <row r="593" spans="1:7" x14ac:dyDescent="0.25">
      <c r="A593" s="67">
        <v>2005</v>
      </c>
      <c r="B593" s="67" t="s">
        <v>50</v>
      </c>
      <c r="C593" s="67" t="s">
        <v>30</v>
      </c>
      <c r="D593" s="67" t="s">
        <v>27</v>
      </c>
      <c r="E593" s="67" t="s">
        <v>55</v>
      </c>
      <c r="F593" s="67">
        <v>994</v>
      </c>
      <c r="G593" s="68">
        <v>2137.1</v>
      </c>
    </row>
    <row r="594" spans="1:7" x14ac:dyDescent="0.25">
      <c r="A594" s="67">
        <v>2007</v>
      </c>
      <c r="B594" s="67" t="s">
        <v>22</v>
      </c>
      <c r="C594" s="67" t="s">
        <v>34</v>
      </c>
      <c r="D594" s="67" t="s">
        <v>24</v>
      </c>
      <c r="E594" s="67" t="s">
        <v>25</v>
      </c>
      <c r="F594" s="67">
        <v>504</v>
      </c>
      <c r="G594" s="68">
        <v>1189.44</v>
      </c>
    </row>
    <row r="595" spans="1:7" x14ac:dyDescent="0.25">
      <c r="A595" s="67">
        <v>2007</v>
      </c>
      <c r="B595" s="67" t="s">
        <v>39</v>
      </c>
      <c r="C595" s="67" t="s">
        <v>23</v>
      </c>
      <c r="D595" s="67" t="s">
        <v>42</v>
      </c>
      <c r="E595" s="67" t="s">
        <v>43</v>
      </c>
      <c r="F595" s="67">
        <v>865</v>
      </c>
      <c r="G595" s="68">
        <v>3269.7</v>
      </c>
    </row>
    <row r="596" spans="1:7" x14ac:dyDescent="0.25">
      <c r="A596" s="67">
        <v>2006</v>
      </c>
      <c r="B596" s="67" t="s">
        <v>26</v>
      </c>
      <c r="C596" s="67" t="s">
        <v>23</v>
      </c>
      <c r="D596" s="67" t="s">
        <v>42</v>
      </c>
      <c r="E596" s="67" t="s">
        <v>53</v>
      </c>
      <c r="F596" s="67">
        <v>908</v>
      </c>
      <c r="G596" s="68">
        <v>2796.64</v>
      </c>
    </row>
    <row r="597" spans="1:7" x14ac:dyDescent="0.25">
      <c r="A597" s="67">
        <v>2007</v>
      </c>
      <c r="B597" s="67" t="s">
        <v>33</v>
      </c>
      <c r="C597" s="67" t="s">
        <v>30</v>
      </c>
      <c r="D597" s="67" t="s">
        <v>35</v>
      </c>
      <c r="E597" s="67" t="s">
        <v>38</v>
      </c>
      <c r="F597" s="67">
        <v>500</v>
      </c>
      <c r="G597" s="68">
        <v>1645</v>
      </c>
    </row>
    <row r="598" spans="1:7" x14ac:dyDescent="0.25">
      <c r="A598" s="67">
        <v>2005</v>
      </c>
      <c r="B598" s="67" t="s">
        <v>39</v>
      </c>
      <c r="C598" s="67" t="s">
        <v>34</v>
      </c>
      <c r="D598" s="67" t="s">
        <v>35</v>
      </c>
      <c r="E598" s="67" t="s">
        <v>46</v>
      </c>
      <c r="F598" s="67">
        <v>752</v>
      </c>
      <c r="G598" s="68">
        <v>2624.48</v>
      </c>
    </row>
    <row r="599" spans="1:7" x14ac:dyDescent="0.25">
      <c r="A599" s="67">
        <v>2007</v>
      </c>
      <c r="B599" s="67" t="s">
        <v>37</v>
      </c>
      <c r="C599" s="67" t="s">
        <v>32</v>
      </c>
      <c r="D599" s="67" t="s">
        <v>35</v>
      </c>
      <c r="E599" s="67" t="s">
        <v>36</v>
      </c>
      <c r="F599" s="67">
        <v>715</v>
      </c>
      <c r="G599" s="68">
        <v>2059.1999999999998</v>
      </c>
    </row>
    <row r="600" spans="1:7" x14ac:dyDescent="0.25">
      <c r="A600" s="67">
        <v>2005</v>
      </c>
      <c r="B600" s="67" t="s">
        <v>44</v>
      </c>
      <c r="C600" s="67" t="s">
        <v>34</v>
      </c>
      <c r="D600" s="67" t="s">
        <v>35</v>
      </c>
      <c r="E600" s="67" t="s">
        <v>40</v>
      </c>
      <c r="F600" s="67">
        <v>940</v>
      </c>
      <c r="G600" s="68">
        <v>3590.8</v>
      </c>
    </row>
    <row r="601" spans="1:7" x14ac:dyDescent="0.25">
      <c r="A601" s="67">
        <v>2005</v>
      </c>
      <c r="B601" s="67" t="s">
        <v>22</v>
      </c>
      <c r="C601" s="67" t="s">
        <v>32</v>
      </c>
      <c r="D601" s="67" t="s">
        <v>42</v>
      </c>
      <c r="E601" s="67" t="s">
        <v>45</v>
      </c>
      <c r="F601" s="67">
        <v>631</v>
      </c>
      <c r="G601" s="68">
        <v>1621.67</v>
      </c>
    </row>
    <row r="602" spans="1:7" x14ac:dyDescent="0.25">
      <c r="A602" s="67">
        <v>2007</v>
      </c>
      <c r="B602" s="67" t="s">
        <v>51</v>
      </c>
      <c r="C602" s="67" t="s">
        <v>34</v>
      </c>
      <c r="D602" s="67" t="s">
        <v>35</v>
      </c>
      <c r="E602" s="67" t="s">
        <v>36</v>
      </c>
      <c r="F602" s="67">
        <v>800</v>
      </c>
      <c r="G602" s="68">
        <v>2432</v>
      </c>
    </row>
    <row r="603" spans="1:7" x14ac:dyDescent="0.25">
      <c r="A603" s="67">
        <v>2006</v>
      </c>
      <c r="B603" s="67" t="s">
        <v>37</v>
      </c>
      <c r="C603" s="67" t="s">
        <v>23</v>
      </c>
      <c r="D603" s="67" t="s">
        <v>35</v>
      </c>
      <c r="E603" s="67" t="s">
        <v>38</v>
      </c>
      <c r="F603" s="67">
        <v>984</v>
      </c>
      <c r="G603" s="68">
        <v>2302.56</v>
      </c>
    </row>
    <row r="604" spans="1:7" x14ac:dyDescent="0.25">
      <c r="A604" s="67">
        <v>2005</v>
      </c>
      <c r="B604" s="67" t="s">
        <v>50</v>
      </c>
      <c r="C604" s="67" t="s">
        <v>30</v>
      </c>
      <c r="D604" s="67" t="s">
        <v>27</v>
      </c>
      <c r="E604" s="67" t="s">
        <v>28</v>
      </c>
      <c r="F604" s="67">
        <v>645</v>
      </c>
      <c r="G604" s="68">
        <v>2309.1</v>
      </c>
    </row>
    <row r="605" spans="1:7" x14ac:dyDescent="0.25">
      <c r="A605" s="67">
        <v>2006</v>
      </c>
      <c r="B605" s="67" t="s">
        <v>22</v>
      </c>
      <c r="C605" s="67" t="s">
        <v>30</v>
      </c>
      <c r="D605" s="67" t="s">
        <v>42</v>
      </c>
      <c r="E605" s="67" t="s">
        <v>45</v>
      </c>
      <c r="F605" s="67">
        <v>534</v>
      </c>
      <c r="G605" s="68">
        <v>1164.1199999999999</v>
      </c>
    </row>
    <row r="606" spans="1:7" x14ac:dyDescent="0.25">
      <c r="A606" s="67">
        <v>2006</v>
      </c>
      <c r="B606" s="67" t="s">
        <v>48</v>
      </c>
      <c r="C606" s="67" t="s">
        <v>34</v>
      </c>
      <c r="D606" s="67" t="s">
        <v>24</v>
      </c>
      <c r="E606" s="67" t="s">
        <v>31</v>
      </c>
      <c r="F606" s="67">
        <v>710</v>
      </c>
      <c r="G606" s="68">
        <v>2314.6</v>
      </c>
    </row>
    <row r="607" spans="1:7" x14ac:dyDescent="0.25">
      <c r="A607" s="67">
        <v>2006</v>
      </c>
      <c r="B607" s="67" t="s">
        <v>33</v>
      </c>
      <c r="C607" s="67" t="s">
        <v>23</v>
      </c>
      <c r="D607" s="67" t="s">
        <v>27</v>
      </c>
      <c r="E607" s="67" t="s">
        <v>55</v>
      </c>
      <c r="F607" s="67">
        <v>730</v>
      </c>
      <c r="G607" s="68">
        <v>2555</v>
      </c>
    </row>
    <row r="608" spans="1:7" x14ac:dyDescent="0.25">
      <c r="A608" s="67">
        <v>2005</v>
      </c>
      <c r="B608" s="67" t="s">
        <v>33</v>
      </c>
      <c r="C608" s="67" t="s">
        <v>32</v>
      </c>
      <c r="D608" s="67" t="s">
        <v>24</v>
      </c>
      <c r="E608" s="67" t="s">
        <v>54</v>
      </c>
      <c r="F608" s="67">
        <v>784</v>
      </c>
      <c r="G608" s="68">
        <v>1756.16</v>
      </c>
    </row>
    <row r="609" spans="1:7" x14ac:dyDescent="0.25">
      <c r="A609" s="67">
        <v>2007</v>
      </c>
      <c r="B609" s="67" t="s">
        <v>39</v>
      </c>
      <c r="C609" s="67" t="s">
        <v>30</v>
      </c>
      <c r="D609" s="67" t="s">
        <v>24</v>
      </c>
      <c r="E609" s="67" t="s">
        <v>47</v>
      </c>
      <c r="F609" s="67">
        <v>894</v>
      </c>
      <c r="G609" s="68">
        <v>2235</v>
      </c>
    </row>
    <row r="610" spans="1:7" x14ac:dyDescent="0.25">
      <c r="A610" s="67">
        <v>2007</v>
      </c>
      <c r="B610" s="67" t="s">
        <v>48</v>
      </c>
      <c r="C610" s="67" t="s">
        <v>30</v>
      </c>
      <c r="D610" s="67" t="s">
        <v>35</v>
      </c>
      <c r="E610" s="67" t="s">
        <v>38</v>
      </c>
      <c r="F610" s="67">
        <v>568</v>
      </c>
      <c r="G610" s="68">
        <v>1618.8</v>
      </c>
    </row>
    <row r="611" spans="1:7" x14ac:dyDescent="0.25">
      <c r="A611" s="67">
        <v>2005</v>
      </c>
      <c r="B611" s="67" t="s">
        <v>22</v>
      </c>
      <c r="C611" s="67" t="s">
        <v>34</v>
      </c>
      <c r="D611" s="67" t="s">
        <v>24</v>
      </c>
      <c r="E611" s="67" t="s">
        <v>47</v>
      </c>
      <c r="F611" s="67">
        <v>648</v>
      </c>
      <c r="G611" s="68">
        <v>1840.32</v>
      </c>
    </row>
    <row r="612" spans="1:7" x14ac:dyDescent="0.25">
      <c r="A612" s="67">
        <v>2005</v>
      </c>
      <c r="B612" s="67" t="s">
        <v>50</v>
      </c>
      <c r="C612" s="67" t="s">
        <v>32</v>
      </c>
      <c r="D612" s="67" t="s">
        <v>42</v>
      </c>
      <c r="E612" s="67" t="s">
        <v>43</v>
      </c>
      <c r="F612" s="67">
        <v>912</v>
      </c>
      <c r="G612" s="68">
        <v>3629.76</v>
      </c>
    </row>
    <row r="613" spans="1:7" x14ac:dyDescent="0.25">
      <c r="A613" s="67">
        <v>2006</v>
      </c>
      <c r="B613" s="67" t="s">
        <v>29</v>
      </c>
      <c r="C613" s="67" t="s">
        <v>34</v>
      </c>
      <c r="D613" s="67" t="s">
        <v>27</v>
      </c>
      <c r="E613" s="67" t="s">
        <v>55</v>
      </c>
      <c r="F613" s="67">
        <v>626</v>
      </c>
      <c r="G613" s="68">
        <v>1252</v>
      </c>
    </row>
    <row r="614" spans="1:7" x14ac:dyDescent="0.25">
      <c r="A614" s="67">
        <v>2005</v>
      </c>
      <c r="B614" s="67" t="s">
        <v>33</v>
      </c>
      <c r="C614" s="67" t="s">
        <v>30</v>
      </c>
      <c r="D614" s="67" t="s">
        <v>35</v>
      </c>
      <c r="E614" s="67" t="s">
        <v>46</v>
      </c>
      <c r="F614" s="67">
        <v>544</v>
      </c>
      <c r="G614" s="68">
        <v>1109.76</v>
      </c>
    </row>
    <row r="615" spans="1:7" x14ac:dyDescent="0.25">
      <c r="A615" s="67">
        <v>2007</v>
      </c>
      <c r="B615" s="67" t="s">
        <v>48</v>
      </c>
      <c r="C615" s="67" t="s">
        <v>34</v>
      </c>
      <c r="D615" s="67" t="s">
        <v>35</v>
      </c>
      <c r="E615" s="67" t="s">
        <v>46</v>
      </c>
      <c r="F615" s="67">
        <v>680</v>
      </c>
      <c r="G615" s="68">
        <v>1387.2</v>
      </c>
    </row>
    <row r="616" spans="1:7" x14ac:dyDescent="0.25">
      <c r="A616" s="67">
        <v>2005</v>
      </c>
      <c r="B616" s="67" t="s">
        <v>51</v>
      </c>
      <c r="C616" s="67" t="s">
        <v>30</v>
      </c>
      <c r="D616" s="67" t="s">
        <v>35</v>
      </c>
      <c r="E616" s="67" t="s">
        <v>40</v>
      </c>
      <c r="F616" s="67">
        <v>674</v>
      </c>
      <c r="G616" s="68">
        <v>1543.46</v>
      </c>
    </row>
    <row r="617" spans="1:7" x14ac:dyDescent="0.25">
      <c r="A617" s="67">
        <v>2007</v>
      </c>
      <c r="B617" s="67" t="s">
        <v>29</v>
      </c>
      <c r="C617" s="67" t="s">
        <v>32</v>
      </c>
      <c r="D617" s="67" t="s">
        <v>35</v>
      </c>
      <c r="E617" s="67" t="s">
        <v>40</v>
      </c>
      <c r="F617" s="67">
        <v>790</v>
      </c>
      <c r="G617" s="68">
        <v>2670.2</v>
      </c>
    </row>
    <row r="618" spans="1:7" x14ac:dyDescent="0.25">
      <c r="A618" s="67">
        <v>2007</v>
      </c>
      <c r="B618" s="67" t="s">
        <v>48</v>
      </c>
      <c r="C618" s="67" t="s">
        <v>23</v>
      </c>
      <c r="D618" s="67" t="s">
        <v>35</v>
      </c>
      <c r="E618" s="67" t="s">
        <v>40</v>
      </c>
      <c r="F618" s="67">
        <v>946</v>
      </c>
      <c r="G618" s="68">
        <v>2667.72</v>
      </c>
    </row>
    <row r="619" spans="1:7" x14ac:dyDescent="0.25">
      <c r="A619" s="67">
        <v>2005</v>
      </c>
      <c r="B619" s="67" t="s">
        <v>22</v>
      </c>
      <c r="C619" s="67" t="s">
        <v>34</v>
      </c>
      <c r="D619" s="67" t="s">
        <v>27</v>
      </c>
      <c r="E619" s="67" t="s">
        <v>49</v>
      </c>
      <c r="F619" s="67">
        <v>925</v>
      </c>
      <c r="G619" s="68">
        <v>2007.25</v>
      </c>
    </row>
    <row r="620" spans="1:7" x14ac:dyDescent="0.25">
      <c r="A620" s="67">
        <v>2005</v>
      </c>
      <c r="B620" s="67" t="s">
        <v>29</v>
      </c>
      <c r="C620" s="67" t="s">
        <v>32</v>
      </c>
      <c r="D620" s="67" t="s">
        <v>24</v>
      </c>
      <c r="E620" s="67" t="s">
        <v>54</v>
      </c>
      <c r="F620" s="67">
        <v>839</v>
      </c>
      <c r="G620" s="68">
        <v>1946.48</v>
      </c>
    </row>
    <row r="621" spans="1:7" x14ac:dyDescent="0.25">
      <c r="A621" s="67">
        <v>2007</v>
      </c>
      <c r="B621" s="67" t="s">
        <v>51</v>
      </c>
      <c r="C621" s="67" t="s">
        <v>23</v>
      </c>
      <c r="D621" s="67" t="s">
        <v>27</v>
      </c>
      <c r="E621" s="67" t="s">
        <v>49</v>
      </c>
      <c r="F621" s="67">
        <v>905</v>
      </c>
      <c r="G621" s="68">
        <v>3230.85</v>
      </c>
    </row>
    <row r="622" spans="1:7" x14ac:dyDescent="0.25">
      <c r="A622" s="67">
        <v>2006</v>
      </c>
      <c r="B622" s="67" t="s">
        <v>33</v>
      </c>
      <c r="C622" s="67" t="s">
        <v>30</v>
      </c>
      <c r="D622" s="67" t="s">
        <v>27</v>
      </c>
      <c r="E622" s="67" t="s">
        <v>55</v>
      </c>
      <c r="F622" s="67">
        <v>938</v>
      </c>
      <c r="G622" s="68">
        <v>3067.26</v>
      </c>
    </row>
    <row r="623" spans="1:7" x14ac:dyDescent="0.25">
      <c r="A623" s="67">
        <v>2005</v>
      </c>
      <c r="B623" s="67" t="s">
        <v>26</v>
      </c>
      <c r="C623" s="67" t="s">
        <v>23</v>
      </c>
      <c r="D623" s="67" t="s">
        <v>42</v>
      </c>
      <c r="E623" s="67" t="s">
        <v>45</v>
      </c>
      <c r="F623" s="67">
        <v>642</v>
      </c>
      <c r="G623" s="68">
        <v>1836.12</v>
      </c>
    </row>
    <row r="624" spans="1:7" x14ac:dyDescent="0.25">
      <c r="A624" s="67">
        <v>2006</v>
      </c>
      <c r="B624" s="67" t="s">
        <v>37</v>
      </c>
      <c r="C624" s="67" t="s">
        <v>23</v>
      </c>
      <c r="D624" s="67" t="s">
        <v>27</v>
      </c>
      <c r="E624" s="67" t="s">
        <v>49</v>
      </c>
      <c r="F624" s="67">
        <v>925</v>
      </c>
      <c r="G624" s="68">
        <v>2812</v>
      </c>
    </row>
    <row r="625" spans="1:7" x14ac:dyDescent="0.25">
      <c r="A625" s="67">
        <v>2005</v>
      </c>
      <c r="B625" s="67" t="s">
        <v>44</v>
      </c>
      <c r="C625" s="67" t="s">
        <v>30</v>
      </c>
      <c r="D625" s="67" t="s">
        <v>24</v>
      </c>
      <c r="E625" s="67" t="s">
        <v>31</v>
      </c>
      <c r="F625" s="67">
        <v>633</v>
      </c>
      <c r="G625" s="68">
        <v>2177.52</v>
      </c>
    </row>
    <row r="626" spans="1:7" x14ac:dyDescent="0.25">
      <c r="A626" s="67">
        <v>2007</v>
      </c>
      <c r="B626" s="67" t="s">
        <v>52</v>
      </c>
      <c r="C626" s="67" t="s">
        <v>23</v>
      </c>
      <c r="D626" s="67" t="s">
        <v>27</v>
      </c>
      <c r="E626" s="67" t="s">
        <v>55</v>
      </c>
      <c r="F626" s="67">
        <v>524</v>
      </c>
      <c r="G626" s="68">
        <v>1545.8</v>
      </c>
    </row>
    <row r="627" spans="1:7" x14ac:dyDescent="0.25">
      <c r="A627" s="67">
        <v>2007</v>
      </c>
      <c r="B627" s="67" t="s">
        <v>33</v>
      </c>
      <c r="C627" s="67" t="s">
        <v>34</v>
      </c>
      <c r="D627" s="67" t="s">
        <v>27</v>
      </c>
      <c r="E627" s="67" t="s">
        <v>28</v>
      </c>
      <c r="F627" s="67">
        <v>656</v>
      </c>
      <c r="G627" s="68">
        <v>1725.28</v>
      </c>
    </row>
    <row r="628" spans="1:7" x14ac:dyDescent="0.25">
      <c r="A628" s="67">
        <v>2006</v>
      </c>
      <c r="B628" s="67" t="s">
        <v>41</v>
      </c>
      <c r="C628" s="67" t="s">
        <v>34</v>
      </c>
      <c r="D628" s="67" t="s">
        <v>35</v>
      </c>
      <c r="E628" s="67" t="s">
        <v>46</v>
      </c>
      <c r="F628" s="67">
        <v>888</v>
      </c>
      <c r="G628" s="68">
        <v>2015.76</v>
      </c>
    </row>
    <row r="629" spans="1:7" x14ac:dyDescent="0.25">
      <c r="A629" s="67">
        <v>2007</v>
      </c>
      <c r="B629" s="67" t="s">
        <v>26</v>
      </c>
      <c r="C629" s="67" t="s">
        <v>30</v>
      </c>
      <c r="D629" s="67" t="s">
        <v>42</v>
      </c>
      <c r="E629" s="67" t="s">
        <v>53</v>
      </c>
      <c r="F629" s="67">
        <v>662</v>
      </c>
      <c r="G629" s="68">
        <v>2118.4</v>
      </c>
    </row>
    <row r="630" spans="1:7" x14ac:dyDescent="0.25">
      <c r="A630" s="67">
        <v>2007</v>
      </c>
      <c r="B630" s="67" t="s">
        <v>51</v>
      </c>
      <c r="C630" s="67" t="s">
        <v>23</v>
      </c>
      <c r="D630" s="67" t="s">
        <v>27</v>
      </c>
      <c r="E630" s="67" t="s">
        <v>28</v>
      </c>
      <c r="F630" s="67">
        <v>648</v>
      </c>
      <c r="G630" s="68">
        <v>2404.08</v>
      </c>
    </row>
    <row r="631" spans="1:7" x14ac:dyDescent="0.25">
      <c r="A631" s="67">
        <v>2006</v>
      </c>
      <c r="B631" s="67" t="s">
        <v>39</v>
      </c>
      <c r="C631" s="67" t="s">
        <v>23</v>
      </c>
      <c r="D631" s="67" t="s">
        <v>24</v>
      </c>
      <c r="E631" s="67" t="s">
        <v>47</v>
      </c>
      <c r="F631" s="67">
        <v>648</v>
      </c>
      <c r="G631" s="68">
        <v>1723.68</v>
      </c>
    </row>
    <row r="632" spans="1:7" x14ac:dyDescent="0.25">
      <c r="A632" s="67">
        <v>2005</v>
      </c>
      <c r="B632" s="67" t="s">
        <v>37</v>
      </c>
      <c r="C632" s="67" t="s">
        <v>32</v>
      </c>
      <c r="D632" s="67" t="s">
        <v>42</v>
      </c>
      <c r="E632" s="67" t="s">
        <v>45</v>
      </c>
      <c r="F632" s="67">
        <v>561</v>
      </c>
      <c r="G632" s="68">
        <v>1458.6</v>
      </c>
    </row>
    <row r="633" spans="1:7" x14ac:dyDescent="0.25">
      <c r="A633" s="67">
        <v>2005</v>
      </c>
      <c r="B633" s="67" t="s">
        <v>22</v>
      </c>
      <c r="C633" s="67" t="s">
        <v>32</v>
      </c>
      <c r="D633" s="67" t="s">
        <v>24</v>
      </c>
      <c r="E633" s="67" t="s">
        <v>54</v>
      </c>
      <c r="F633" s="67">
        <v>916</v>
      </c>
      <c r="G633" s="68">
        <v>2418.2399999999998</v>
      </c>
    </row>
    <row r="634" spans="1:7" x14ac:dyDescent="0.25">
      <c r="A634" s="67">
        <v>2007</v>
      </c>
      <c r="B634" s="67" t="s">
        <v>41</v>
      </c>
      <c r="C634" s="67" t="s">
        <v>32</v>
      </c>
      <c r="D634" s="67" t="s">
        <v>27</v>
      </c>
      <c r="E634" s="67" t="s">
        <v>49</v>
      </c>
      <c r="F634" s="67">
        <v>925</v>
      </c>
      <c r="G634" s="68">
        <v>2987.75</v>
      </c>
    </row>
    <row r="635" spans="1:7" x14ac:dyDescent="0.25">
      <c r="A635" s="67">
        <v>2005</v>
      </c>
      <c r="B635" s="67" t="s">
        <v>52</v>
      </c>
      <c r="C635" s="67" t="s">
        <v>34</v>
      </c>
      <c r="D635" s="67" t="s">
        <v>42</v>
      </c>
      <c r="E635" s="67" t="s">
        <v>45</v>
      </c>
      <c r="F635" s="67">
        <v>664</v>
      </c>
      <c r="G635" s="68">
        <v>2609.52</v>
      </c>
    </row>
    <row r="636" spans="1:7" x14ac:dyDescent="0.25">
      <c r="A636" s="67">
        <v>2007</v>
      </c>
      <c r="B636" s="67" t="s">
        <v>52</v>
      </c>
      <c r="C636" s="67" t="s">
        <v>32</v>
      </c>
      <c r="D636" s="67" t="s">
        <v>27</v>
      </c>
      <c r="E636" s="67" t="s">
        <v>49</v>
      </c>
      <c r="F636" s="67">
        <v>814</v>
      </c>
      <c r="G636" s="68">
        <v>2865.28</v>
      </c>
    </row>
    <row r="637" spans="1:7" x14ac:dyDescent="0.25">
      <c r="A637" s="67">
        <v>2005</v>
      </c>
      <c r="B637" s="67" t="s">
        <v>41</v>
      </c>
      <c r="C637" s="67" t="s">
        <v>23</v>
      </c>
      <c r="D637" s="67" t="s">
        <v>42</v>
      </c>
      <c r="E637" s="67" t="s">
        <v>45</v>
      </c>
      <c r="F637" s="67">
        <v>920</v>
      </c>
      <c r="G637" s="68">
        <v>3109.6</v>
      </c>
    </row>
    <row r="638" spans="1:7" x14ac:dyDescent="0.25">
      <c r="A638" s="67">
        <v>2005</v>
      </c>
      <c r="B638" s="67" t="s">
        <v>41</v>
      </c>
      <c r="C638" s="67" t="s">
        <v>23</v>
      </c>
      <c r="D638" s="67" t="s">
        <v>27</v>
      </c>
      <c r="E638" s="67" t="s">
        <v>49</v>
      </c>
      <c r="F638" s="67">
        <v>812</v>
      </c>
      <c r="G638" s="68">
        <v>2135.56</v>
      </c>
    </row>
    <row r="639" spans="1:7" x14ac:dyDescent="0.25">
      <c r="A639" s="67">
        <v>2006</v>
      </c>
      <c r="B639" s="67" t="s">
        <v>48</v>
      </c>
      <c r="C639" s="67" t="s">
        <v>34</v>
      </c>
      <c r="D639" s="67" t="s">
        <v>27</v>
      </c>
      <c r="E639" s="67" t="s">
        <v>49</v>
      </c>
      <c r="F639" s="67">
        <v>993</v>
      </c>
      <c r="G639" s="68">
        <v>3167.67</v>
      </c>
    </row>
    <row r="640" spans="1:7" x14ac:dyDescent="0.25">
      <c r="A640" s="67">
        <v>2006</v>
      </c>
      <c r="B640" s="67" t="s">
        <v>50</v>
      </c>
      <c r="C640" s="67" t="s">
        <v>32</v>
      </c>
      <c r="D640" s="67" t="s">
        <v>35</v>
      </c>
      <c r="E640" s="67" t="s">
        <v>36</v>
      </c>
      <c r="F640" s="67">
        <v>993</v>
      </c>
      <c r="G640" s="68">
        <v>2412.9899999999998</v>
      </c>
    </row>
    <row r="641" spans="1:7" x14ac:dyDescent="0.25">
      <c r="A641" s="67">
        <v>2007</v>
      </c>
      <c r="B641" s="67" t="s">
        <v>51</v>
      </c>
      <c r="C641" s="67" t="s">
        <v>34</v>
      </c>
      <c r="D641" s="67" t="s">
        <v>24</v>
      </c>
      <c r="E641" s="67" t="s">
        <v>25</v>
      </c>
      <c r="F641" s="67">
        <v>843</v>
      </c>
      <c r="G641" s="68">
        <v>2874.63</v>
      </c>
    </row>
    <row r="642" spans="1:7" x14ac:dyDescent="0.25">
      <c r="A642" s="67">
        <v>2005</v>
      </c>
      <c r="B642" s="67" t="s">
        <v>50</v>
      </c>
      <c r="C642" s="67" t="s">
        <v>34</v>
      </c>
      <c r="D642" s="67" t="s">
        <v>42</v>
      </c>
      <c r="E642" s="67" t="s">
        <v>45</v>
      </c>
      <c r="F642" s="67">
        <v>946</v>
      </c>
      <c r="G642" s="68">
        <v>3632.64</v>
      </c>
    </row>
    <row r="643" spans="1:7" x14ac:dyDescent="0.25">
      <c r="A643" s="67">
        <v>2007</v>
      </c>
      <c r="B643" s="67" t="s">
        <v>22</v>
      </c>
      <c r="C643" s="67" t="s">
        <v>23</v>
      </c>
      <c r="D643" s="67" t="s">
        <v>42</v>
      </c>
      <c r="E643" s="67" t="s">
        <v>43</v>
      </c>
      <c r="F643" s="67">
        <v>649</v>
      </c>
      <c r="G643" s="68">
        <v>2557.06</v>
      </c>
    </row>
    <row r="644" spans="1:7" x14ac:dyDescent="0.25">
      <c r="A644" s="67">
        <v>2006</v>
      </c>
      <c r="B644" s="67" t="s">
        <v>52</v>
      </c>
      <c r="C644" s="67" t="s">
        <v>34</v>
      </c>
      <c r="D644" s="67" t="s">
        <v>35</v>
      </c>
      <c r="E644" s="67" t="s">
        <v>36</v>
      </c>
      <c r="F644" s="67">
        <v>895</v>
      </c>
      <c r="G644" s="68">
        <v>3553.15</v>
      </c>
    </row>
    <row r="645" spans="1:7" x14ac:dyDescent="0.25">
      <c r="A645" s="67">
        <v>2007</v>
      </c>
      <c r="B645" s="67" t="s">
        <v>33</v>
      </c>
      <c r="C645" s="67" t="s">
        <v>30</v>
      </c>
      <c r="D645" s="67" t="s">
        <v>35</v>
      </c>
      <c r="E645" s="67" t="s">
        <v>40</v>
      </c>
      <c r="F645" s="67">
        <v>634</v>
      </c>
      <c r="G645" s="68">
        <v>2364.8200000000002</v>
      </c>
    </row>
    <row r="646" spans="1:7" x14ac:dyDescent="0.25">
      <c r="A646" s="67">
        <v>2006</v>
      </c>
      <c r="B646" s="67" t="s">
        <v>29</v>
      </c>
      <c r="C646" s="67" t="s">
        <v>34</v>
      </c>
      <c r="D646" s="67" t="s">
        <v>27</v>
      </c>
      <c r="E646" s="67" t="s">
        <v>55</v>
      </c>
      <c r="F646" s="67">
        <v>989</v>
      </c>
      <c r="G646" s="68">
        <v>2175.8000000000002</v>
      </c>
    </row>
    <row r="647" spans="1:7" x14ac:dyDescent="0.25">
      <c r="A647" s="67">
        <v>2007</v>
      </c>
      <c r="B647" s="67" t="s">
        <v>37</v>
      </c>
      <c r="C647" s="67" t="s">
        <v>34</v>
      </c>
      <c r="D647" s="67" t="s">
        <v>42</v>
      </c>
      <c r="E647" s="67" t="s">
        <v>53</v>
      </c>
      <c r="F647" s="67">
        <v>657</v>
      </c>
      <c r="G647" s="68">
        <v>2450.61</v>
      </c>
    </row>
    <row r="648" spans="1:7" x14ac:dyDescent="0.25">
      <c r="A648" s="67">
        <v>2007</v>
      </c>
      <c r="B648" s="67" t="s">
        <v>26</v>
      </c>
      <c r="C648" s="67" t="s">
        <v>30</v>
      </c>
      <c r="D648" s="67" t="s">
        <v>42</v>
      </c>
      <c r="E648" s="67" t="s">
        <v>43</v>
      </c>
      <c r="F648" s="67">
        <v>934</v>
      </c>
      <c r="G648" s="68">
        <v>2008.1</v>
      </c>
    </row>
    <row r="649" spans="1:7" x14ac:dyDescent="0.25">
      <c r="A649" s="67">
        <v>2005</v>
      </c>
      <c r="B649" s="67" t="s">
        <v>33</v>
      </c>
      <c r="C649" s="67" t="s">
        <v>23</v>
      </c>
      <c r="D649" s="67" t="s">
        <v>35</v>
      </c>
      <c r="E649" s="67" t="s">
        <v>36</v>
      </c>
      <c r="F649" s="67">
        <v>679</v>
      </c>
      <c r="G649" s="68">
        <v>1622.81</v>
      </c>
    </row>
    <row r="650" spans="1:7" x14ac:dyDescent="0.25">
      <c r="A650" s="67">
        <v>2005</v>
      </c>
      <c r="B650" s="67" t="s">
        <v>37</v>
      </c>
      <c r="C650" s="67" t="s">
        <v>30</v>
      </c>
      <c r="D650" s="67" t="s">
        <v>24</v>
      </c>
      <c r="E650" s="67" t="s">
        <v>31</v>
      </c>
      <c r="F650" s="67">
        <v>966</v>
      </c>
      <c r="G650" s="68">
        <v>2105.88</v>
      </c>
    </row>
    <row r="651" spans="1:7" x14ac:dyDescent="0.25">
      <c r="A651" s="67">
        <v>2005</v>
      </c>
      <c r="B651" s="67" t="s">
        <v>37</v>
      </c>
      <c r="C651" s="67" t="s">
        <v>23</v>
      </c>
      <c r="D651" s="67" t="s">
        <v>35</v>
      </c>
      <c r="E651" s="67" t="s">
        <v>38</v>
      </c>
      <c r="F651" s="67">
        <v>683</v>
      </c>
      <c r="G651" s="68">
        <v>2540.7600000000002</v>
      </c>
    </row>
    <row r="652" spans="1:7" x14ac:dyDescent="0.25">
      <c r="A652" s="67">
        <v>2006</v>
      </c>
      <c r="B652" s="67" t="s">
        <v>29</v>
      </c>
      <c r="C652" s="67" t="s">
        <v>34</v>
      </c>
      <c r="D652" s="67" t="s">
        <v>27</v>
      </c>
      <c r="E652" s="67" t="s">
        <v>55</v>
      </c>
      <c r="F652" s="67">
        <v>693</v>
      </c>
      <c r="G652" s="68">
        <v>1718.64</v>
      </c>
    </row>
    <row r="653" spans="1:7" x14ac:dyDescent="0.25">
      <c r="A653" s="67">
        <v>2007</v>
      </c>
      <c r="B653" s="67" t="s">
        <v>50</v>
      </c>
      <c r="C653" s="67" t="s">
        <v>32</v>
      </c>
      <c r="D653" s="67" t="s">
        <v>42</v>
      </c>
      <c r="E653" s="67" t="s">
        <v>53</v>
      </c>
      <c r="F653" s="67">
        <v>670</v>
      </c>
      <c r="G653" s="68">
        <v>1547.7</v>
      </c>
    </row>
    <row r="654" spans="1:7" x14ac:dyDescent="0.25">
      <c r="A654" s="67">
        <v>2005</v>
      </c>
      <c r="B654" s="67" t="s">
        <v>50</v>
      </c>
      <c r="C654" s="67" t="s">
        <v>30</v>
      </c>
      <c r="D654" s="67" t="s">
        <v>27</v>
      </c>
      <c r="E654" s="67" t="s">
        <v>55</v>
      </c>
      <c r="F654" s="67">
        <v>516</v>
      </c>
      <c r="G654" s="68">
        <v>1037.1600000000001</v>
      </c>
    </row>
    <row r="655" spans="1:7" x14ac:dyDescent="0.25">
      <c r="A655" s="67">
        <v>2006</v>
      </c>
      <c r="B655" s="67" t="s">
        <v>41</v>
      </c>
      <c r="C655" s="67" t="s">
        <v>34</v>
      </c>
      <c r="D655" s="67" t="s">
        <v>42</v>
      </c>
      <c r="E655" s="67" t="s">
        <v>53</v>
      </c>
      <c r="F655" s="67">
        <v>928</v>
      </c>
      <c r="G655" s="68">
        <v>2802.56</v>
      </c>
    </row>
    <row r="656" spans="1:7" x14ac:dyDescent="0.25">
      <c r="A656" s="67">
        <v>2007</v>
      </c>
      <c r="B656" s="67" t="s">
        <v>33</v>
      </c>
      <c r="C656" s="67" t="s">
        <v>32</v>
      </c>
      <c r="D656" s="67" t="s">
        <v>42</v>
      </c>
      <c r="E656" s="67" t="s">
        <v>45</v>
      </c>
      <c r="F656" s="67">
        <v>783</v>
      </c>
      <c r="G656" s="68">
        <v>1706.94</v>
      </c>
    </row>
    <row r="657" spans="1:7" x14ac:dyDescent="0.25">
      <c r="A657" s="67">
        <v>2006</v>
      </c>
      <c r="B657" s="67" t="s">
        <v>48</v>
      </c>
      <c r="C657" s="67" t="s">
        <v>34</v>
      </c>
      <c r="D657" s="67" t="s">
        <v>24</v>
      </c>
      <c r="E657" s="67" t="s">
        <v>54</v>
      </c>
      <c r="F657" s="67">
        <v>686</v>
      </c>
      <c r="G657" s="68">
        <v>1420.02</v>
      </c>
    </row>
    <row r="658" spans="1:7" x14ac:dyDescent="0.25">
      <c r="A658" s="67">
        <v>2005</v>
      </c>
      <c r="B658" s="67" t="s">
        <v>39</v>
      </c>
      <c r="C658" s="67" t="s">
        <v>23</v>
      </c>
      <c r="D658" s="67" t="s">
        <v>35</v>
      </c>
      <c r="E658" s="67" t="s">
        <v>46</v>
      </c>
      <c r="F658" s="67">
        <v>744</v>
      </c>
      <c r="G658" s="68">
        <v>1986.48</v>
      </c>
    </row>
    <row r="659" spans="1:7" x14ac:dyDescent="0.25">
      <c r="A659" s="67">
        <v>2006</v>
      </c>
      <c r="B659" s="67" t="s">
        <v>29</v>
      </c>
      <c r="C659" s="67" t="s">
        <v>32</v>
      </c>
      <c r="D659" s="67" t="s">
        <v>42</v>
      </c>
      <c r="E659" s="67" t="s">
        <v>45</v>
      </c>
      <c r="F659" s="67">
        <v>725</v>
      </c>
      <c r="G659" s="68">
        <v>2827.5</v>
      </c>
    </row>
    <row r="660" spans="1:7" x14ac:dyDescent="0.25">
      <c r="A660" s="67">
        <v>2006</v>
      </c>
      <c r="B660" s="67" t="s">
        <v>51</v>
      </c>
      <c r="C660" s="67" t="s">
        <v>30</v>
      </c>
      <c r="D660" s="67" t="s">
        <v>27</v>
      </c>
      <c r="E660" s="67" t="s">
        <v>28</v>
      </c>
      <c r="F660" s="67">
        <v>748</v>
      </c>
      <c r="G660" s="68">
        <v>2333.7600000000002</v>
      </c>
    </row>
    <row r="661" spans="1:7" x14ac:dyDescent="0.25">
      <c r="A661" s="67">
        <v>2006</v>
      </c>
      <c r="B661" s="67" t="s">
        <v>33</v>
      </c>
      <c r="C661" s="67" t="s">
        <v>23</v>
      </c>
      <c r="D661" s="67" t="s">
        <v>27</v>
      </c>
      <c r="E661" s="67" t="s">
        <v>49</v>
      </c>
      <c r="F661" s="67">
        <v>615</v>
      </c>
      <c r="G661" s="68">
        <v>2355.4499999999998</v>
      </c>
    </row>
    <row r="662" spans="1:7" x14ac:dyDescent="0.25">
      <c r="A662" s="67">
        <v>2007</v>
      </c>
      <c r="B662" s="67" t="s">
        <v>51</v>
      </c>
      <c r="C662" s="67" t="s">
        <v>23</v>
      </c>
      <c r="D662" s="67" t="s">
        <v>24</v>
      </c>
      <c r="E662" s="67" t="s">
        <v>47</v>
      </c>
      <c r="F662" s="67">
        <v>736</v>
      </c>
      <c r="G662" s="68">
        <v>2141.7600000000002</v>
      </c>
    </row>
    <row r="663" spans="1:7" x14ac:dyDescent="0.25">
      <c r="A663" s="67">
        <v>2007</v>
      </c>
      <c r="B663" s="67" t="s">
        <v>44</v>
      </c>
      <c r="C663" s="67" t="s">
        <v>32</v>
      </c>
      <c r="D663" s="67" t="s">
        <v>35</v>
      </c>
      <c r="E663" s="67" t="s">
        <v>38</v>
      </c>
      <c r="F663" s="67">
        <v>650</v>
      </c>
      <c r="G663" s="68">
        <v>2437.5</v>
      </c>
    </row>
    <row r="664" spans="1:7" x14ac:dyDescent="0.25">
      <c r="A664" s="67">
        <v>2005</v>
      </c>
      <c r="B664" s="67" t="s">
        <v>39</v>
      </c>
      <c r="C664" s="67" t="s">
        <v>32</v>
      </c>
      <c r="D664" s="67" t="s">
        <v>27</v>
      </c>
      <c r="E664" s="67" t="s">
        <v>49</v>
      </c>
      <c r="F664" s="67">
        <v>552</v>
      </c>
      <c r="G664" s="68">
        <v>2086.56</v>
      </c>
    </row>
    <row r="665" spans="1:7" x14ac:dyDescent="0.25">
      <c r="A665" s="67">
        <v>2005</v>
      </c>
      <c r="B665" s="67" t="s">
        <v>41</v>
      </c>
      <c r="C665" s="67" t="s">
        <v>23</v>
      </c>
      <c r="D665" s="67" t="s">
        <v>42</v>
      </c>
      <c r="E665" s="67" t="s">
        <v>45</v>
      </c>
      <c r="F665" s="67">
        <v>846</v>
      </c>
      <c r="G665" s="68">
        <v>1717.38</v>
      </c>
    </row>
    <row r="666" spans="1:7" x14ac:dyDescent="0.25">
      <c r="A666" s="67">
        <v>2005</v>
      </c>
      <c r="B666" s="67" t="s">
        <v>44</v>
      </c>
      <c r="C666" s="67" t="s">
        <v>30</v>
      </c>
      <c r="D666" s="67" t="s">
        <v>27</v>
      </c>
      <c r="E666" s="67" t="s">
        <v>28</v>
      </c>
      <c r="F666" s="67">
        <v>719</v>
      </c>
      <c r="G666" s="68">
        <v>2444.6</v>
      </c>
    </row>
    <row r="667" spans="1:7" x14ac:dyDescent="0.25">
      <c r="A667" s="67">
        <v>2005</v>
      </c>
      <c r="B667" s="67" t="s">
        <v>52</v>
      </c>
      <c r="C667" s="67" t="s">
        <v>23</v>
      </c>
      <c r="D667" s="67" t="s">
        <v>27</v>
      </c>
      <c r="E667" s="67" t="s">
        <v>49</v>
      </c>
      <c r="F667" s="67">
        <v>980</v>
      </c>
      <c r="G667" s="68">
        <v>2401</v>
      </c>
    </row>
    <row r="668" spans="1:7" x14ac:dyDescent="0.25">
      <c r="A668" s="67">
        <v>2006</v>
      </c>
      <c r="B668" s="67" t="s">
        <v>48</v>
      </c>
      <c r="C668" s="67" t="s">
        <v>30</v>
      </c>
      <c r="D668" s="67" t="s">
        <v>24</v>
      </c>
      <c r="E668" s="67" t="s">
        <v>54</v>
      </c>
      <c r="F668" s="67">
        <v>599</v>
      </c>
      <c r="G668" s="68">
        <v>1910.81</v>
      </c>
    </row>
    <row r="669" spans="1:7" x14ac:dyDescent="0.25">
      <c r="A669" s="67">
        <v>2005</v>
      </c>
      <c r="B669" s="67" t="s">
        <v>51</v>
      </c>
      <c r="C669" s="67" t="s">
        <v>30</v>
      </c>
      <c r="D669" s="67" t="s">
        <v>42</v>
      </c>
      <c r="E669" s="67" t="s">
        <v>45</v>
      </c>
      <c r="F669" s="67">
        <v>580</v>
      </c>
      <c r="G669" s="68">
        <v>1571.8</v>
      </c>
    </row>
    <row r="670" spans="1:7" x14ac:dyDescent="0.25">
      <c r="A670" s="67">
        <v>2006</v>
      </c>
      <c r="B670" s="67" t="s">
        <v>50</v>
      </c>
      <c r="C670" s="67" t="s">
        <v>23</v>
      </c>
      <c r="D670" s="67" t="s">
        <v>27</v>
      </c>
      <c r="E670" s="67" t="s">
        <v>55</v>
      </c>
      <c r="F670" s="67">
        <v>528</v>
      </c>
      <c r="G670" s="68">
        <v>1309.44</v>
      </c>
    </row>
    <row r="671" spans="1:7" x14ac:dyDescent="0.25">
      <c r="A671" s="67">
        <v>2007</v>
      </c>
      <c r="B671" s="67" t="s">
        <v>51</v>
      </c>
      <c r="C671" s="67" t="s">
        <v>34</v>
      </c>
      <c r="D671" s="67" t="s">
        <v>24</v>
      </c>
      <c r="E671" s="67" t="s">
        <v>47</v>
      </c>
      <c r="F671" s="67">
        <v>717</v>
      </c>
      <c r="G671" s="68">
        <v>2631.39</v>
      </c>
    </row>
    <row r="672" spans="1:7" x14ac:dyDescent="0.25">
      <c r="A672" s="67">
        <v>2007</v>
      </c>
      <c r="B672" s="67" t="s">
        <v>41</v>
      </c>
      <c r="C672" s="67" t="s">
        <v>34</v>
      </c>
      <c r="D672" s="67" t="s">
        <v>27</v>
      </c>
      <c r="E672" s="67" t="s">
        <v>49</v>
      </c>
      <c r="F672" s="67">
        <v>536</v>
      </c>
      <c r="G672" s="68">
        <v>1908.16</v>
      </c>
    </row>
    <row r="673" spans="1:7" x14ac:dyDescent="0.25">
      <c r="A673" s="67">
        <v>2007</v>
      </c>
      <c r="B673" s="67" t="s">
        <v>41</v>
      </c>
      <c r="C673" s="67" t="s">
        <v>32</v>
      </c>
      <c r="D673" s="67" t="s">
        <v>35</v>
      </c>
      <c r="E673" s="67" t="s">
        <v>36</v>
      </c>
      <c r="F673" s="67">
        <v>603</v>
      </c>
      <c r="G673" s="68">
        <v>1507.5</v>
      </c>
    </row>
    <row r="674" spans="1:7" x14ac:dyDescent="0.25">
      <c r="A674" s="67">
        <v>2007</v>
      </c>
      <c r="B674" s="67" t="s">
        <v>44</v>
      </c>
      <c r="C674" s="67" t="s">
        <v>34</v>
      </c>
      <c r="D674" s="67" t="s">
        <v>42</v>
      </c>
      <c r="E674" s="67" t="s">
        <v>45</v>
      </c>
      <c r="F674" s="67">
        <v>719</v>
      </c>
      <c r="G674" s="68">
        <v>2243.2800000000002</v>
      </c>
    </row>
    <row r="675" spans="1:7" x14ac:dyDescent="0.25">
      <c r="A675" s="67">
        <v>2005</v>
      </c>
      <c r="B675" s="67" t="s">
        <v>50</v>
      </c>
      <c r="C675" s="67" t="s">
        <v>34</v>
      </c>
      <c r="D675" s="67" t="s">
        <v>24</v>
      </c>
      <c r="E675" s="67" t="s">
        <v>25</v>
      </c>
      <c r="F675" s="67">
        <v>768</v>
      </c>
      <c r="G675" s="68">
        <v>2772.48</v>
      </c>
    </row>
    <row r="676" spans="1:7" x14ac:dyDescent="0.25">
      <c r="A676" s="67">
        <v>2006</v>
      </c>
      <c r="B676" s="67" t="s">
        <v>39</v>
      </c>
      <c r="C676" s="67" t="s">
        <v>32</v>
      </c>
      <c r="D676" s="67" t="s">
        <v>27</v>
      </c>
      <c r="E676" s="67" t="s">
        <v>49</v>
      </c>
      <c r="F676" s="67">
        <v>513</v>
      </c>
      <c r="G676" s="68">
        <v>1549.26</v>
      </c>
    </row>
    <row r="677" spans="1:7" x14ac:dyDescent="0.25">
      <c r="A677" s="67">
        <v>2006</v>
      </c>
      <c r="B677" s="67" t="s">
        <v>44</v>
      </c>
      <c r="C677" s="67" t="s">
        <v>30</v>
      </c>
      <c r="D677" s="67" t="s">
        <v>27</v>
      </c>
      <c r="E677" s="67" t="s">
        <v>28</v>
      </c>
      <c r="F677" s="67">
        <v>666</v>
      </c>
      <c r="G677" s="68">
        <v>1791.54</v>
      </c>
    </row>
    <row r="678" spans="1:7" x14ac:dyDescent="0.25">
      <c r="A678" s="67">
        <v>2006</v>
      </c>
      <c r="B678" s="67" t="s">
        <v>44</v>
      </c>
      <c r="C678" s="67" t="s">
        <v>30</v>
      </c>
      <c r="D678" s="67" t="s">
        <v>24</v>
      </c>
      <c r="E678" s="67" t="s">
        <v>54</v>
      </c>
      <c r="F678" s="67">
        <v>611</v>
      </c>
      <c r="G678" s="68">
        <v>1582.49</v>
      </c>
    </row>
    <row r="679" spans="1:7" x14ac:dyDescent="0.25">
      <c r="A679" s="67">
        <v>2005</v>
      </c>
      <c r="B679" s="67" t="s">
        <v>48</v>
      </c>
      <c r="C679" s="67" t="s">
        <v>34</v>
      </c>
      <c r="D679" s="67" t="s">
        <v>42</v>
      </c>
      <c r="E679" s="67" t="s">
        <v>53</v>
      </c>
      <c r="F679" s="67">
        <v>728</v>
      </c>
      <c r="G679" s="68">
        <v>2096.64</v>
      </c>
    </row>
    <row r="680" spans="1:7" x14ac:dyDescent="0.25">
      <c r="A680" s="67">
        <v>2005</v>
      </c>
      <c r="B680" s="67" t="s">
        <v>41</v>
      </c>
      <c r="C680" s="67" t="s">
        <v>34</v>
      </c>
      <c r="D680" s="67" t="s">
        <v>24</v>
      </c>
      <c r="E680" s="67" t="s">
        <v>47</v>
      </c>
      <c r="F680" s="67">
        <v>614</v>
      </c>
      <c r="G680" s="68">
        <v>2112.16</v>
      </c>
    </row>
    <row r="681" spans="1:7" x14ac:dyDescent="0.25">
      <c r="A681" s="67">
        <v>2007</v>
      </c>
      <c r="B681" s="67" t="s">
        <v>50</v>
      </c>
      <c r="C681" s="67" t="s">
        <v>23</v>
      </c>
      <c r="D681" s="67" t="s">
        <v>24</v>
      </c>
      <c r="E681" s="67" t="s">
        <v>31</v>
      </c>
      <c r="F681" s="67">
        <v>836</v>
      </c>
      <c r="G681" s="68">
        <v>3302.2</v>
      </c>
    </row>
    <row r="682" spans="1:7" x14ac:dyDescent="0.25">
      <c r="A682" s="67">
        <v>2005</v>
      </c>
      <c r="B682" s="67" t="s">
        <v>48</v>
      </c>
      <c r="C682" s="67" t="s">
        <v>34</v>
      </c>
      <c r="D682" s="67" t="s">
        <v>27</v>
      </c>
      <c r="E682" s="67" t="s">
        <v>28</v>
      </c>
      <c r="F682" s="67">
        <v>795</v>
      </c>
      <c r="G682" s="68">
        <v>2750.7</v>
      </c>
    </row>
    <row r="683" spans="1:7" x14ac:dyDescent="0.25">
      <c r="A683" s="67">
        <v>2006</v>
      </c>
      <c r="B683" s="67" t="s">
        <v>50</v>
      </c>
      <c r="C683" s="67" t="s">
        <v>30</v>
      </c>
      <c r="D683" s="67" t="s">
        <v>27</v>
      </c>
      <c r="E683" s="67" t="s">
        <v>55</v>
      </c>
      <c r="F683" s="67">
        <v>558</v>
      </c>
      <c r="G683" s="68">
        <v>2075.7600000000002</v>
      </c>
    </row>
    <row r="684" spans="1:7" x14ac:dyDescent="0.25">
      <c r="A684" s="67">
        <v>2006</v>
      </c>
      <c r="B684" s="67" t="s">
        <v>29</v>
      </c>
      <c r="C684" s="67" t="s">
        <v>32</v>
      </c>
      <c r="D684" s="67" t="s">
        <v>24</v>
      </c>
      <c r="E684" s="67" t="s">
        <v>47</v>
      </c>
      <c r="F684" s="67">
        <v>883</v>
      </c>
      <c r="G684" s="68">
        <v>3443.7</v>
      </c>
    </row>
    <row r="685" spans="1:7" x14ac:dyDescent="0.25">
      <c r="A685" s="67">
        <v>2006</v>
      </c>
      <c r="B685" s="67" t="s">
        <v>39</v>
      </c>
      <c r="C685" s="67" t="s">
        <v>30</v>
      </c>
      <c r="D685" s="67" t="s">
        <v>35</v>
      </c>
      <c r="E685" s="67" t="s">
        <v>36</v>
      </c>
      <c r="F685" s="67">
        <v>568</v>
      </c>
      <c r="G685" s="68">
        <v>1647.2</v>
      </c>
    </row>
    <row r="686" spans="1:7" x14ac:dyDescent="0.25">
      <c r="A686" s="67">
        <v>2007</v>
      </c>
      <c r="B686" s="67" t="s">
        <v>37</v>
      </c>
      <c r="C686" s="67" t="s">
        <v>32</v>
      </c>
      <c r="D686" s="67" t="s">
        <v>42</v>
      </c>
      <c r="E686" s="67" t="s">
        <v>53</v>
      </c>
      <c r="F686" s="67">
        <v>842</v>
      </c>
      <c r="G686" s="68">
        <v>1978.7</v>
      </c>
    </row>
    <row r="687" spans="1:7" x14ac:dyDescent="0.25">
      <c r="A687" s="67">
        <v>2007</v>
      </c>
      <c r="B687" s="67" t="s">
        <v>51</v>
      </c>
      <c r="C687" s="67" t="s">
        <v>30</v>
      </c>
      <c r="D687" s="67" t="s">
        <v>42</v>
      </c>
      <c r="E687" s="67" t="s">
        <v>43</v>
      </c>
      <c r="F687" s="67">
        <v>962</v>
      </c>
      <c r="G687" s="68">
        <v>2049.06</v>
      </c>
    </row>
    <row r="688" spans="1:7" x14ac:dyDescent="0.25">
      <c r="A688" s="67">
        <v>2007</v>
      </c>
      <c r="B688" s="67" t="s">
        <v>48</v>
      </c>
      <c r="C688" s="67" t="s">
        <v>34</v>
      </c>
      <c r="D688" s="67" t="s">
        <v>24</v>
      </c>
      <c r="E688" s="67" t="s">
        <v>47</v>
      </c>
      <c r="F688" s="67">
        <v>515</v>
      </c>
      <c r="G688" s="68">
        <v>1066.05</v>
      </c>
    </row>
    <row r="689" spans="1:7" x14ac:dyDescent="0.25">
      <c r="A689" s="67">
        <v>2006</v>
      </c>
      <c r="B689" s="67" t="s">
        <v>48</v>
      </c>
      <c r="C689" s="67" t="s">
        <v>32</v>
      </c>
      <c r="D689" s="67" t="s">
        <v>42</v>
      </c>
      <c r="E689" s="67" t="s">
        <v>43</v>
      </c>
      <c r="F689" s="67">
        <v>976</v>
      </c>
      <c r="G689" s="68">
        <v>3533.12</v>
      </c>
    </row>
    <row r="690" spans="1:7" x14ac:dyDescent="0.25">
      <c r="A690" s="67">
        <v>2007</v>
      </c>
      <c r="B690" s="67" t="s">
        <v>26</v>
      </c>
      <c r="C690" s="67" t="s">
        <v>23</v>
      </c>
      <c r="D690" s="67" t="s">
        <v>35</v>
      </c>
      <c r="E690" s="67" t="s">
        <v>38</v>
      </c>
      <c r="F690" s="67">
        <v>543</v>
      </c>
      <c r="G690" s="68">
        <v>1324.92</v>
      </c>
    </row>
    <row r="691" spans="1:7" x14ac:dyDescent="0.25">
      <c r="A691" s="67">
        <v>2005</v>
      </c>
      <c r="B691" s="67" t="s">
        <v>26</v>
      </c>
      <c r="C691" s="67" t="s">
        <v>32</v>
      </c>
      <c r="D691" s="67" t="s">
        <v>24</v>
      </c>
      <c r="E691" s="67" t="s">
        <v>25</v>
      </c>
      <c r="F691" s="67">
        <v>957</v>
      </c>
      <c r="G691" s="68">
        <v>3521.76</v>
      </c>
    </row>
    <row r="692" spans="1:7" x14ac:dyDescent="0.25">
      <c r="A692" s="67">
        <v>2007</v>
      </c>
      <c r="B692" s="67" t="s">
        <v>26</v>
      </c>
      <c r="C692" s="67" t="s">
        <v>34</v>
      </c>
      <c r="D692" s="67" t="s">
        <v>42</v>
      </c>
      <c r="E692" s="67" t="s">
        <v>53</v>
      </c>
      <c r="F692" s="67">
        <v>929</v>
      </c>
      <c r="G692" s="68">
        <v>2183.15</v>
      </c>
    </row>
    <row r="693" spans="1:7" x14ac:dyDescent="0.25">
      <c r="A693" s="67">
        <v>2007</v>
      </c>
      <c r="B693" s="67" t="s">
        <v>44</v>
      </c>
      <c r="C693" s="67" t="s">
        <v>23</v>
      </c>
      <c r="D693" s="67" t="s">
        <v>35</v>
      </c>
      <c r="E693" s="67" t="s">
        <v>40</v>
      </c>
      <c r="F693" s="67">
        <v>778</v>
      </c>
      <c r="G693" s="68">
        <v>2987.52</v>
      </c>
    </row>
    <row r="694" spans="1:7" x14ac:dyDescent="0.25">
      <c r="A694" s="67">
        <v>2007</v>
      </c>
      <c r="B694" s="67" t="s">
        <v>39</v>
      </c>
      <c r="C694" s="67" t="s">
        <v>32</v>
      </c>
      <c r="D694" s="67" t="s">
        <v>24</v>
      </c>
      <c r="E694" s="67" t="s">
        <v>54</v>
      </c>
      <c r="F694" s="67">
        <v>678</v>
      </c>
      <c r="G694" s="68">
        <v>1918.74</v>
      </c>
    </row>
    <row r="695" spans="1:7" x14ac:dyDescent="0.25">
      <c r="A695" s="67">
        <v>2006</v>
      </c>
      <c r="B695" s="67" t="s">
        <v>33</v>
      </c>
      <c r="C695" s="67" t="s">
        <v>32</v>
      </c>
      <c r="D695" s="67" t="s">
        <v>35</v>
      </c>
      <c r="E695" s="67" t="s">
        <v>46</v>
      </c>
      <c r="F695" s="67">
        <v>778</v>
      </c>
      <c r="G695" s="68">
        <v>1587.12</v>
      </c>
    </row>
    <row r="696" spans="1:7" x14ac:dyDescent="0.25">
      <c r="A696" s="67">
        <v>2007</v>
      </c>
      <c r="B696" s="67" t="s">
        <v>51</v>
      </c>
      <c r="C696" s="67" t="s">
        <v>34</v>
      </c>
      <c r="D696" s="67" t="s">
        <v>35</v>
      </c>
      <c r="E696" s="67" t="s">
        <v>38</v>
      </c>
      <c r="F696" s="67">
        <v>775</v>
      </c>
      <c r="G696" s="68">
        <v>2379.25</v>
      </c>
    </row>
    <row r="697" spans="1:7" x14ac:dyDescent="0.25">
      <c r="A697" s="67">
        <v>2005</v>
      </c>
      <c r="B697" s="67" t="s">
        <v>33</v>
      </c>
      <c r="C697" s="67" t="s">
        <v>23</v>
      </c>
      <c r="D697" s="67" t="s">
        <v>35</v>
      </c>
      <c r="E697" s="67" t="s">
        <v>38</v>
      </c>
      <c r="F697" s="67">
        <v>596</v>
      </c>
      <c r="G697" s="68">
        <v>2264.8000000000002</v>
      </c>
    </row>
    <row r="698" spans="1:7" x14ac:dyDescent="0.25">
      <c r="A698" s="67">
        <v>2006</v>
      </c>
      <c r="B698" s="67" t="s">
        <v>22</v>
      </c>
      <c r="C698" s="67" t="s">
        <v>34</v>
      </c>
      <c r="D698" s="67" t="s">
        <v>24</v>
      </c>
      <c r="E698" s="67" t="s">
        <v>31</v>
      </c>
      <c r="F698" s="67">
        <v>947</v>
      </c>
      <c r="G698" s="68">
        <v>3068.28</v>
      </c>
    </row>
    <row r="699" spans="1:7" x14ac:dyDescent="0.25">
      <c r="A699" s="67">
        <v>2005</v>
      </c>
      <c r="B699" s="67" t="s">
        <v>33</v>
      </c>
      <c r="C699" s="67" t="s">
        <v>23</v>
      </c>
      <c r="D699" s="67" t="s">
        <v>24</v>
      </c>
      <c r="E699" s="67" t="s">
        <v>25</v>
      </c>
      <c r="F699" s="67">
        <v>898</v>
      </c>
      <c r="G699" s="68">
        <v>1939.68</v>
      </c>
    </row>
    <row r="700" spans="1:7" x14ac:dyDescent="0.25">
      <c r="A700" s="67">
        <v>2005</v>
      </c>
      <c r="B700" s="67" t="s">
        <v>39</v>
      </c>
      <c r="C700" s="67" t="s">
        <v>32</v>
      </c>
      <c r="D700" s="67" t="s">
        <v>35</v>
      </c>
      <c r="E700" s="67" t="s">
        <v>46</v>
      </c>
      <c r="F700" s="67">
        <v>874</v>
      </c>
      <c r="G700" s="68">
        <v>2919.16</v>
      </c>
    </row>
    <row r="701" spans="1:7" x14ac:dyDescent="0.25">
      <c r="A701" s="67">
        <v>2007</v>
      </c>
      <c r="B701" s="67" t="s">
        <v>51</v>
      </c>
      <c r="C701" s="67" t="s">
        <v>34</v>
      </c>
      <c r="D701" s="67" t="s">
        <v>35</v>
      </c>
      <c r="E701" s="67" t="s">
        <v>40</v>
      </c>
      <c r="F701" s="67">
        <v>771</v>
      </c>
      <c r="G701" s="68">
        <v>2505.75</v>
      </c>
    </row>
    <row r="702" spans="1:7" x14ac:dyDescent="0.25">
      <c r="A702" s="67">
        <v>2005</v>
      </c>
      <c r="B702" s="67" t="s">
        <v>26</v>
      </c>
      <c r="C702" s="67" t="s">
        <v>23</v>
      </c>
      <c r="D702" s="67" t="s">
        <v>24</v>
      </c>
      <c r="E702" s="67" t="s">
        <v>25</v>
      </c>
      <c r="F702" s="67">
        <v>725</v>
      </c>
      <c r="G702" s="68">
        <v>2428.75</v>
      </c>
    </row>
    <row r="703" spans="1:7" x14ac:dyDescent="0.25">
      <c r="A703" s="67">
        <v>2007</v>
      </c>
      <c r="B703" s="67" t="s">
        <v>48</v>
      </c>
      <c r="C703" s="67" t="s">
        <v>32</v>
      </c>
      <c r="D703" s="67" t="s">
        <v>42</v>
      </c>
      <c r="E703" s="67" t="s">
        <v>53</v>
      </c>
      <c r="F703" s="67">
        <v>665</v>
      </c>
      <c r="G703" s="68">
        <v>2134.65</v>
      </c>
    </row>
    <row r="704" spans="1:7" x14ac:dyDescent="0.25">
      <c r="A704" s="67">
        <v>2005</v>
      </c>
      <c r="B704" s="67" t="s">
        <v>51</v>
      </c>
      <c r="C704" s="67" t="s">
        <v>34</v>
      </c>
      <c r="D704" s="67" t="s">
        <v>42</v>
      </c>
      <c r="E704" s="67" t="s">
        <v>45</v>
      </c>
      <c r="F704" s="67">
        <v>885</v>
      </c>
      <c r="G704" s="68">
        <v>2451.4499999999998</v>
      </c>
    </row>
    <row r="705" spans="1:7" x14ac:dyDescent="0.25">
      <c r="A705" s="67">
        <v>2006</v>
      </c>
      <c r="B705" s="67" t="s">
        <v>48</v>
      </c>
      <c r="C705" s="67" t="s">
        <v>34</v>
      </c>
      <c r="D705" s="67" t="s">
        <v>35</v>
      </c>
      <c r="E705" s="67" t="s">
        <v>38</v>
      </c>
      <c r="F705" s="67">
        <v>556</v>
      </c>
      <c r="G705" s="68">
        <v>1490.08</v>
      </c>
    </row>
    <row r="706" spans="1:7" x14ac:dyDescent="0.25">
      <c r="A706" s="67">
        <v>2005</v>
      </c>
      <c r="B706" s="67" t="s">
        <v>52</v>
      </c>
      <c r="C706" s="67" t="s">
        <v>34</v>
      </c>
      <c r="D706" s="67" t="s">
        <v>42</v>
      </c>
      <c r="E706" s="67" t="s">
        <v>45</v>
      </c>
      <c r="F706" s="67">
        <v>844</v>
      </c>
      <c r="G706" s="68">
        <v>1738.64</v>
      </c>
    </row>
    <row r="707" spans="1:7" x14ac:dyDescent="0.25">
      <c r="A707" s="67">
        <v>2005</v>
      </c>
      <c r="B707" s="67" t="s">
        <v>41</v>
      </c>
      <c r="C707" s="67" t="s">
        <v>23</v>
      </c>
      <c r="D707" s="67" t="s">
        <v>27</v>
      </c>
      <c r="E707" s="67" t="s">
        <v>55</v>
      </c>
      <c r="F707" s="67">
        <v>833</v>
      </c>
      <c r="G707" s="68">
        <v>1790.95</v>
      </c>
    </row>
    <row r="708" spans="1:7" x14ac:dyDescent="0.25">
      <c r="A708" s="67">
        <v>2006</v>
      </c>
      <c r="B708" s="67" t="s">
        <v>33</v>
      </c>
      <c r="C708" s="67" t="s">
        <v>30</v>
      </c>
      <c r="D708" s="67" t="s">
        <v>24</v>
      </c>
      <c r="E708" s="67" t="s">
        <v>54</v>
      </c>
      <c r="F708" s="67">
        <v>523</v>
      </c>
      <c r="G708" s="68">
        <v>1359.8</v>
      </c>
    </row>
    <row r="709" spans="1:7" x14ac:dyDescent="0.25">
      <c r="A709" s="67">
        <v>2006</v>
      </c>
      <c r="B709" s="67" t="s">
        <v>39</v>
      </c>
      <c r="C709" s="67" t="s">
        <v>32</v>
      </c>
      <c r="D709" s="67" t="s">
        <v>42</v>
      </c>
      <c r="E709" s="67" t="s">
        <v>53</v>
      </c>
      <c r="F709" s="67">
        <v>770</v>
      </c>
      <c r="G709" s="68">
        <v>3056.9</v>
      </c>
    </row>
    <row r="710" spans="1:7" x14ac:dyDescent="0.25">
      <c r="A710" s="67">
        <v>2005</v>
      </c>
      <c r="B710" s="67" t="s">
        <v>26</v>
      </c>
      <c r="C710" s="67" t="s">
        <v>32</v>
      </c>
      <c r="D710" s="67" t="s">
        <v>35</v>
      </c>
      <c r="E710" s="67" t="s">
        <v>46</v>
      </c>
      <c r="F710" s="67">
        <v>656</v>
      </c>
      <c r="G710" s="68">
        <v>2374.7199999999998</v>
      </c>
    </row>
    <row r="711" spans="1:7" x14ac:dyDescent="0.25">
      <c r="A711" s="67">
        <v>2006</v>
      </c>
      <c r="B711" s="67" t="s">
        <v>37</v>
      </c>
      <c r="C711" s="67" t="s">
        <v>30</v>
      </c>
      <c r="D711" s="67" t="s">
        <v>27</v>
      </c>
      <c r="E711" s="67" t="s">
        <v>28</v>
      </c>
      <c r="F711" s="67">
        <v>812</v>
      </c>
      <c r="G711" s="68">
        <v>1867.6</v>
      </c>
    </row>
    <row r="712" spans="1:7" x14ac:dyDescent="0.25">
      <c r="A712" s="67">
        <v>2007</v>
      </c>
      <c r="B712" s="67" t="s">
        <v>33</v>
      </c>
      <c r="C712" s="67" t="s">
        <v>34</v>
      </c>
      <c r="D712" s="67" t="s">
        <v>42</v>
      </c>
      <c r="E712" s="67" t="s">
        <v>45</v>
      </c>
      <c r="F712" s="67">
        <v>574</v>
      </c>
      <c r="G712" s="68">
        <v>1790.88</v>
      </c>
    </row>
    <row r="713" spans="1:7" x14ac:dyDescent="0.25">
      <c r="A713" s="67">
        <v>2007</v>
      </c>
      <c r="B713" s="67" t="s">
        <v>29</v>
      </c>
      <c r="C713" s="67" t="s">
        <v>34</v>
      </c>
      <c r="D713" s="67" t="s">
        <v>24</v>
      </c>
      <c r="E713" s="67" t="s">
        <v>25</v>
      </c>
      <c r="F713" s="67">
        <v>988</v>
      </c>
      <c r="G713" s="68">
        <v>2855.32</v>
      </c>
    </row>
    <row r="714" spans="1:7" x14ac:dyDescent="0.25">
      <c r="A714" s="67">
        <v>2005</v>
      </c>
      <c r="B714" s="67" t="s">
        <v>52</v>
      </c>
      <c r="C714" s="67" t="s">
        <v>32</v>
      </c>
      <c r="D714" s="67" t="s">
        <v>27</v>
      </c>
      <c r="E714" s="67" t="s">
        <v>55</v>
      </c>
      <c r="F714" s="67">
        <v>566</v>
      </c>
      <c r="G714" s="68">
        <v>1482.92</v>
      </c>
    </row>
    <row r="715" spans="1:7" x14ac:dyDescent="0.25">
      <c r="A715" s="67">
        <v>2005</v>
      </c>
      <c r="B715" s="67" t="s">
        <v>51</v>
      </c>
      <c r="C715" s="67" t="s">
        <v>23</v>
      </c>
      <c r="D715" s="67" t="s">
        <v>24</v>
      </c>
      <c r="E715" s="67" t="s">
        <v>31</v>
      </c>
      <c r="F715" s="67">
        <v>667</v>
      </c>
      <c r="G715" s="68">
        <v>1827.58</v>
      </c>
    </row>
    <row r="716" spans="1:7" x14ac:dyDescent="0.25">
      <c r="A716" s="67">
        <v>2007</v>
      </c>
      <c r="B716" s="67" t="s">
        <v>29</v>
      </c>
      <c r="C716" s="67" t="s">
        <v>30</v>
      </c>
      <c r="D716" s="67" t="s">
        <v>24</v>
      </c>
      <c r="E716" s="67" t="s">
        <v>47</v>
      </c>
      <c r="F716" s="67">
        <v>688</v>
      </c>
      <c r="G716" s="68">
        <v>1960.8</v>
      </c>
    </row>
    <row r="717" spans="1:7" x14ac:dyDescent="0.25">
      <c r="A717" s="67">
        <v>2006</v>
      </c>
      <c r="B717" s="67" t="s">
        <v>50</v>
      </c>
      <c r="C717" s="67" t="s">
        <v>30</v>
      </c>
      <c r="D717" s="67" t="s">
        <v>35</v>
      </c>
      <c r="E717" s="67" t="s">
        <v>40</v>
      </c>
      <c r="F717" s="67">
        <v>939</v>
      </c>
      <c r="G717" s="68">
        <v>3061.14</v>
      </c>
    </row>
    <row r="718" spans="1:7" x14ac:dyDescent="0.25">
      <c r="A718" s="67">
        <v>2006</v>
      </c>
      <c r="B718" s="67" t="s">
        <v>39</v>
      </c>
      <c r="C718" s="67" t="s">
        <v>23</v>
      </c>
      <c r="D718" s="67" t="s">
        <v>42</v>
      </c>
      <c r="E718" s="67" t="s">
        <v>53</v>
      </c>
      <c r="F718" s="67">
        <v>576</v>
      </c>
      <c r="G718" s="68">
        <v>1365.12</v>
      </c>
    </row>
    <row r="719" spans="1:7" x14ac:dyDescent="0.25">
      <c r="A719" s="67">
        <v>2005</v>
      </c>
      <c r="B719" s="67" t="s">
        <v>44</v>
      </c>
      <c r="C719" s="67" t="s">
        <v>30</v>
      </c>
      <c r="D719" s="67" t="s">
        <v>24</v>
      </c>
      <c r="E719" s="67" t="s">
        <v>54</v>
      </c>
      <c r="F719" s="67">
        <v>937</v>
      </c>
      <c r="G719" s="68">
        <v>2033.29</v>
      </c>
    </row>
    <row r="720" spans="1:7" x14ac:dyDescent="0.25">
      <c r="A720" s="67">
        <v>2007</v>
      </c>
      <c r="B720" s="67" t="s">
        <v>41</v>
      </c>
      <c r="C720" s="67" t="s">
        <v>30</v>
      </c>
      <c r="D720" s="67" t="s">
        <v>24</v>
      </c>
      <c r="E720" s="67" t="s">
        <v>25</v>
      </c>
      <c r="F720" s="67">
        <v>788</v>
      </c>
      <c r="G720" s="68">
        <v>2379.7600000000002</v>
      </c>
    </row>
    <row r="721" spans="1:7" x14ac:dyDescent="0.25">
      <c r="A721" s="67">
        <v>2007</v>
      </c>
      <c r="B721" s="67" t="s">
        <v>50</v>
      </c>
      <c r="C721" s="67" t="s">
        <v>34</v>
      </c>
      <c r="D721" s="67" t="s">
        <v>35</v>
      </c>
      <c r="E721" s="67" t="s">
        <v>38</v>
      </c>
      <c r="F721" s="67">
        <v>952</v>
      </c>
      <c r="G721" s="68">
        <v>2513.2800000000002</v>
      </c>
    </row>
    <row r="722" spans="1:7" x14ac:dyDescent="0.25">
      <c r="A722" s="67">
        <v>2005</v>
      </c>
      <c r="B722" s="67" t="s">
        <v>48</v>
      </c>
      <c r="C722" s="67" t="s">
        <v>23</v>
      </c>
      <c r="D722" s="67" t="s">
        <v>35</v>
      </c>
      <c r="E722" s="67" t="s">
        <v>38</v>
      </c>
      <c r="F722" s="67">
        <v>945</v>
      </c>
      <c r="G722" s="68">
        <v>3609.9</v>
      </c>
    </row>
    <row r="723" spans="1:7" x14ac:dyDescent="0.25">
      <c r="A723" s="67">
        <v>2005</v>
      </c>
      <c r="B723" s="67" t="s">
        <v>52</v>
      </c>
      <c r="C723" s="67" t="s">
        <v>34</v>
      </c>
      <c r="D723" s="67" t="s">
        <v>24</v>
      </c>
      <c r="E723" s="67" t="s">
        <v>25</v>
      </c>
      <c r="F723" s="67">
        <v>514</v>
      </c>
      <c r="G723" s="68">
        <v>1999.46</v>
      </c>
    </row>
    <row r="724" spans="1:7" x14ac:dyDescent="0.25">
      <c r="A724" s="67">
        <v>2006</v>
      </c>
      <c r="B724" s="67" t="s">
        <v>39</v>
      </c>
      <c r="C724" s="67" t="s">
        <v>30</v>
      </c>
      <c r="D724" s="67" t="s">
        <v>24</v>
      </c>
      <c r="E724" s="67" t="s">
        <v>47</v>
      </c>
      <c r="F724" s="67">
        <v>569</v>
      </c>
      <c r="G724" s="68">
        <v>1735.45</v>
      </c>
    </row>
    <row r="725" spans="1:7" x14ac:dyDescent="0.25">
      <c r="A725" s="67">
        <v>2006</v>
      </c>
      <c r="B725" s="67" t="s">
        <v>26</v>
      </c>
      <c r="C725" s="67" t="s">
        <v>30</v>
      </c>
      <c r="D725" s="67" t="s">
        <v>27</v>
      </c>
      <c r="E725" s="67" t="s">
        <v>49</v>
      </c>
      <c r="F725" s="67">
        <v>704</v>
      </c>
      <c r="G725" s="68">
        <v>1724.8</v>
      </c>
    </row>
    <row r="726" spans="1:7" x14ac:dyDescent="0.25">
      <c r="A726" s="67">
        <v>2006</v>
      </c>
      <c r="B726" s="67" t="s">
        <v>52</v>
      </c>
      <c r="C726" s="67" t="s">
        <v>34</v>
      </c>
      <c r="D726" s="67" t="s">
        <v>42</v>
      </c>
      <c r="E726" s="67" t="s">
        <v>45</v>
      </c>
      <c r="F726" s="67">
        <v>680</v>
      </c>
      <c r="G726" s="68">
        <v>2230.4</v>
      </c>
    </row>
    <row r="727" spans="1:7" x14ac:dyDescent="0.25">
      <c r="A727" s="67">
        <v>2005</v>
      </c>
      <c r="B727" s="67" t="s">
        <v>50</v>
      </c>
      <c r="C727" s="67" t="s">
        <v>34</v>
      </c>
      <c r="D727" s="67" t="s">
        <v>42</v>
      </c>
      <c r="E727" s="67" t="s">
        <v>43</v>
      </c>
      <c r="F727" s="67">
        <v>916</v>
      </c>
      <c r="G727" s="68">
        <v>3224.32</v>
      </c>
    </row>
    <row r="728" spans="1:7" x14ac:dyDescent="0.25">
      <c r="A728" s="67">
        <v>2007</v>
      </c>
      <c r="B728" s="67" t="s">
        <v>41</v>
      </c>
      <c r="C728" s="67" t="s">
        <v>23</v>
      </c>
      <c r="D728" s="67" t="s">
        <v>27</v>
      </c>
      <c r="E728" s="67" t="s">
        <v>28</v>
      </c>
      <c r="F728" s="67">
        <v>831</v>
      </c>
      <c r="G728" s="68">
        <v>2717.37</v>
      </c>
    </row>
    <row r="729" spans="1:7" x14ac:dyDescent="0.25">
      <c r="A729" s="67">
        <v>2006</v>
      </c>
      <c r="B729" s="67" t="s">
        <v>44</v>
      </c>
      <c r="C729" s="67" t="s">
        <v>34</v>
      </c>
      <c r="D729" s="67" t="s">
        <v>24</v>
      </c>
      <c r="E729" s="67" t="s">
        <v>54</v>
      </c>
      <c r="F729" s="67">
        <v>577</v>
      </c>
      <c r="G729" s="68">
        <v>1488.66</v>
      </c>
    </row>
    <row r="730" spans="1:7" x14ac:dyDescent="0.25">
      <c r="A730" s="67">
        <v>2007</v>
      </c>
      <c r="B730" s="67" t="s">
        <v>29</v>
      </c>
      <c r="C730" s="67" t="s">
        <v>34</v>
      </c>
      <c r="D730" s="67" t="s">
        <v>42</v>
      </c>
      <c r="E730" s="67" t="s">
        <v>45</v>
      </c>
      <c r="F730" s="67">
        <v>529</v>
      </c>
      <c r="G730" s="68">
        <v>1465.33</v>
      </c>
    </row>
    <row r="731" spans="1:7" x14ac:dyDescent="0.25">
      <c r="A731" s="67">
        <v>2007</v>
      </c>
      <c r="B731" s="67" t="s">
        <v>39</v>
      </c>
      <c r="C731" s="67" t="s">
        <v>23</v>
      </c>
      <c r="D731" s="67" t="s">
        <v>35</v>
      </c>
      <c r="E731" s="67" t="s">
        <v>40</v>
      </c>
      <c r="F731" s="67">
        <v>789</v>
      </c>
      <c r="G731" s="68">
        <v>2422.23</v>
      </c>
    </row>
    <row r="732" spans="1:7" x14ac:dyDescent="0.25">
      <c r="A732" s="67">
        <v>2007</v>
      </c>
      <c r="B732" s="67" t="s">
        <v>51</v>
      </c>
      <c r="C732" s="67" t="s">
        <v>30</v>
      </c>
      <c r="D732" s="67" t="s">
        <v>35</v>
      </c>
      <c r="E732" s="67" t="s">
        <v>40</v>
      </c>
      <c r="F732" s="67">
        <v>997</v>
      </c>
      <c r="G732" s="68">
        <v>2622.11</v>
      </c>
    </row>
    <row r="733" spans="1:7" x14ac:dyDescent="0.25">
      <c r="A733" s="67">
        <v>2005</v>
      </c>
      <c r="B733" s="67" t="s">
        <v>51</v>
      </c>
      <c r="C733" s="67" t="s">
        <v>30</v>
      </c>
      <c r="D733" s="67" t="s">
        <v>35</v>
      </c>
      <c r="E733" s="67" t="s">
        <v>46</v>
      </c>
      <c r="F733" s="67">
        <v>802</v>
      </c>
      <c r="G733" s="68">
        <v>2911.26</v>
      </c>
    </row>
    <row r="734" spans="1:7" x14ac:dyDescent="0.25">
      <c r="A734" s="67">
        <v>2005</v>
      </c>
      <c r="B734" s="67" t="s">
        <v>52</v>
      </c>
      <c r="C734" s="67" t="s">
        <v>23</v>
      </c>
      <c r="D734" s="67" t="s">
        <v>24</v>
      </c>
      <c r="E734" s="67" t="s">
        <v>47</v>
      </c>
      <c r="F734" s="67">
        <v>889</v>
      </c>
      <c r="G734" s="68">
        <v>1991.36</v>
      </c>
    </row>
    <row r="735" spans="1:7" x14ac:dyDescent="0.25">
      <c r="A735" s="67">
        <v>2006</v>
      </c>
      <c r="B735" s="67" t="s">
        <v>39</v>
      </c>
      <c r="C735" s="67" t="s">
        <v>32</v>
      </c>
      <c r="D735" s="67" t="s">
        <v>42</v>
      </c>
      <c r="E735" s="67" t="s">
        <v>45</v>
      </c>
      <c r="F735" s="67">
        <v>884</v>
      </c>
      <c r="G735" s="68">
        <v>2846.48</v>
      </c>
    </row>
    <row r="736" spans="1:7" x14ac:dyDescent="0.25">
      <c r="A736" s="67">
        <v>2007</v>
      </c>
      <c r="B736" s="67" t="s">
        <v>22</v>
      </c>
      <c r="C736" s="67" t="s">
        <v>32</v>
      </c>
      <c r="D736" s="67" t="s">
        <v>24</v>
      </c>
      <c r="E736" s="67" t="s">
        <v>25</v>
      </c>
      <c r="F736" s="67">
        <v>869</v>
      </c>
      <c r="G736" s="68">
        <v>2841.63</v>
      </c>
    </row>
    <row r="737" spans="1:7" x14ac:dyDescent="0.25">
      <c r="A737" s="67">
        <v>2006</v>
      </c>
      <c r="B737" s="67" t="s">
        <v>22</v>
      </c>
      <c r="C737" s="67" t="s">
        <v>23</v>
      </c>
      <c r="D737" s="67" t="s">
        <v>35</v>
      </c>
      <c r="E737" s="67" t="s">
        <v>40</v>
      </c>
      <c r="F737" s="67">
        <v>913</v>
      </c>
      <c r="G737" s="68">
        <v>3615.48</v>
      </c>
    </row>
    <row r="738" spans="1:7" x14ac:dyDescent="0.25">
      <c r="A738" s="67">
        <v>2005</v>
      </c>
      <c r="B738" s="67" t="s">
        <v>33</v>
      </c>
      <c r="C738" s="67" t="s">
        <v>34</v>
      </c>
      <c r="D738" s="67" t="s">
        <v>42</v>
      </c>
      <c r="E738" s="67" t="s">
        <v>45</v>
      </c>
      <c r="F738" s="67">
        <v>704</v>
      </c>
      <c r="G738" s="68">
        <v>1640.32</v>
      </c>
    </row>
    <row r="739" spans="1:7" x14ac:dyDescent="0.25">
      <c r="A739" s="67">
        <v>2005</v>
      </c>
      <c r="B739" s="67" t="s">
        <v>41</v>
      </c>
      <c r="C739" s="67" t="s">
        <v>23</v>
      </c>
      <c r="D739" s="67" t="s">
        <v>42</v>
      </c>
      <c r="E739" s="67" t="s">
        <v>43</v>
      </c>
      <c r="F739" s="67">
        <v>819</v>
      </c>
      <c r="G739" s="68">
        <v>3046.68</v>
      </c>
    </row>
    <row r="740" spans="1:7" x14ac:dyDescent="0.25">
      <c r="A740" s="67">
        <v>2007</v>
      </c>
      <c r="B740" s="67" t="s">
        <v>39</v>
      </c>
      <c r="C740" s="67" t="s">
        <v>23</v>
      </c>
      <c r="D740" s="67" t="s">
        <v>42</v>
      </c>
      <c r="E740" s="67" t="s">
        <v>43</v>
      </c>
      <c r="F740" s="67">
        <v>814</v>
      </c>
      <c r="G740" s="68">
        <v>2328.04</v>
      </c>
    </row>
    <row r="741" spans="1:7" x14ac:dyDescent="0.25">
      <c r="A741" s="67">
        <v>2007</v>
      </c>
      <c r="B741" s="67" t="s">
        <v>29</v>
      </c>
      <c r="C741" s="67" t="s">
        <v>34</v>
      </c>
      <c r="D741" s="67" t="s">
        <v>24</v>
      </c>
      <c r="E741" s="67" t="s">
        <v>54</v>
      </c>
      <c r="F741" s="67">
        <v>735</v>
      </c>
      <c r="G741" s="68">
        <v>1764</v>
      </c>
    </row>
    <row r="742" spans="1:7" x14ac:dyDescent="0.25">
      <c r="A742" s="67">
        <v>2007</v>
      </c>
      <c r="B742" s="67" t="s">
        <v>33</v>
      </c>
      <c r="C742" s="67" t="s">
        <v>23</v>
      </c>
      <c r="D742" s="67" t="s">
        <v>35</v>
      </c>
      <c r="E742" s="67" t="s">
        <v>46</v>
      </c>
      <c r="F742" s="67">
        <v>616</v>
      </c>
      <c r="G742" s="68">
        <v>2420.88</v>
      </c>
    </row>
    <row r="743" spans="1:7" x14ac:dyDescent="0.25">
      <c r="A743" s="67">
        <v>2007</v>
      </c>
      <c r="B743" s="67" t="s">
        <v>48</v>
      </c>
      <c r="C743" s="67" t="s">
        <v>32</v>
      </c>
      <c r="D743" s="67" t="s">
        <v>27</v>
      </c>
      <c r="E743" s="67" t="s">
        <v>49</v>
      </c>
      <c r="F743" s="67">
        <v>981</v>
      </c>
      <c r="G743" s="68">
        <v>2148.39</v>
      </c>
    </row>
    <row r="744" spans="1:7" x14ac:dyDescent="0.25">
      <c r="A744" s="67">
        <v>2005</v>
      </c>
      <c r="B744" s="67" t="s">
        <v>29</v>
      </c>
      <c r="C744" s="67" t="s">
        <v>34</v>
      </c>
      <c r="D744" s="67" t="s">
        <v>35</v>
      </c>
      <c r="E744" s="67" t="s">
        <v>38</v>
      </c>
      <c r="F744" s="67">
        <v>531</v>
      </c>
      <c r="G744" s="68">
        <v>1343.43</v>
      </c>
    </row>
    <row r="745" spans="1:7" x14ac:dyDescent="0.25">
      <c r="A745" s="67">
        <v>2006</v>
      </c>
      <c r="B745" s="67" t="s">
        <v>26</v>
      </c>
      <c r="C745" s="67" t="s">
        <v>34</v>
      </c>
      <c r="D745" s="67" t="s">
        <v>27</v>
      </c>
      <c r="E745" s="67" t="s">
        <v>28</v>
      </c>
      <c r="F745" s="67">
        <v>976</v>
      </c>
      <c r="G745" s="68">
        <v>2283.84</v>
      </c>
    </row>
    <row r="746" spans="1:7" x14ac:dyDescent="0.25">
      <c r="A746" s="67">
        <v>2007</v>
      </c>
      <c r="B746" s="67" t="s">
        <v>52</v>
      </c>
      <c r="C746" s="67" t="s">
        <v>30</v>
      </c>
      <c r="D746" s="67" t="s">
        <v>24</v>
      </c>
      <c r="E746" s="67" t="s">
        <v>31</v>
      </c>
      <c r="F746" s="67">
        <v>646</v>
      </c>
      <c r="G746" s="68">
        <v>1925.08</v>
      </c>
    </row>
    <row r="747" spans="1:7" x14ac:dyDescent="0.25">
      <c r="A747" s="67">
        <v>2006</v>
      </c>
      <c r="B747" s="67" t="s">
        <v>52</v>
      </c>
      <c r="C747" s="67" t="s">
        <v>23</v>
      </c>
      <c r="D747" s="67" t="s">
        <v>42</v>
      </c>
      <c r="E747" s="67" t="s">
        <v>53</v>
      </c>
      <c r="F747" s="67">
        <v>787</v>
      </c>
      <c r="G747" s="68">
        <v>2038.33</v>
      </c>
    </row>
    <row r="748" spans="1:7" x14ac:dyDescent="0.25">
      <c r="A748" s="67">
        <v>2007</v>
      </c>
      <c r="B748" s="67" t="s">
        <v>22</v>
      </c>
      <c r="C748" s="67" t="s">
        <v>23</v>
      </c>
      <c r="D748" s="67" t="s">
        <v>42</v>
      </c>
      <c r="E748" s="67" t="s">
        <v>53</v>
      </c>
      <c r="F748" s="67">
        <v>572</v>
      </c>
      <c r="G748" s="68">
        <v>1355.64</v>
      </c>
    </row>
    <row r="749" spans="1:7" x14ac:dyDescent="0.25">
      <c r="A749" s="67">
        <v>2006</v>
      </c>
      <c r="B749" s="67" t="s">
        <v>29</v>
      </c>
      <c r="C749" s="67" t="s">
        <v>30</v>
      </c>
      <c r="D749" s="67" t="s">
        <v>42</v>
      </c>
      <c r="E749" s="67" t="s">
        <v>43</v>
      </c>
      <c r="F749" s="67">
        <v>632</v>
      </c>
      <c r="G749" s="68">
        <v>1308.24</v>
      </c>
    </row>
    <row r="750" spans="1:7" x14ac:dyDescent="0.25">
      <c r="A750" s="67">
        <v>2006</v>
      </c>
      <c r="B750" s="67" t="s">
        <v>37</v>
      </c>
      <c r="C750" s="67" t="s">
        <v>32</v>
      </c>
      <c r="D750" s="67" t="s">
        <v>35</v>
      </c>
      <c r="E750" s="67" t="s">
        <v>36</v>
      </c>
      <c r="F750" s="67">
        <v>883</v>
      </c>
      <c r="G750" s="68">
        <v>2922.73</v>
      </c>
    </row>
    <row r="751" spans="1:7" x14ac:dyDescent="0.25">
      <c r="A751" s="67">
        <v>2007</v>
      </c>
      <c r="B751" s="67" t="s">
        <v>41</v>
      </c>
      <c r="C751" s="67" t="s">
        <v>34</v>
      </c>
      <c r="D751" s="67" t="s">
        <v>27</v>
      </c>
      <c r="E751" s="67" t="s">
        <v>28</v>
      </c>
      <c r="F751" s="67">
        <v>528</v>
      </c>
      <c r="G751" s="68">
        <v>1177.44</v>
      </c>
    </row>
    <row r="752" spans="1:7" x14ac:dyDescent="0.25">
      <c r="A752" s="67">
        <v>2006</v>
      </c>
      <c r="B752" s="67" t="s">
        <v>44</v>
      </c>
      <c r="C752" s="67" t="s">
        <v>32</v>
      </c>
      <c r="D752" s="67" t="s">
        <v>35</v>
      </c>
      <c r="E752" s="67" t="s">
        <v>40</v>
      </c>
      <c r="F752" s="67">
        <v>773</v>
      </c>
      <c r="G752" s="68">
        <v>2148.94</v>
      </c>
    </row>
    <row r="753" spans="1:7" x14ac:dyDescent="0.25">
      <c r="A753" s="67">
        <v>2007</v>
      </c>
      <c r="B753" s="67" t="s">
        <v>37</v>
      </c>
      <c r="C753" s="67" t="s">
        <v>34</v>
      </c>
      <c r="D753" s="67" t="s">
        <v>27</v>
      </c>
      <c r="E753" s="67" t="s">
        <v>49</v>
      </c>
      <c r="F753" s="67">
        <v>980</v>
      </c>
      <c r="G753" s="68">
        <v>2979.2</v>
      </c>
    </row>
    <row r="754" spans="1:7" x14ac:dyDescent="0.25">
      <c r="A754" s="67">
        <v>2007</v>
      </c>
      <c r="B754" s="67" t="s">
        <v>37</v>
      </c>
      <c r="C754" s="67" t="s">
        <v>23</v>
      </c>
      <c r="D754" s="67" t="s">
        <v>24</v>
      </c>
      <c r="E754" s="67" t="s">
        <v>31</v>
      </c>
      <c r="F754" s="67">
        <v>606</v>
      </c>
      <c r="G754" s="68">
        <v>1830.12</v>
      </c>
    </row>
    <row r="755" spans="1:7" x14ac:dyDescent="0.25">
      <c r="A755" s="67">
        <v>2007</v>
      </c>
      <c r="B755" s="67" t="s">
        <v>26</v>
      </c>
      <c r="C755" s="67" t="s">
        <v>32</v>
      </c>
      <c r="D755" s="67" t="s">
        <v>42</v>
      </c>
      <c r="E755" s="67" t="s">
        <v>45</v>
      </c>
      <c r="F755" s="67">
        <v>710</v>
      </c>
      <c r="G755" s="68">
        <v>1718.2</v>
      </c>
    </row>
    <row r="756" spans="1:7" x14ac:dyDescent="0.25">
      <c r="A756" s="67">
        <v>2007</v>
      </c>
      <c r="B756" s="67" t="s">
        <v>37</v>
      </c>
      <c r="C756" s="67" t="s">
        <v>30</v>
      </c>
      <c r="D756" s="67" t="s">
        <v>24</v>
      </c>
      <c r="E756" s="67" t="s">
        <v>31</v>
      </c>
      <c r="F756" s="67">
        <v>594</v>
      </c>
      <c r="G756" s="68">
        <v>1877.04</v>
      </c>
    </row>
    <row r="757" spans="1:7" x14ac:dyDescent="0.25">
      <c r="A757" s="67">
        <v>2007</v>
      </c>
      <c r="B757" s="67" t="s">
        <v>50</v>
      </c>
      <c r="C757" s="67" t="s">
        <v>30</v>
      </c>
      <c r="D757" s="67" t="s">
        <v>27</v>
      </c>
      <c r="E757" s="67" t="s">
        <v>28</v>
      </c>
      <c r="F757" s="67">
        <v>717</v>
      </c>
      <c r="G757" s="68">
        <v>1821.18</v>
      </c>
    </row>
    <row r="758" spans="1:7" x14ac:dyDescent="0.25">
      <c r="A758" s="67">
        <v>2005</v>
      </c>
      <c r="B758" s="67" t="s">
        <v>29</v>
      </c>
      <c r="C758" s="67" t="s">
        <v>32</v>
      </c>
      <c r="D758" s="67" t="s">
        <v>27</v>
      </c>
      <c r="E758" s="67" t="s">
        <v>28</v>
      </c>
      <c r="F758" s="67">
        <v>580</v>
      </c>
      <c r="G758" s="68">
        <v>2035.8</v>
      </c>
    </row>
    <row r="759" spans="1:7" x14ac:dyDescent="0.25">
      <c r="A759" s="67">
        <v>2005</v>
      </c>
      <c r="B759" s="67" t="s">
        <v>33</v>
      </c>
      <c r="C759" s="67" t="s">
        <v>34</v>
      </c>
      <c r="D759" s="67" t="s">
        <v>42</v>
      </c>
      <c r="E759" s="67" t="s">
        <v>45</v>
      </c>
      <c r="F759" s="67">
        <v>750</v>
      </c>
      <c r="G759" s="68">
        <v>2587.5</v>
      </c>
    </row>
    <row r="760" spans="1:7" x14ac:dyDescent="0.25">
      <c r="A760" s="67">
        <v>2006</v>
      </c>
      <c r="B760" s="67" t="s">
        <v>48</v>
      </c>
      <c r="C760" s="67" t="s">
        <v>32</v>
      </c>
      <c r="D760" s="67" t="s">
        <v>24</v>
      </c>
      <c r="E760" s="67" t="s">
        <v>47</v>
      </c>
      <c r="F760" s="67">
        <v>622</v>
      </c>
      <c r="G760" s="68">
        <v>2413.36</v>
      </c>
    </row>
    <row r="761" spans="1:7" x14ac:dyDescent="0.25">
      <c r="A761" s="67">
        <v>2006</v>
      </c>
      <c r="B761" s="67" t="s">
        <v>52</v>
      </c>
      <c r="C761" s="67" t="s">
        <v>34</v>
      </c>
      <c r="D761" s="67" t="s">
        <v>27</v>
      </c>
      <c r="E761" s="67" t="s">
        <v>55</v>
      </c>
      <c r="F761" s="67">
        <v>800</v>
      </c>
      <c r="G761" s="68">
        <v>1976</v>
      </c>
    </row>
    <row r="762" spans="1:7" x14ac:dyDescent="0.25">
      <c r="A762" s="67">
        <v>2005</v>
      </c>
      <c r="B762" s="67" t="s">
        <v>37</v>
      </c>
      <c r="C762" s="67" t="s">
        <v>32</v>
      </c>
      <c r="D762" s="67" t="s">
        <v>42</v>
      </c>
      <c r="E762" s="67" t="s">
        <v>43</v>
      </c>
      <c r="F762" s="67">
        <v>983</v>
      </c>
      <c r="G762" s="68">
        <v>3705.91</v>
      </c>
    </row>
    <row r="763" spans="1:7" x14ac:dyDescent="0.25">
      <c r="A763" s="67">
        <v>2006</v>
      </c>
      <c r="B763" s="67" t="s">
        <v>50</v>
      </c>
      <c r="C763" s="67" t="s">
        <v>30</v>
      </c>
      <c r="D763" s="67" t="s">
        <v>42</v>
      </c>
      <c r="E763" s="67" t="s">
        <v>45</v>
      </c>
      <c r="F763" s="67">
        <v>866</v>
      </c>
      <c r="G763" s="68">
        <v>1757.98</v>
      </c>
    </row>
    <row r="764" spans="1:7" x14ac:dyDescent="0.25">
      <c r="A764" s="67">
        <v>2005</v>
      </c>
      <c r="B764" s="67" t="s">
        <v>39</v>
      </c>
      <c r="C764" s="67" t="s">
        <v>34</v>
      </c>
      <c r="D764" s="67" t="s">
        <v>42</v>
      </c>
      <c r="E764" s="67" t="s">
        <v>43</v>
      </c>
      <c r="F764" s="67">
        <v>833</v>
      </c>
      <c r="G764" s="68">
        <v>2390.71</v>
      </c>
    </row>
    <row r="765" spans="1:7" x14ac:dyDescent="0.25">
      <c r="A765" s="67">
        <v>2006</v>
      </c>
      <c r="B765" s="67" t="s">
        <v>41</v>
      </c>
      <c r="C765" s="67" t="s">
        <v>30</v>
      </c>
      <c r="D765" s="67" t="s">
        <v>42</v>
      </c>
      <c r="E765" s="67" t="s">
        <v>53</v>
      </c>
      <c r="F765" s="67">
        <v>915</v>
      </c>
      <c r="G765" s="68">
        <v>1958.1</v>
      </c>
    </row>
    <row r="766" spans="1:7" x14ac:dyDescent="0.25">
      <c r="A766" s="67">
        <v>2007</v>
      </c>
      <c r="B766" s="67" t="s">
        <v>33</v>
      </c>
      <c r="C766" s="67" t="s">
        <v>34</v>
      </c>
      <c r="D766" s="67" t="s">
        <v>27</v>
      </c>
      <c r="E766" s="67" t="s">
        <v>28</v>
      </c>
      <c r="F766" s="67">
        <v>787</v>
      </c>
      <c r="G766" s="68">
        <v>2856.81</v>
      </c>
    </row>
    <row r="767" spans="1:7" x14ac:dyDescent="0.25">
      <c r="A767" s="67">
        <v>2005</v>
      </c>
      <c r="B767" s="67" t="s">
        <v>26</v>
      </c>
      <c r="C767" s="67" t="s">
        <v>32</v>
      </c>
      <c r="D767" s="67" t="s">
        <v>27</v>
      </c>
      <c r="E767" s="67" t="s">
        <v>49</v>
      </c>
      <c r="F767" s="67">
        <v>766</v>
      </c>
      <c r="G767" s="68">
        <v>2841.86</v>
      </c>
    </row>
    <row r="768" spans="1:7" x14ac:dyDescent="0.25">
      <c r="A768" s="67">
        <v>2007</v>
      </c>
      <c r="B768" s="67" t="s">
        <v>41</v>
      </c>
      <c r="C768" s="67" t="s">
        <v>34</v>
      </c>
      <c r="D768" s="67" t="s">
        <v>35</v>
      </c>
      <c r="E768" s="67" t="s">
        <v>38</v>
      </c>
      <c r="F768" s="67">
        <v>954</v>
      </c>
      <c r="G768" s="68">
        <v>2222.8200000000002</v>
      </c>
    </row>
    <row r="769" spans="1:7" x14ac:dyDescent="0.25">
      <c r="A769" s="67">
        <v>2006</v>
      </c>
      <c r="B769" s="67" t="s">
        <v>51</v>
      </c>
      <c r="C769" s="67" t="s">
        <v>30</v>
      </c>
      <c r="D769" s="67" t="s">
        <v>27</v>
      </c>
      <c r="E769" s="67" t="s">
        <v>55</v>
      </c>
      <c r="F769" s="67">
        <v>823</v>
      </c>
      <c r="G769" s="68">
        <v>3234.39</v>
      </c>
    </row>
    <row r="770" spans="1:7" x14ac:dyDescent="0.25">
      <c r="A770" s="67">
        <v>2005</v>
      </c>
      <c r="B770" s="67" t="s">
        <v>26</v>
      </c>
      <c r="C770" s="67" t="s">
        <v>30</v>
      </c>
      <c r="D770" s="67" t="s">
        <v>24</v>
      </c>
      <c r="E770" s="67" t="s">
        <v>47</v>
      </c>
      <c r="F770" s="67">
        <v>794</v>
      </c>
      <c r="G770" s="68">
        <v>2985.44</v>
      </c>
    </row>
    <row r="771" spans="1:7" x14ac:dyDescent="0.25">
      <c r="A771" s="67">
        <v>2007</v>
      </c>
      <c r="B771" s="67" t="s">
        <v>26</v>
      </c>
      <c r="C771" s="67" t="s">
        <v>30</v>
      </c>
      <c r="D771" s="67" t="s">
        <v>42</v>
      </c>
      <c r="E771" s="67" t="s">
        <v>53</v>
      </c>
      <c r="F771" s="67">
        <v>578</v>
      </c>
      <c r="G771" s="68">
        <v>1277.3800000000001</v>
      </c>
    </row>
    <row r="772" spans="1:7" x14ac:dyDescent="0.25">
      <c r="A772" s="67">
        <v>2007</v>
      </c>
      <c r="B772" s="67" t="s">
        <v>33</v>
      </c>
      <c r="C772" s="67" t="s">
        <v>32</v>
      </c>
      <c r="D772" s="67" t="s">
        <v>42</v>
      </c>
      <c r="E772" s="67" t="s">
        <v>43</v>
      </c>
      <c r="F772" s="67">
        <v>945</v>
      </c>
      <c r="G772" s="68">
        <v>3430.35</v>
      </c>
    </row>
    <row r="773" spans="1:7" x14ac:dyDescent="0.25">
      <c r="A773" s="67">
        <v>2007</v>
      </c>
      <c r="B773" s="67" t="s">
        <v>48</v>
      </c>
      <c r="C773" s="67" t="s">
        <v>34</v>
      </c>
      <c r="D773" s="67" t="s">
        <v>27</v>
      </c>
      <c r="E773" s="67" t="s">
        <v>55</v>
      </c>
      <c r="F773" s="67">
        <v>600</v>
      </c>
      <c r="G773" s="68">
        <v>1878</v>
      </c>
    </row>
    <row r="774" spans="1:7" x14ac:dyDescent="0.25">
      <c r="A774" s="67">
        <v>2006</v>
      </c>
      <c r="B774" s="67" t="s">
        <v>39</v>
      </c>
      <c r="C774" s="67" t="s">
        <v>30</v>
      </c>
      <c r="D774" s="67" t="s">
        <v>27</v>
      </c>
      <c r="E774" s="67" t="s">
        <v>55</v>
      </c>
      <c r="F774" s="67">
        <v>606</v>
      </c>
      <c r="G774" s="68">
        <v>2248.2600000000002</v>
      </c>
    </row>
    <row r="775" spans="1:7" x14ac:dyDescent="0.25">
      <c r="A775" s="67">
        <v>2007</v>
      </c>
      <c r="B775" s="67" t="s">
        <v>37</v>
      </c>
      <c r="C775" s="67" t="s">
        <v>23</v>
      </c>
      <c r="D775" s="67" t="s">
        <v>42</v>
      </c>
      <c r="E775" s="67" t="s">
        <v>43</v>
      </c>
      <c r="F775" s="67">
        <v>781</v>
      </c>
      <c r="G775" s="68">
        <v>2827.22</v>
      </c>
    </row>
    <row r="776" spans="1:7" x14ac:dyDescent="0.25">
      <c r="A776" s="67">
        <v>2006</v>
      </c>
      <c r="B776" s="67" t="s">
        <v>33</v>
      </c>
      <c r="C776" s="67" t="s">
        <v>30</v>
      </c>
      <c r="D776" s="67" t="s">
        <v>27</v>
      </c>
      <c r="E776" s="67" t="s">
        <v>28</v>
      </c>
      <c r="F776" s="67">
        <v>905</v>
      </c>
      <c r="G776" s="68">
        <v>2859.8</v>
      </c>
    </row>
    <row r="777" spans="1:7" x14ac:dyDescent="0.25">
      <c r="A777" s="67">
        <v>2006</v>
      </c>
      <c r="B777" s="67" t="s">
        <v>33</v>
      </c>
      <c r="C777" s="67" t="s">
        <v>32</v>
      </c>
      <c r="D777" s="67" t="s">
        <v>24</v>
      </c>
      <c r="E777" s="67" t="s">
        <v>25</v>
      </c>
      <c r="F777" s="67">
        <v>647</v>
      </c>
      <c r="G777" s="68">
        <v>1850.42</v>
      </c>
    </row>
    <row r="778" spans="1:7" x14ac:dyDescent="0.25">
      <c r="A778" s="67">
        <v>2005</v>
      </c>
      <c r="B778" s="67" t="s">
        <v>44</v>
      </c>
      <c r="C778" s="67" t="s">
        <v>32</v>
      </c>
      <c r="D778" s="67" t="s">
        <v>35</v>
      </c>
      <c r="E778" s="67" t="s">
        <v>38</v>
      </c>
      <c r="F778" s="67">
        <v>957</v>
      </c>
      <c r="G778" s="68">
        <v>3368.64</v>
      </c>
    </row>
    <row r="779" spans="1:7" x14ac:dyDescent="0.25">
      <c r="A779" s="67">
        <v>2006</v>
      </c>
      <c r="B779" s="67" t="s">
        <v>22</v>
      </c>
      <c r="C779" s="67" t="s">
        <v>30</v>
      </c>
      <c r="D779" s="67" t="s">
        <v>42</v>
      </c>
      <c r="E779" s="67" t="s">
        <v>45</v>
      </c>
      <c r="F779" s="67">
        <v>684</v>
      </c>
      <c r="G779" s="68">
        <v>1922.04</v>
      </c>
    </row>
    <row r="780" spans="1:7" x14ac:dyDescent="0.25">
      <c r="A780" s="67">
        <v>2005</v>
      </c>
      <c r="B780" s="67" t="s">
        <v>26</v>
      </c>
      <c r="C780" s="67" t="s">
        <v>23</v>
      </c>
      <c r="D780" s="67" t="s">
        <v>42</v>
      </c>
      <c r="E780" s="67" t="s">
        <v>53</v>
      </c>
      <c r="F780" s="67">
        <v>685</v>
      </c>
      <c r="G780" s="68">
        <v>1465.9</v>
      </c>
    </row>
    <row r="781" spans="1:7" x14ac:dyDescent="0.25">
      <c r="A781" s="67">
        <v>2005</v>
      </c>
      <c r="B781" s="67" t="s">
        <v>41</v>
      </c>
      <c r="C781" s="67" t="s">
        <v>30</v>
      </c>
      <c r="D781" s="67" t="s">
        <v>35</v>
      </c>
      <c r="E781" s="67" t="s">
        <v>46</v>
      </c>
      <c r="F781" s="67">
        <v>701</v>
      </c>
      <c r="G781" s="68">
        <v>1556.22</v>
      </c>
    </row>
    <row r="782" spans="1:7" x14ac:dyDescent="0.25">
      <c r="A782" s="67">
        <v>2007</v>
      </c>
      <c r="B782" s="67" t="s">
        <v>41</v>
      </c>
      <c r="C782" s="67" t="s">
        <v>23</v>
      </c>
      <c r="D782" s="67" t="s">
        <v>24</v>
      </c>
      <c r="E782" s="67" t="s">
        <v>54</v>
      </c>
      <c r="F782" s="67">
        <v>745</v>
      </c>
      <c r="G782" s="68">
        <v>1758.2</v>
      </c>
    </row>
    <row r="783" spans="1:7" x14ac:dyDescent="0.25">
      <c r="A783" s="67">
        <v>2005</v>
      </c>
      <c r="B783" s="67" t="s">
        <v>37</v>
      </c>
      <c r="C783" s="67" t="s">
        <v>34</v>
      </c>
      <c r="D783" s="67" t="s">
        <v>35</v>
      </c>
      <c r="E783" s="67" t="s">
        <v>46</v>
      </c>
      <c r="F783" s="67">
        <v>815</v>
      </c>
      <c r="G783" s="68">
        <v>2029.35</v>
      </c>
    </row>
    <row r="784" spans="1:7" x14ac:dyDescent="0.25">
      <c r="A784" s="67">
        <v>2006</v>
      </c>
      <c r="B784" s="67" t="s">
        <v>22</v>
      </c>
      <c r="C784" s="67" t="s">
        <v>30</v>
      </c>
      <c r="D784" s="67" t="s">
        <v>42</v>
      </c>
      <c r="E784" s="67" t="s">
        <v>53</v>
      </c>
      <c r="F784" s="67">
        <v>898</v>
      </c>
      <c r="G784" s="68">
        <v>2101.3200000000002</v>
      </c>
    </row>
    <row r="785" spans="1:7" x14ac:dyDescent="0.25">
      <c r="A785" s="67">
        <v>2005</v>
      </c>
      <c r="B785" s="67" t="s">
        <v>41</v>
      </c>
      <c r="C785" s="67" t="s">
        <v>30</v>
      </c>
      <c r="D785" s="67" t="s">
        <v>27</v>
      </c>
      <c r="E785" s="67" t="s">
        <v>28</v>
      </c>
      <c r="F785" s="67">
        <v>621</v>
      </c>
      <c r="G785" s="68">
        <v>1428.3</v>
      </c>
    </row>
    <row r="786" spans="1:7" x14ac:dyDescent="0.25">
      <c r="A786" s="67">
        <v>2005</v>
      </c>
      <c r="B786" s="67" t="s">
        <v>33</v>
      </c>
      <c r="C786" s="67" t="s">
        <v>23</v>
      </c>
      <c r="D786" s="67" t="s">
        <v>42</v>
      </c>
      <c r="E786" s="67" t="s">
        <v>45</v>
      </c>
      <c r="F786" s="67">
        <v>736</v>
      </c>
      <c r="G786" s="68">
        <v>1972.48</v>
      </c>
    </row>
    <row r="787" spans="1:7" x14ac:dyDescent="0.25">
      <c r="A787" s="67">
        <v>2007</v>
      </c>
      <c r="B787" s="67" t="s">
        <v>50</v>
      </c>
      <c r="C787" s="67" t="s">
        <v>30</v>
      </c>
      <c r="D787" s="67" t="s">
        <v>24</v>
      </c>
      <c r="E787" s="67" t="s">
        <v>54</v>
      </c>
      <c r="F787" s="67">
        <v>906</v>
      </c>
      <c r="G787" s="68">
        <v>3053.22</v>
      </c>
    </row>
    <row r="788" spans="1:7" x14ac:dyDescent="0.25">
      <c r="A788" s="67">
        <v>2005</v>
      </c>
      <c r="B788" s="67" t="s">
        <v>51</v>
      </c>
      <c r="C788" s="67" t="s">
        <v>34</v>
      </c>
      <c r="D788" s="67" t="s">
        <v>35</v>
      </c>
      <c r="E788" s="67" t="s">
        <v>36</v>
      </c>
      <c r="F788" s="67">
        <v>874</v>
      </c>
      <c r="G788" s="68">
        <v>2875.46</v>
      </c>
    </row>
    <row r="789" spans="1:7" x14ac:dyDescent="0.25">
      <c r="A789" s="67">
        <v>2005</v>
      </c>
      <c r="B789" s="67" t="s">
        <v>22</v>
      </c>
      <c r="C789" s="67" t="s">
        <v>23</v>
      </c>
      <c r="D789" s="67" t="s">
        <v>42</v>
      </c>
      <c r="E789" s="67" t="s">
        <v>45</v>
      </c>
      <c r="F789" s="67">
        <v>913</v>
      </c>
      <c r="G789" s="68">
        <v>2958.12</v>
      </c>
    </row>
    <row r="790" spans="1:7" x14ac:dyDescent="0.25">
      <c r="A790" s="67">
        <v>2006</v>
      </c>
      <c r="B790" s="67" t="s">
        <v>50</v>
      </c>
      <c r="C790" s="67" t="s">
        <v>23</v>
      </c>
      <c r="D790" s="67" t="s">
        <v>42</v>
      </c>
      <c r="E790" s="67" t="s">
        <v>43</v>
      </c>
      <c r="F790" s="67">
        <v>503</v>
      </c>
      <c r="G790" s="68">
        <v>1182.05</v>
      </c>
    </row>
    <row r="791" spans="1:7" x14ac:dyDescent="0.25">
      <c r="A791" s="67">
        <v>2006</v>
      </c>
      <c r="B791" s="67" t="s">
        <v>41</v>
      </c>
      <c r="C791" s="67" t="s">
        <v>23</v>
      </c>
      <c r="D791" s="67" t="s">
        <v>42</v>
      </c>
      <c r="E791" s="67" t="s">
        <v>43</v>
      </c>
      <c r="F791" s="67">
        <v>938</v>
      </c>
      <c r="G791" s="68">
        <v>2316.86</v>
      </c>
    </row>
    <row r="792" spans="1:7" x14ac:dyDescent="0.25">
      <c r="A792" s="67">
        <v>2007</v>
      </c>
      <c r="B792" s="67" t="s">
        <v>44</v>
      </c>
      <c r="C792" s="67" t="s">
        <v>32</v>
      </c>
      <c r="D792" s="67" t="s">
        <v>42</v>
      </c>
      <c r="E792" s="67" t="s">
        <v>45</v>
      </c>
      <c r="F792" s="67">
        <v>994</v>
      </c>
      <c r="G792" s="68">
        <v>2763.32</v>
      </c>
    </row>
    <row r="793" spans="1:7" x14ac:dyDescent="0.25">
      <c r="A793" s="67">
        <v>2006</v>
      </c>
      <c r="B793" s="67" t="s">
        <v>48</v>
      </c>
      <c r="C793" s="67" t="s">
        <v>23</v>
      </c>
      <c r="D793" s="67" t="s">
        <v>24</v>
      </c>
      <c r="E793" s="67" t="s">
        <v>47</v>
      </c>
      <c r="F793" s="67">
        <v>963</v>
      </c>
      <c r="G793" s="68">
        <v>2908.26</v>
      </c>
    </row>
    <row r="794" spans="1:7" x14ac:dyDescent="0.25">
      <c r="A794" s="67">
        <v>2006</v>
      </c>
      <c r="B794" s="67" t="s">
        <v>50</v>
      </c>
      <c r="C794" s="67" t="s">
        <v>23</v>
      </c>
      <c r="D794" s="67" t="s">
        <v>35</v>
      </c>
      <c r="E794" s="67" t="s">
        <v>38</v>
      </c>
      <c r="F794" s="67">
        <v>505</v>
      </c>
      <c r="G794" s="68">
        <v>1732.15</v>
      </c>
    </row>
    <row r="795" spans="1:7" x14ac:dyDescent="0.25">
      <c r="A795" s="67">
        <v>2007</v>
      </c>
      <c r="B795" s="67" t="s">
        <v>48</v>
      </c>
      <c r="C795" s="67" t="s">
        <v>34</v>
      </c>
      <c r="D795" s="67" t="s">
        <v>24</v>
      </c>
      <c r="E795" s="67" t="s">
        <v>54</v>
      </c>
      <c r="F795" s="67">
        <v>602</v>
      </c>
      <c r="G795" s="68">
        <v>1727.74</v>
      </c>
    </row>
    <row r="796" spans="1:7" x14ac:dyDescent="0.25">
      <c r="A796" s="67">
        <v>2005</v>
      </c>
      <c r="B796" s="67" t="s">
        <v>52</v>
      </c>
      <c r="C796" s="67" t="s">
        <v>32</v>
      </c>
      <c r="D796" s="67" t="s">
        <v>27</v>
      </c>
      <c r="E796" s="67" t="s">
        <v>55</v>
      </c>
      <c r="F796" s="67">
        <v>891</v>
      </c>
      <c r="G796" s="68">
        <v>3189.78</v>
      </c>
    </row>
    <row r="797" spans="1:7" x14ac:dyDescent="0.25">
      <c r="A797" s="67">
        <v>2005</v>
      </c>
      <c r="B797" s="67" t="s">
        <v>39</v>
      </c>
      <c r="C797" s="67" t="s">
        <v>23</v>
      </c>
      <c r="D797" s="67" t="s">
        <v>42</v>
      </c>
      <c r="E797" s="67" t="s">
        <v>53</v>
      </c>
      <c r="F797" s="67">
        <v>980</v>
      </c>
      <c r="G797" s="68">
        <v>3087</v>
      </c>
    </row>
    <row r="798" spans="1:7" x14ac:dyDescent="0.25">
      <c r="A798" s="67">
        <v>2007</v>
      </c>
      <c r="B798" s="67" t="s">
        <v>41</v>
      </c>
      <c r="C798" s="67" t="s">
        <v>23</v>
      </c>
      <c r="D798" s="67" t="s">
        <v>24</v>
      </c>
      <c r="E798" s="67" t="s">
        <v>31</v>
      </c>
      <c r="F798" s="67">
        <v>798</v>
      </c>
      <c r="G798" s="68">
        <v>1995</v>
      </c>
    </row>
    <row r="799" spans="1:7" x14ac:dyDescent="0.25">
      <c r="A799" s="67">
        <v>2006</v>
      </c>
      <c r="B799" s="67" t="s">
        <v>44</v>
      </c>
      <c r="C799" s="67" t="s">
        <v>30</v>
      </c>
      <c r="D799" s="67" t="s">
        <v>24</v>
      </c>
      <c r="E799" s="67" t="s">
        <v>54</v>
      </c>
      <c r="F799" s="67">
        <v>578</v>
      </c>
      <c r="G799" s="68">
        <v>1179.1199999999999</v>
      </c>
    </row>
    <row r="800" spans="1:7" x14ac:dyDescent="0.25">
      <c r="A800" s="67">
        <v>2006</v>
      </c>
      <c r="B800" s="67" t="s">
        <v>48</v>
      </c>
      <c r="C800" s="67" t="s">
        <v>34</v>
      </c>
      <c r="D800" s="67" t="s">
        <v>24</v>
      </c>
      <c r="E800" s="67" t="s">
        <v>54</v>
      </c>
      <c r="F800" s="67">
        <v>994</v>
      </c>
      <c r="G800" s="68">
        <v>3121.16</v>
      </c>
    </row>
    <row r="801" spans="1:7" x14ac:dyDescent="0.25">
      <c r="A801" s="67">
        <v>2007</v>
      </c>
      <c r="B801" s="67" t="s">
        <v>48</v>
      </c>
      <c r="C801" s="67" t="s">
        <v>30</v>
      </c>
      <c r="D801" s="67" t="s">
        <v>42</v>
      </c>
      <c r="E801" s="67" t="s">
        <v>53</v>
      </c>
      <c r="F801" s="67">
        <v>685</v>
      </c>
      <c r="G801" s="68">
        <v>1739.9</v>
      </c>
    </row>
    <row r="802" spans="1:7" x14ac:dyDescent="0.25">
      <c r="A802" s="67">
        <v>2006</v>
      </c>
      <c r="B802" s="67" t="s">
        <v>29</v>
      </c>
      <c r="C802" s="67" t="s">
        <v>23</v>
      </c>
      <c r="D802" s="67" t="s">
        <v>27</v>
      </c>
      <c r="E802" s="67" t="s">
        <v>28</v>
      </c>
      <c r="F802" s="67">
        <v>720</v>
      </c>
      <c r="G802" s="68">
        <v>1591.2</v>
      </c>
    </row>
    <row r="803" spans="1:7" x14ac:dyDescent="0.25">
      <c r="A803" s="67">
        <v>2007</v>
      </c>
      <c r="B803" s="67" t="s">
        <v>52</v>
      </c>
      <c r="C803" s="67" t="s">
        <v>34</v>
      </c>
      <c r="D803" s="67" t="s">
        <v>42</v>
      </c>
      <c r="E803" s="67" t="s">
        <v>45</v>
      </c>
      <c r="F803" s="67">
        <v>779</v>
      </c>
      <c r="G803" s="68">
        <v>2079.9299999999998</v>
      </c>
    </row>
    <row r="804" spans="1:7" x14ac:dyDescent="0.25">
      <c r="A804" s="67">
        <v>2007</v>
      </c>
      <c r="B804" s="67" t="s">
        <v>33</v>
      </c>
      <c r="C804" s="67" t="s">
        <v>23</v>
      </c>
      <c r="D804" s="67" t="s">
        <v>42</v>
      </c>
      <c r="E804" s="67" t="s">
        <v>45</v>
      </c>
      <c r="F804" s="67">
        <v>913</v>
      </c>
      <c r="G804" s="68">
        <v>3569.83</v>
      </c>
    </row>
    <row r="805" spans="1:7" x14ac:dyDescent="0.25">
      <c r="A805" s="67">
        <v>2007</v>
      </c>
      <c r="B805" s="67" t="s">
        <v>37</v>
      </c>
      <c r="C805" s="67" t="s">
        <v>32</v>
      </c>
      <c r="D805" s="67" t="s">
        <v>24</v>
      </c>
      <c r="E805" s="67" t="s">
        <v>25</v>
      </c>
      <c r="F805" s="67">
        <v>721</v>
      </c>
      <c r="G805" s="68">
        <v>1701.56</v>
      </c>
    </row>
    <row r="806" spans="1:7" x14ac:dyDescent="0.25">
      <c r="A806" s="67">
        <v>2006</v>
      </c>
      <c r="B806" s="67" t="s">
        <v>22</v>
      </c>
      <c r="C806" s="67" t="s">
        <v>32</v>
      </c>
      <c r="D806" s="67" t="s">
        <v>35</v>
      </c>
      <c r="E806" s="67" t="s">
        <v>38</v>
      </c>
      <c r="F806" s="67">
        <v>804</v>
      </c>
      <c r="G806" s="68">
        <v>2026.08</v>
      </c>
    </row>
    <row r="807" spans="1:7" x14ac:dyDescent="0.25">
      <c r="A807" s="67">
        <v>2007</v>
      </c>
      <c r="B807" s="67" t="s">
        <v>22</v>
      </c>
      <c r="C807" s="67" t="s">
        <v>32</v>
      </c>
      <c r="D807" s="67" t="s">
        <v>24</v>
      </c>
      <c r="E807" s="67" t="s">
        <v>25</v>
      </c>
      <c r="F807" s="67">
        <v>948</v>
      </c>
      <c r="G807" s="68">
        <v>3630.84</v>
      </c>
    </row>
    <row r="808" spans="1:7" x14ac:dyDescent="0.25">
      <c r="A808" s="67">
        <v>2006</v>
      </c>
      <c r="B808" s="67" t="s">
        <v>41</v>
      </c>
      <c r="C808" s="67" t="s">
        <v>23</v>
      </c>
      <c r="D808" s="67" t="s">
        <v>27</v>
      </c>
      <c r="E808" s="67" t="s">
        <v>49</v>
      </c>
      <c r="F808" s="67">
        <v>711</v>
      </c>
      <c r="G808" s="68">
        <v>2189.88</v>
      </c>
    </row>
    <row r="809" spans="1:7" x14ac:dyDescent="0.25">
      <c r="A809" s="67">
        <v>2007</v>
      </c>
      <c r="B809" s="67" t="s">
        <v>29</v>
      </c>
      <c r="C809" s="67" t="s">
        <v>32</v>
      </c>
      <c r="D809" s="67" t="s">
        <v>42</v>
      </c>
      <c r="E809" s="67" t="s">
        <v>43</v>
      </c>
      <c r="F809" s="67">
        <v>731</v>
      </c>
      <c r="G809" s="68">
        <v>2288.0300000000002</v>
      </c>
    </row>
    <row r="810" spans="1:7" x14ac:dyDescent="0.25">
      <c r="A810" s="67">
        <v>2006</v>
      </c>
      <c r="B810" s="67" t="s">
        <v>50</v>
      </c>
      <c r="C810" s="67" t="s">
        <v>32</v>
      </c>
      <c r="D810" s="67" t="s">
        <v>35</v>
      </c>
      <c r="E810" s="67" t="s">
        <v>36</v>
      </c>
      <c r="F810" s="67">
        <v>568</v>
      </c>
      <c r="G810" s="68">
        <v>1874.4</v>
      </c>
    </row>
    <row r="811" spans="1:7" x14ac:dyDescent="0.25">
      <c r="A811" s="67">
        <v>2006</v>
      </c>
      <c r="B811" s="67" t="s">
        <v>52</v>
      </c>
      <c r="C811" s="67" t="s">
        <v>23</v>
      </c>
      <c r="D811" s="67" t="s">
        <v>35</v>
      </c>
      <c r="E811" s="67" t="s">
        <v>46</v>
      </c>
      <c r="F811" s="67">
        <v>571</v>
      </c>
      <c r="G811" s="68">
        <v>1199.0999999999999</v>
      </c>
    </row>
    <row r="812" spans="1:7" x14ac:dyDescent="0.25">
      <c r="A812" s="67">
        <v>2005</v>
      </c>
      <c r="B812" s="67" t="s">
        <v>41</v>
      </c>
      <c r="C812" s="67" t="s">
        <v>34</v>
      </c>
      <c r="D812" s="67" t="s">
        <v>24</v>
      </c>
      <c r="E812" s="67" t="s">
        <v>31</v>
      </c>
      <c r="F812" s="67">
        <v>660</v>
      </c>
      <c r="G812" s="68">
        <v>1650</v>
      </c>
    </row>
    <row r="813" spans="1:7" x14ac:dyDescent="0.25">
      <c r="A813" s="67">
        <v>2005</v>
      </c>
      <c r="B813" s="67" t="s">
        <v>39</v>
      </c>
      <c r="C813" s="67" t="s">
        <v>32</v>
      </c>
      <c r="D813" s="67" t="s">
        <v>42</v>
      </c>
      <c r="E813" s="67" t="s">
        <v>45</v>
      </c>
      <c r="F813" s="67">
        <v>882</v>
      </c>
      <c r="G813" s="68">
        <v>2231.46</v>
      </c>
    </row>
    <row r="814" spans="1:7" x14ac:dyDescent="0.25">
      <c r="A814" s="67">
        <v>2007</v>
      </c>
      <c r="B814" s="67" t="s">
        <v>29</v>
      </c>
      <c r="C814" s="67" t="s">
        <v>30</v>
      </c>
      <c r="D814" s="67" t="s">
        <v>24</v>
      </c>
      <c r="E814" s="67" t="s">
        <v>54</v>
      </c>
      <c r="F814" s="67">
        <v>696</v>
      </c>
      <c r="G814" s="68">
        <v>2310.7199999999998</v>
      </c>
    </row>
    <row r="815" spans="1:7" x14ac:dyDescent="0.25">
      <c r="A815" s="67">
        <v>2005</v>
      </c>
      <c r="B815" s="67" t="s">
        <v>26</v>
      </c>
      <c r="C815" s="67" t="s">
        <v>23</v>
      </c>
      <c r="D815" s="67" t="s">
        <v>35</v>
      </c>
      <c r="E815" s="67" t="s">
        <v>36</v>
      </c>
      <c r="F815" s="67">
        <v>930</v>
      </c>
      <c r="G815" s="68">
        <v>3227.1</v>
      </c>
    </row>
    <row r="816" spans="1:7" x14ac:dyDescent="0.25">
      <c r="A816" s="67">
        <v>2007</v>
      </c>
      <c r="B816" s="67" t="s">
        <v>29</v>
      </c>
      <c r="C816" s="67" t="s">
        <v>34</v>
      </c>
      <c r="D816" s="67" t="s">
        <v>35</v>
      </c>
      <c r="E816" s="67" t="s">
        <v>46</v>
      </c>
      <c r="F816" s="67">
        <v>590</v>
      </c>
      <c r="G816" s="68">
        <v>1728.7</v>
      </c>
    </row>
    <row r="817" spans="1:7" x14ac:dyDescent="0.25">
      <c r="A817" s="67">
        <v>2007</v>
      </c>
      <c r="B817" s="67" t="s">
        <v>22</v>
      </c>
      <c r="C817" s="67" t="s">
        <v>34</v>
      </c>
      <c r="D817" s="67" t="s">
        <v>24</v>
      </c>
      <c r="E817" s="67" t="s">
        <v>54</v>
      </c>
      <c r="F817" s="67">
        <v>967</v>
      </c>
      <c r="G817" s="68">
        <v>2146.7399999999998</v>
      </c>
    </row>
    <row r="818" spans="1:7" x14ac:dyDescent="0.25">
      <c r="A818" s="67">
        <v>2005</v>
      </c>
      <c r="B818" s="67" t="s">
        <v>44</v>
      </c>
      <c r="C818" s="67" t="s">
        <v>23</v>
      </c>
      <c r="D818" s="67" t="s">
        <v>24</v>
      </c>
      <c r="E818" s="67" t="s">
        <v>25</v>
      </c>
      <c r="F818" s="67">
        <v>554</v>
      </c>
      <c r="G818" s="68">
        <v>1202.18</v>
      </c>
    </row>
    <row r="819" spans="1:7" x14ac:dyDescent="0.25">
      <c r="A819" s="67">
        <v>2006</v>
      </c>
      <c r="B819" s="67" t="s">
        <v>37</v>
      </c>
      <c r="C819" s="67" t="s">
        <v>23</v>
      </c>
      <c r="D819" s="67" t="s">
        <v>27</v>
      </c>
      <c r="E819" s="67" t="s">
        <v>49</v>
      </c>
      <c r="F819" s="67">
        <v>983</v>
      </c>
      <c r="G819" s="68">
        <v>3932</v>
      </c>
    </row>
    <row r="820" spans="1:7" x14ac:dyDescent="0.25">
      <c r="A820" s="67">
        <v>2005</v>
      </c>
      <c r="B820" s="67" t="s">
        <v>50</v>
      </c>
      <c r="C820" s="67" t="s">
        <v>34</v>
      </c>
      <c r="D820" s="67" t="s">
        <v>42</v>
      </c>
      <c r="E820" s="67" t="s">
        <v>45</v>
      </c>
      <c r="F820" s="67">
        <v>754</v>
      </c>
      <c r="G820" s="68">
        <v>2925.52</v>
      </c>
    </row>
    <row r="821" spans="1:7" x14ac:dyDescent="0.25">
      <c r="A821" s="67">
        <v>2005</v>
      </c>
      <c r="B821" s="67" t="s">
        <v>33</v>
      </c>
      <c r="C821" s="67" t="s">
        <v>32</v>
      </c>
      <c r="D821" s="67" t="s">
        <v>24</v>
      </c>
      <c r="E821" s="67" t="s">
        <v>47</v>
      </c>
      <c r="F821" s="67">
        <v>545</v>
      </c>
      <c r="G821" s="68">
        <v>1455.15</v>
      </c>
    </row>
    <row r="822" spans="1:7" x14ac:dyDescent="0.25">
      <c r="A822" s="67">
        <v>2005</v>
      </c>
      <c r="B822" s="67" t="s">
        <v>22</v>
      </c>
      <c r="C822" s="67" t="s">
        <v>32</v>
      </c>
      <c r="D822" s="67" t="s">
        <v>35</v>
      </c>
      <c r="E822" s="67" t="s">
        <v>38</v>
      </c>
      <c r="F822" s="67">
        <v>552</v>
      </c>
      <c r="G822" s="68">
        <v>1479.36</v>
      </c>
    </row>
    <row r="823" spans="1:7" x14ac:dyDescent="0.25">
      <c r="A823" s="67">
        <v>2005</v>
      </c>
      <c r="B823" s="67" t="s">
        <v>48</v>
      </c>
      <c r="C823" s="67" t="s">
        <v>23</v>
      </c>
      <c r="D823" s="67" t="s">
        <v>42</v>
      </c>
      <c r="E823" s="67" t="s">
        <v>43</v>
      </c>
      <c r="F823" s="67">
        <v>902</v>
      </c>
      <c r="G823" s="68">
        <v>2850.32</v>
      </c>
    </row>
    <row r="824" spans="1:7" x14ac:dyDescent="0.25">
      <c r="A824" s="67">
        <v>2007</v>
      </c>
      <c r="B824" s="67" t="s">
        <v>50</v>
      </c>
      <c r="C824" s="67" t="s">
        <v>23</v>
      </c>
      <c r="D824" s="67" t="s">
        <v>42</v>
      </c>
      <c r="E824" s="67" t="s">
        <v>53</v>
      </c>
      <c r="F824" s="67">
        <v>813</v>
      </c>
      <c r="G824" s="68">
        <v>2447.13</v>
      </c>
    </row>
    <row r="825" spans="1:7" x14ac:dyDescent="0.25">
      <c r="A825" s="67">
        <v>2005</v>
      </c>
      <c r="B825" s="67" t="s">
        <v>26</v>
      </c>
      <c r="C825" s="67" t="s">
        <v>34</v>
      </c>
      <c r="D825" s="67" t="s">
        <v>24</v>
      </c>
      <c r="E825" s="67" t="s">
        <v>25</v>
      </c>
      <c r="F825" s="67">
        <v>517</v>
      </c>
      <c r="G825" s="68">
        <v>1085.7</v>
      </c>
    </row>
    <row r="826" spans="1:7" x14ac:dyDescent="0.25">
      <c r="A826" s="67">
        <v>2006</v>
      </c>
      <c r="B826" s="67" t="s">
        <v>26</v>
      </c>
      <c r="C826" s="67" t="s">
        <v>32</v>
      </c>
      <c r="D826" s="67" t="s">
        <v>24</v>
      </c>
      <c r="E826" s="67" t="s">
        <v>31</v>
      </c>
      <c r="F826" s="67">
        <v>535</v>
      </c>
      <c r="G826" s="68">
        <v>1423.1</v>
      </c>
    </row>
    <row r="827" spans="1:7" x14ac:dyDescent="0.25">
      <c r="A827" s="67">
        <v>2005</v>
      </c>
      <c r="B827" s="67" t="s">
        <v>39</v>
      </c>
      <c r="C827" s="67" t="s">
        <v>23</v>
      </c>
      <c r="D827" s="67" t="s">
        <v>24</v>
      </c>
      <c r="E827" s="67" t="s">
        <v>47</v>
      </c>
      <c r="F827" s="67">
        <v>753</v>
      </c>
      <c r="G827" s="68">
        <v>1769.55</v>
      </c>
    </row>
    <row r="828" spans="1:7" x14ac:dyDescent="0.25">
      <c r="A828" s="67">
        <v>2005</v>
      </c>
      <c r="B828" s="67" t="s">
        <v>22</v>
      </c>
      <c r="C828" s="67" t="s">
        <v>32</v>
      </c>
      <c r="D828" s="67" t="s">
        <v>42</v>
      </c>
      <c r="E828" s="67" t="s">
        <v>43</v>
      </c>
      <c r="F828" s="67">
        <v>949</v>
      </c>
      <c r="G828" s="68">
        <v>3236.09</v>
      </c>
    </row>
    <row r="829" spans="1:7" x14ac:dyDescent="0.25">
      <c r="A829" s="67">
        <v>2006</v>
      </c>
      <c r="B829" s="67" t="s">
        <v>26</v>
      </c>
      <c r="C829" s="67" t="s">
        <v>30</v>
      </c>
      <c r="D829" s="67" t="s">
        <v>24</v>
      </c>
      <c r="E829" s="67" t="s">
        <v>54</v>
      </c>
      <c r="F829" s="67">
        <v>792</v>
      </c>
      <c r="G829" s="68">
        <v>2653.2</v>
      </c>
    </row>
    <row r="830" spans="1:7" x14ac:dyDescent="0.25">
      <c r="A830" s="67">
        <v>2007</v>
      </c>
      <c r="B830" s="67" t="s">
        <v>26</v>
      </c>
      <c r="C830" s="67" t="s">
        <v>32</v>
      </c>
      <c r="D830" s="67" t="s">
        <v>35</v>
      </c>
      <c r="E830" s="67" t="s">
        <v>36</v>
      </c>
      <c r="F830" s="67">
        <v>626</v>
      </c>
      <c r="G830" s="68">
        <v>2347.5</v>
      </c>
    </row>
    <row r="831" spans="1:7" x14ac:dyDescent="0.25">
      <c r="A831" s="67">
        <v>2006</v>
      </c>
      <c r="B831" s="67" t="s">
        <v>33</v>
      </c>
      <c r="C831" s="67" t="s">
        <v>23</v>
      </c>
      <c r="D831" s="67" t="s">
        <v>35</v>
      </c>
      <c r="E831" s="67" t="s">
        <v>38</v>
      </c>
      <c r="F831" s="67">
        <v>939</v>
      </c>
      <c r="G831" s="68">
        <v>3136.26</v>
      </c>
    </row>
    <row r="832" spans="1:7" x14ac:dyDescent="0.25">
      <c r="A832" s="67">
        <v>2007</v>
      </c>
      <c r="B832" s="67" t="s">
        <v>52</v>
      </c>
      <c r="C832" s="67" t="s">
        <v>23</v>
      </c>
      <c r="D832" s="67" t="s">
        <v>27</v>
      </c>
      <c r="E832" s="67" t="s">
        <v>28</v>
      </c>
      <c r="F832" s="67">
        <v>771</v>
      </c>
      <c r="G832" s="68">
        <v>1927.5</v>
      </c>
    </row>
    <row r="833" spans="1:7" x14ac:dyDescent="0.25">
      <c r="A833" s="67">
        <v>2005</v>
      </c>
      <c r="B833" s="67" t="s">
        <v>37</v>
      </c>
      <c r="C833" s="67" t="s">
        <v>34</v>
      </c>
      <c r="D833" s="67" t="s">
        <v>42</v>
      </c>
      <c r="E833" s="67" t="s">
        <v>53</v>
      </c>
      <c r="F833" s="67">
        <v>684</v>
      </c>
      <c r="G833" s="68">
        <v>2708.64</v>
      </c>
    </row>
    <row r="834" spans="1:7" x14ac:dyDescent="0.25">
      <c r="A834" s="67">
        <v>2007</v>
      </c>
      <c r="B834" s="67" t="s">
        <v>44</v>
      </c>
      <c r="C834" s="67" t="s">
        <v>32</v>
      </c>
      <c r="D834" s="67" t="s">
        <v>27</v>
      </c>
      <c r="E834" s="67" t="s">
        <v>55</v>
      </c>
      <c r="F834" s="67">
        <v>602</v>
      </c>
      <c r="G834" s="68">
        <v>1679.58</v>
      </c>
    </row>
    <row r="835" spans="1:7" x14ac:dyDescent="0.25">
      <c r="A835" s="67">
        <v>2006</v>
      </c>
      <c r="B835" s="67" t="s">
        <v>29</v>
      </c>
      <c r="C835" s="67" t="s">
        <v>30</v>
      </c>
      <c r="D835" s="67" t="s">
        <v>24</v>
      </c>
      <c r="E835" s="67" t="s">
        <v>54</v>
      </c>
      <c r="F835" s="67">
        <v>569</v>
      </c>
      <c r="G835" s="68">
        <v>2219.1</v>
      </c>
    </row>
    <row r="836" spans="1:7" x14ac:dyDescent="0.25">
      <c r="A836" s="67">
        <v>2006</v>
      </c>
      <c r="B836" s="67" t="s">
        <v>29</v>
      </c>
      <c r="C836" s="67" t="s">
        <v>34</v>
      </c>
      <c r="D836" s="67" t="s">
        <v>24</v>
      </c>
      <c r="E836" s="67" t="s">
        <v>25</v>
      </c>
      <c r="F836" s="67">
        <v>551</v>
      </c>
      <c r="G836" s="68">
        <v>1173.6300000000001</v>
      </c>
    </row>
    <row r="837" spans="1:7" x14ac:dyDescent="0.25">
      <c r="A837" s="67">
        <v>2005</v>
      </c>
      <c r="B837" s="67" t="s">
        <v>50</v>
      </c>
      <c r="C837" s="67" t="s">
        <v>32</v>
      </c>
      <c r="D837" s="67" t="s">
        <v>42</v>
      </c>
      <c r="E837" s="67" t="s">
        <v>45</v>
      </c>
      <c r="F837" s="67">
        <v>717</v>
      </c>
      <c r="G837" s="68">
        <v>2545.35</v>
      </c>
    </row>
    <row r="838" spans="1:7" x14ac:dyDescent="0.25">
      <c r="A838" s="67">
        <v>2006</v>
      </c>
      <c r="B838" s="67" t="s">
        <v>29</v>
      </c>
      <c r="C838" s="67" t="s">
        <v>23</v>
      </c>
      <c r="D838" s="67" t="s">
        <v>27</v>
      </c>
      <c r="E838" s="67" t="s">
        <v>28</v>
      </c>
      <c r="F838" s="67">
        <v>949</v>
      </c>
      <c r="G838" s="68">
        <v>2903.94</v>
      </c>
    </row>
    <row r="839" spans="1:7" x14ac:dyDescent="0.25">
      <c r="A839" s="67">
        <v>2006</v>
      </c>
      <c r="B839" s="67" t="s">
        <v>22</v>
      </c>
      <c r="C839" s="67" t="s">
        <v>23</v>
      </c>
      <c r="D839" s="67" t="s">
        <v>24</v>
      </c>
      <c r="E839" s="67" t="s">
        <v>54</v>
      </c>
      <c r="F839" s="67">
        <v>995</v>
      </c>
      <c r="G839" s="68">
        <v>3900.4</v>
      </c>
    </row>
    <row r="840" spans="1:7" x14ac:dyDescent="0.25">
      <c r="A840" s="67">
        <v>2005</v>
      </c>
      <c r="B840" s="67" t="s">
        <v>33</v>
      </c>
      <c r="C840" s="67" t="s">
        <v>32</v>
      </c>
      <c r="D840" s="67" t="s">
        <v>24</v>
      </c>
      <c r="E840" s="67" t="s">
        <v>25</v>
      </c>
      <c r="F840" s="67">
        <v>835</v>
      </c>
      <c r="G840" s="68">
        <v>2897.45</v>
      </c>
    </row>
    <row r="841" spans="1:7" x14ac:dyDescent="0.25">
      <c r="A841" s="67">
        <v>2005</v>
      </c>
      <c r="B841" s="67" t="s">
        <v>52</v>
      </c>
      <c r="C841" s="67" t="s">
        <v>34</v>
      </c>
      <c r="D841" s="67" t="s">
        <v>24</v>
      </c>
      <c r="E841" s="67" t="s">
        <v>31</v>
      </c>
      <c r="F841" s="67">
        <v>699</v>
      </c>
      <c r="G841" s="68">
        <v>1964.19</v>
      </c>
    </row>
    <row r="842" spans="1:7" x14ac:dyDescent="0.25">
      <c r="A842" s="67">
        <v>2006</v>
      </c>
      <c r="B842" s="67" t="s">
        <v>39</v>
      </c>
      <c r="C842" s="67" t="s">
        <v>23</v>
      </c>
      <c r="D842" s="67" t="s">
        <v>35</v>
      </c>
      <c r="E842" s="67" t="s">
        <v>38</v>
      </c>
      <c r="F842" s="67">
        <v>683</v>
      </c>
      <c r="G842" s="68">
        <v>1748.48</v>
      </c>
    </row>
    <row r="843" spans="1:7" x14ac:dyDescent="0.25">
      <c r="A843" s="67">
        <v>2005</v>
      </c>
      <c r="B843" s="67" t="s">
        <v>29</v>
      </c>
      <c r="C843" s="67" t="s">
        <v>23</v>
      </c>
      <c r="D843" s="67" t="s">
        <v>24</v>
      </c>
      <c r="E843" s="67" t="s">
        <v>47</v>
      </c>
      <c r="F843" s="67">
        <v>858</v>
      </c>
      <c r="G843" s="68">
        <v>2342.34</v>
      </c>
    </row>
    <row r="844" spans="1:7" x14ac:dyDescent="0.25">
      <c r="A844" s="67">
        <v>2005</v>
      </c>
      <c r="B844" s="67" t="s">
        <v>41</v>
      </c>
      <c r="C844" s="67" t="s">
        <v>23</v>
      </c>
      <c r="D844" s="67" t="s">
        <v>27</v>
      </c>
      <c r="E844" s="67" t="s">
        <v>28</v>
      </c>
      <c r="F844" s="67">
        <v>628</v>
      </c>
      <c r="G844" s="68">
        <v>1990.76</v>
      </c>
    </row>
    <row r="845" spans="1:7" x14ac:dyDescent="0.25">
      <c r="A845" s="67">
        <v>2005</v>
      </c>
      <c r="B845" s="67" t="s">
        <v>41</v>
      </c>
      <c r="C845" s="67" t="s">
        <v>23</v>
      </c>
      <c r="D845" s="67" t="s">
        <v>35</v>
      </c>
      <c r="E845" s="67" t="s">
        <v>46</v>
      </c>
      <c r="F845" s="67">
        <v>706</v>
      </c>
      <c r="G845" s="68">
        <v>2619.2600000000002</v>
      </c>
    </row>
    <row r="846" spans="1:7" x14ac:dyDescent="0.25">
      <c r="A846" s="67">
        <v>2006</v>
      </c>
      <c r="B846" s="67" t="s">
        <v>51</v>
      </c>
      <c r="C846" s="67" t="s">
        <v>23</v>
      </c>
      <c r="D846" s="67" t="s">
        <v>27</v>
      </c>
      <c r="E846" s="67" t="s">
        <v>49</v>
      </c>
      <c r="F846" s="67">
        <v>708</v>
      </c>
      <c r="G846" s="68">
        <v>2067.36</v>
      </c>
    </row>
    <row r="847" spans="1:7" x14ac:dyDescent="0.25">
      <c r="A847" s="67">
        <v>2007</v>
      </c>
      <c r="B847" s="67" t="s">
        <v>44</v>
      </c>
      <c r="C847" s="67" t="s">
        <v>32</v>
      </c>
      <c r="D847" s="67" t="s">
        <v>27</v>
      </c>
      <c r="E847" s="67" t="s">
        <v>28</v>
      </c>
      <c r="F847" s="67">
        <v>976</v>
      </c>
      <c r="G847" s="68">
        <v>2898.72</v>
      </c>
    </row>
    <row r="848" spans="1:7" x14ac:dyDescent="0.25">
      <c r="A848" s="67">
        <v>2006</v>
      </c>
      <c r="B848" s="67" t="s">
        <v>33</v>
      </c>
      <c r="C848" s="67" t="s">
        <v>34</v>
      </c>
      <c r="D848" s="67" t="s">
        <v>35</v>
      </c>
      <c r="E848" s="67" t="s">
        <v>46</v>
      </c>
      <c r="F848" s="67">
        <v>870</v>
      </c>
      <c r="G848" s="68">
        <v>2757.9</v>
      </c>
    </row>
    <row r="849" spans="1:7" x14ac:dyDescent="0.25">
      <c r="A849" s="67">
        <v>2005</v>
      </c>
      <c r="B849" s="67" t="s">
        <v>33</v>
      </c>
      <c r="C849" s="67" t="s">
        <v>34</v>
      </c>
      <c r="D849" s="67" t="s">
        <v>35</v>
      </c>
      <c r="E849" s="67" t="s">
        <v>40</v>
      </c>
      <c r="F849" s="67">
        <v>627</v>
      </c>
      <c r="G849" s="68">
        <v>2213.31</v>
      </c>
    </row>
    <row r="850" spans="1:7" x14ac:dyDescent="0.25">
      <c r="A850" s="67">
        <v>2006</v>
      </c>
      <c r="B850" s="67" t="s">
        <v>41</v>
      </c>
      <c r="C850" s="67" t="s">
        <v>23</v>
      </c>
      <c r="D850" s="67" t="s">
        <v>27</v>
      </c>
      <c r="E850" s="67" t="s">
        <v>49</v>
      </c>
      <c r="F850" s="67">
        <v>722</v>
      </c>
      <c r="G850" s="68">
        <v>2483.6799999999998</v>
      </c>
    </row>
    <row r="851" spans="1:7" x14ac:dyDescent="0.25">
      <c r="A851" s="67">
        <v>2005</v>
      </c>
      <c r="B851" s="67" t="s">
        <v>41</v>
      </c>
      <c r="C851" s="67" t="s">
        <v>32</v>
      </c>
      <c r="D851" s="67" t="s">
        <v>35</v>
      </c>
      <c r="E851" s="67" t="s">
        <v>40</v>
      </c>
      <c r="F851" s="67">
        <v>667</v>
      </c>
      <c r="G851" s="68">
        <v>1834.25</v>
      </c>
    </row>
    <row r="852" spans="1:7" x14ac:dyDescent="0.25">
      <c r="A852" s="67">
        <v>2005</v>
      </c>
      <c r="B852" s="67" t="s">
        <v>33</v>
      </c>
      <c r="C852" s="67" t="s">
        <v>30</v>
      </c>
      <c r="D852" s="67" t="s">
        <v>27</v>
      </c>
      <c r="E852" s="67" t="s">
        <v>49</v>
      </c>
      <c r="F852" s="67">
        <v>931</v>
      </c>
      <c r="G852" s="68">
        <v>3630.9</v>
      </c>
    </row>
    <row r="853" spans="1:7" x14ac:dyDescent="0.25">
      <c r="A853" s="67">
        <v>2007</v>
      </c>
      <c r="B853" s="67" t="s">
        <v>52</v>
      </c>
      <c r="C853" s="67" t="s">
        <v>32</v>
      </c>
      <c r="D853" s="67" t="s">
        <v>42</v>
      </c>
      <c r="E853" s="67" t="s">
        <v>53</v>
      </c>
      <c r="F853" s="67">
        <v>730</v>
      </c>
      <c r="G853" s="68">
        <v>2525.8000000000002</v>
      </c>
    </row>
    <row r="854" spans="1:7" x14ac:dyDescent="0.25">
      <c r="A854" s="67">
        <v>2005</v>
      </c>
      <c r="B854" s="67" t="s">
        <v>51</v>
      </c>
      <c r="C854" s="67" t="s">
        <v>30</v>
      </c>
      <c r="D854" s="67" t="s">
        <v>24</v>
      </c>
      <c r="E854" s="67" t="s">
        <v>25</v>
      </c>
      <c r="F854" s="67">
        <v>998</v>
      </c>
      <c r="G854" s="68">
        <v>2055.88</v>
      </c>
    </row>
    <row r="855" spans="1:7" x14ac:dyDescent="0.25">
      <c r="A855" s="67">
        <v>2006</v>
      </c>
      <c r="B855" s="67" t="s">
        <v>48</v>
      </c>
      <c r="C855" s="67" t="s">
        <v>32</v>
      </c>
      <c r="D855" s="67" t="s">
        <v>35</v>
      </c>
      <c r="E855" s="67" t="s">
        <v>36</v>
      </c>
      <c r="F855" s="67">
        <v>934</v>
      </c>
      <c r="G855" s="68">
        <v>2036.12</v>
      </c>
    </row>
    <row r="856" spans="1:7" x14ac:dyDescent="0.25">
      <c r="A856" s="67">
        <v>2006</v>
      </c>
      <c r="B856" s="67" t="s">
        <v>26</v>
      </c>
      <c r="C856" s="67" t="s">
        <v>34</v>
      </c>
      <c r="D856" s="67" t="s">
        <v>27</v>
      </c>
      <c r="E856" s="67" t="s">
        <v>49</v>
      </c>
      <c r="F856" s="67">
        <v>704</v>
      </c>
      <c r="G856" s="68">
        <v>1619.2</v>
      </c>
    </row>
    <row r="857" spans="1:7" x14ac:dyDescent="0.25">
      <c r="A857" s="67">
        <v>2006</v>
      </c>
      <c r="B857" s="67" t="s">
        <v>41</v>
      </c>
      <c r="C857" s="67" t="s">
        <v>23</v>
      </c>
      <c r="D857" s="67" t="s">
        <v>42</v>
      </c>
      <c r="E857" s="67" t="s">
        <v>53</v>
      </c>
      <c r="F857" s="67">
        <v>714</v>
      </c>
      <c r="G857" s="68">
        <v>1663.62</v>
      </c>
    </row>
    <row r="858" spans="1:7" x14ac:dyDescent="0.25">
      <c r="A858" s="67">
        <v>2006</v>
      </c>
      <c r="B858" s="67" t="s">
        <v>48</v>
      </c>
      <c r="C858" s="67" t="s">
        <v>23</v>
      </c>
      <c r="D858" s="67" t="s">
        <v>27</v>
      </c>
      <c r="E858" s="67" t="s">
        <v>49</v>
      </c>
      <c r="F858" s="67">
        <v>827</v>
      </c>
      <c r="G858" s="68">
        <v>2522.35</v>
      </c>
    </row>
    <row r="859" spans="1:7" x14ac:dyDescent="0.25">
      <c r="A859" s="67">
        <v>2005</v>
      </c>
      <c r="B859" s="67" t="s">
        <v>33</v>
      </c>
      <c r="C859" s="67" t="s">
        <v>34</v>
      </c>
      <c r="D859" s="67" t="s">
        <v>42</v>
      </c>
      <c r="E859" s="67" t="s">
        <v>43</v>
      </c>
      <c r="F859" s="67">
        <v>734</v>
      </c>
      <c r="G859" s="68">
        <v>1607.46</v>
      </c>
    </row>
    <row r="860" spans="1:7" x14ac:dyDescent="0.25">
      <c r="A860" s="67">
        <v>2005</v>
      </c>
      <c r="B860" s="67" t="s">
        <v>48</v>
      </c>
      <c r="C860" s="67" t="s">
        <v>34</v>
      </c>
      <c r="D860" s="67" t="s">
        <v>27</v>
      </c>
      <c r="E860" s="67" t="s">
        <v>49</v>
      </c>
      <c r="F860" s="67">
        <v>566</v>
      </c>
      <c r="G860" s="68">
        <v>1398.02</v>
      </c>
    </row>
    <row r="861" spans="1:7" x14ac:dyDescent="0.25">
      <c r="A861" s="67">
        <v>2007</v>
      </c>
      <c r="B861" s="67" t="s">
        <v>37</v>
      </c>
      <c r="C861" s="67" t="s">
        <v>34</v>
      </c>
      <c r="D861" s="67" t="s">
        <v>35</v>
      </c>
      <c r="E861" s="67" t="s">
        <v>46</v>
      </c>
      <c r="F861" s="67">
        <v>820</v>
      </c>
      <c r="G861" s="68">
        <v>2509.1999999999998</v>
      </c>
    </row>
    <row r="862" spans="1:7" x14ac:dyDescent="0.25">
      <c r="A862" s="67">
        <v>2007</v>
      </c>
      <c r="B862" s="67" t="s">
        <v>39</v>
      </c>
      <c r="C862" s="67" t="s">
        <v>30</v>
      </c>
      <c r="D862" s="67" t="s">
        <v>27</v>
      </c>
      <c r="E862" s="67" t="s">
        <v>49</v>
      </c>
      <c r="F862" s="67">
        <v>556</v>
      </c>
      <c r="G862" s="68">
        <v>1362.2</v>
      </c>
    </row>
    <row r="863" spans="1:7" x14ac:dyDescent="0.25">
      <c r="A863" s="67">
        <v>2006</v>
      </c>
      <c r="B863" s="67" t="s">
        <v>41</v>
      </c>
      <c r="C863" s="67" t="s">
        <v>32</v>
      </c>
      <c r="D863" s="67" t="s">
        <v>27</v>
      </c>
      <c r="E863" s="67" t="s">
        <v>28</v>
      </c>
      <c r="F863" s="67">
        <v>852</v>
      </c>
      <c r="G863" s="68">
        <v>1746.6</v>
      </c>
    </row>
    <row r="864" spans="1:7" x14ac:dyDescent="0.25">
      <c r="A864" s="67">
        <v>2007</v>
      </c>
      <c r="B864" s="67" t="s">
        <v>37</v>
      </c>
      <c r="C864" s="67" t="s">
        <v>32</v>
      </c>
      <c r="D864" s="67" t="s">
        <v>24</v>
      </c>
      <c r="E864" s="67" t="s">
        <v>31</v>
      </c>
      <c r="F864" s="67">
        <v>608</v>
      </c>
      <c r="G864" s="68">
        <v>1957.76</v>
      </c>
    </row>
    <row r="865" spans="1:7" x14ac:dyDescent="0.25">
      <c r="A865" s="67">
        <v>2005</v>
      </c>
      <c r="B865" s="67" t="s">
        <v>50</v>
      </c>
      <c r="C865" s="67" t="s">
        <v>30</v>
      </c>
      <c r="D865" s="67" t="s">
        <v>35</v>
      </c>
      <c r="E865" s="67" t="s">
        <v>46</v>
      </c>
      <c r="F865" s="67">
        <v>596</v>
      </c>
      <c r="G865" s="68">
        <v>1293.32</v>
      </c>
    </row>
    <row r="866" spans="1:7" x14ac:dyDescent="0.25">
      <c r="A866" s="67">
        <v>2007</v>
      </c>
      <c r="B866" s="67" t="s">
        <v>48</v>
      </c>
      <c r="C866" s="67" t="s">
        <v>30</v>
      </c>
      <c r="D866" s="67" t="s">
        <v>24</v>
      </c>
      <c r="E866" s="67" t="s">
        <v>54</v>
      </c>
      <c r="F866" s="67">
        <v>871</v>
      </c>
      <c r="G866" s="68">
        <v>2151.37</v>
      </c>
    </row>
    <row r="867" spans="1:7" x14ac:dyDescent="0.25">
      <c r="A867" s="67">
        <v>2005</v>
      </c>
      <c r="B867" s="67" t="s">
        <v>33</v>
      </c>
      <c r="C867" s="67" t="s">
        <v>34</v>
      </c>
      <c r="D867" s="67" t="s">
        <v>27</v>
      </c>
      <c r="E867" s="67" t="s">
        <v>55</v>
      </c>
      <c r="F867" s="67">
        <v>611</v>
      </c>
      <c r="G867" s="68">
        <v>2107.9499999999998</v>
      </c>
    </row>
    <row r="868" spans="1:7" x14ac:dyDescent="0.25">
      <c r="A868" s="67">
        <v>2007</v>
      </c>
      <c r="B868" s="67" t="s">
        <v>51</v>
      </c>
      <c r="C868" s="67" t="s">
        <v>30</v>
      </c>
      <c r="D868" s="67" t="s">
        <v>42</v>
      </c>
      <c r="E868" s="67" t="s">
        <v>43</v>
      </c>
      <c r="F868" s="67">
        <v>941</v>
      </c>
      <c r="G868" s="68">
        <v>3632.26</v>
      </c>
    </row>
    <row r="869" spans="1:7" x14ac:dyDescent="0.25">
      <c r="A869" s="67">
        <v>2007</v>
      </c>
      <c r="B869" s="67" t="s">
        <v>26</v>
      </c>
      <c r="C869" s="67" t="s">
        <v>32</v>
      </c>
      <c r="D869" s="67" t="s">
        <v>42</v>
      </c>
      <c r="E869" s="67" t="s">
        <v>45</v>
      </c>
      <c r="F869" s="67">
        <v>679</v>
      </c>
      <c r="G869" s="68">
        <v>2593.7800000000002</v>
      </c>
    </row>
    <row r="870" spans="1:7" x14ac:dyDescent="0.25">
      <c r="A870" s="67">
        <v>2006</v>
      </c>
      <c r="B870" s="67" t="s">
        <v>52</v>
      </c>
      <c r="C870" s="67" t="s">
        <v>34</v>
      </c>
      <c r="D870" s="67" t="s">
        <v>24</v>
      </c>
      <c r="E870" s="67" t="s">
        <v>31</v>
      </c>
      <c r="F870" s="67">
        <v>929</v>
      </c>
      <c r="G870" s="68">
        <v>2034.51</v>
      </c>
    </row>
    <row r="871" spans="1:7" x14ac:dyDescent="0.25">
      <c r="A871" s="67">
        <v>2005</v>
      </c>
      <c r="B871" s="67" t="s">
        <v>37</v>
      </c>
      <c r="C871" s="67" t="s">
        <v>32</v>
      </c>
      <c r="D871" s="67" t="s">
        <v>27</v>
      </c>
      <c r="E871" s="67" t="s">
        <v>28</v>
      </c>
      <c r="F871" s="67">
        <v>626</v>
      </c>
      <c r="G871" s="68">
        <v>2134.66</v>
      </c>
    </row>
    <row r="872" spans="1:7" x14ac:dyDescent="0.25">
      <c r="A872" s="67">
        <v>2007</v>
      </c>
      <c r="B872" s="67" t="s">
        <v>37</v>
      </c>
      <c r="C872" s="67" t="s">
        <v>34</v>
      </c>
      <c r="D872" s="67" t="s">
        <v>24</v>
      </c>
      <c r="E872" s="67" t="s">
        <v>31</v>
      </c>
      <c r="F872" s="67">
        <v>713</v>
      </c>
      <c r="G872" s="68">
        <v>2830.61</v>
      </c>
    </row>
    <row r="873" spans="1:7" x14ac:dyDescent="0.25">
      <c r="A873" s="67">
        <v>2005</v>
      </c>
      <c r="B873" s="67" t="s">
        <v>44</v>
      </c>
      <c r="C873" s="67" t="s">
        <v>34</v>
      </c>
      <c r="D873" s="67" t="s">
        <v>42</v>
      </c>
      <c r="E873" s="67" t="s">
        <v>53</v>
      </c>
      <c r="F873" s="67">
        <v>850</v>
      </c>
      <c r="G873" s="68">
        <v>2235.5</v>
      </c>
    </row>
    <row r="874" spans="1:7" x14ac:dyDescent="0.25">
      <c r="A874" s="67">
        <v>2005</v>
      </c>
      <c r="B874" s="67" t="s">
        <v>33</v>
      </c>
      <c r="C874" s="67" t="s">
        <v>23</v>
      </c>
      <c r="D874" s="67" t="s">
        <v>24</v>
      </c>
      <c r="E874" s="67" t="s">
        <v>54</v>
      </c>
      <c r="F874" s="67">
        <v>952</v>
      </c>
      <c r="G874" s="68">
        <v>2399.04</v>
      </c>
    </row>
    <row r="875" spans="1:7" x14ac:dyDescent="0.25">
      <c r="A875" s="67">
        <v>2006</v>
      </c>
      <c r="B875" s="67" t="s">
        <v>37</v>
      </c>
      <c r="C875" s="67" t="s">
        <v>32</v>
      </c>
      <c r="D875" s="67" t="s">
        <v>42</v>
      </c>
      <c r="E875" s="67" t="s">
        <v>43</v>
      </c>
      <c r="F875" s="67">
        <v>736</v>
      </c>
      <c r="G875" s="68">
        <v>1751.68</v>
      </c>
    </row>
    <row r="876" spans="1:7" x14ac:dyDescent="0.25">
      <c r="A876" s="67">
        <v>2005</v>
      </c>
      <c r="B876" s="67" t="s">
        <v>29</v>
      </c>
      <c r="C876" s="67" t="s">
        <v>32</v>
      </c>
      <c r="D876" s="67" t="s">
        <v>35</v>
      </c>
      <c r="E876" s="67" t="s">
        <v>46</v>
      </c>
      <c r="F876" s="67">
        <v>925</v>
      </c>
      <c r="G876" s="68">
        <v>2099.75</v>
      </c>
    </row>
    <row r="877" spans="1:7" x14ac:dyDescent="0.25">
      <c r="A877" s="67">
        <v>2007</v>
      </c>
      <c r="B877" s="67" t="s">
        <v>50</v>
      </c>
      <c r="C877" s="67" t="s">
        <v>34</v>
      </c>
      <c r="D877" s="67" t="s">
        <v>27</v>
      </c>
      <c r="E877" s="67" t="s">
        <v>55</v>
      </c>
      <c r="F877" s="67">
        <v>800</v>
      </c>
      <c r="G877" s="68">
        <v>2952</v>
      </c>
    </row>
    <row r="878" spans="1:7" x14ac:dyDescent="0.25">
      <c r="A878" s="67">
        <v>2007</v>
      </c>
      <c r="B878" s="67" t="s">
        <v>48</v>
      </c>
      <c r="C878" s="67" t="s">
        <v>30</v>
      </c>
      <c r="D878" s="67" t="s">
        <v>35</v>
      </c>
      <c r="E878" s="67" t="s">
        <v>46</v>
      </c>
      <c r="F878" s="67">
        <v>531</v>
      </c>
      <c r="G878" s="68">
        <v>2028.42</v>
      </c>
    </row>
    <row r="879" spans="1:7" x14ac:dyDescent="0.25">
      <c r="A879" s="67">
        <v>2007</v>
      </c>
      <c r="B879" s="67" t="s">
        <v>51</v>
      </c>
      <c r="C879" s="67" t="s">
        <v>23</v>
      </c>
      <c r="D879" s="67" t="s">
        <v>27</v>
      </c>
      <c r="E879" s="67" t="s">
        <v>28</v>
      </c>
      <c r="F879" s="67">
        <v>933</v>
      </c>
      <c r="G879" s="68">
        <v>2687.04</v>
      </c>
    </row>
    <row r="880" spans="1:7" x14ac:dyDescent="0.25">
      <c r="A880" s="67">
        <v>2005</v>
      </c>
      <c r="B880" s="67" t="s">
        <v>37</v>
      </c>
      <c r="C880" s="67" t="s">
        <v>32</v>
      </c>
      <c r="D880" s="67" t="s">
        <v>35</v>
      </c>
      <c r="E880" s="67" t="s">
        <v>40</v>
      </c>
      <c r="F880" s="67">
        <v>877</v>
      </c>
      <c r="G880" s="68">
        <v>2166.19</v>
      </c>
    </row>
    <row r="881" spans="1:7" x14ac:dyDescent="0.25">
      <c r="A881" s="67">
        <v>2006</v>
      </c>
      <c r="B881" s="67" t="s">
        <v>41</v>
      </c>
      <c r="C881" s="67" t="s">
        <v>23</v>
      </c>
      <c r="D881" s="67" t="s">
        <v>24</v>
      </c>
      <c r="E881" s="67" t="s">
        <v>47</v>
      </c>
      <c r="F881" s="67">
        <v>547</v>
      </c>
      <c r="G881" s="68">
        <v>1717.58</v>
      </c>
    </row>
    <row r="882" spans="1:7" x14ac:dyDescent="0.25">
      <c r="A882" s="67">
        <v>2007</v>
      </c>
      <c r="B882" s="67" t="s">
        <v>29</v>
      </c>
      <c r="C882" s="67" t="s">
        <v>30</v>
      </c>
      <c r="D882" s="67" t="s">
        <v>35</v>
      </c>
      <c r="E882" s="67" t="s">
        <v>36</v>
      </c>
      <c r="F882" s="67">
        <v>847</v>
      </c>
      <c r="G882" s="68">
        <v>3320.24</v>
      </c>
    </row>
    <row r="883" spans="1:7" x14ac:dyDescent="0.25">
      <c r="A883" s="67">
        <v>2007</v>
      </c>
      <c r="B883" s="67" t="s">
        <v>52</v>
      </c>
      <c r="C883" s="67" t="s">
        <v>23</v>
      </c>
      <c r="D883" s="67" t="s">
        <v>35</v>
      </c>
      <c r="E883" s="67" t="s">
        <v>36</v>
      </c>
      <c r="F883" s="67">
        <v>608</v>
      </c>
      <c r="G883" s="68">
        <v>1513.92</v>
      </c>
    </row>
    <row r="884" spans="1:7" x14ac:dyDescent="0.25">
      <c r="A884" s="67">
        <v>2005</v>
      </c>
      <c r="B884" s="67" t="s">
        <v>41</v>
      </c>
      <c r="C884" s="67" t="s">
        <v>34</v>
      </c>
      <c r="D884" s="67" t="s">
        <v>42</v>
      </c>
      <c r="E884" s="67" t="s">
        <v>45</v>
      </c>
      <c r="F884" s="67">
        <v>749</v>
      </c>
      <c r="G884" s="68">
        <v>1760.15</v>
      </c>
    </row>
    <row r="885" spans="1:7" x14ac:dyDescent="0.25">
      <c r="A885" s="67">
        <v>2005</v>
      </c>
      <c r="B885" s="67" t="s">
        <v>52</v>
      </c>
      <c r="C885" s="67" t="s">
        <v>32</v>
      </c>
      <c r="D885" s="67" t="s">
        <v>42</v>
      </c>
      <c r="E885" s="67" t="s">
        <v>43</v>
      </c>
      <c r="F885" s="67">
        <v>685</v>
      </c>
      <c r="G885" s="68">
        <v>1876.9</v>
      </c>
    </row>
    <row r="886" spans="1:7" x14ac:dyDescent="0.25">
      <c r="A886" s="67">
        <v>2007</v>
      </c>
      <c r="B886" s="67" t="s">
        <v>22</v>
      </c>
      <c r="C886" s="67" t="s">
        <v>30</v>
      </c>
      <c r="D886" s="67" t="s">
        <v>42</v>
      </c>
      <c r="E886" s="67" t="s">
        <v>45</v>
      </c>
      <c r="F886" s="67">
        <v>770</v>
      </c>
      <c r="G886" s="68">
        <v>2310</v>
      </c>
    </row>
    <row r="887" spans="1:7" x14ac:dyDescent="0.25">
      <c r="A887" s="67">
        <v>2005</v>
      </c>
      <c r="B887" s="67" t="s">
        <v>29</v>
      </c>
      <c r="C887" s="67" t="s">
        <v>23</v>
      </c>
      <c r="D887" s="67" t="s">
        <v>27</v>
      </c>
      <c r="E887" s="67" t="s">
        <v>55</v>
      </c>
      <c r="F887" s="67">
        <v>546</v>
      </c>
      <c r="G887" s="68">
        <v>2020.2</v>
      </c>
    </row>
    <row r="888" spans="1:7" x14ac:dyDescent="0.25">
      <c r="A888" s="67">
        <v>2006</v>
      </c>
      <c r="B888" s="67" t="s">
        <v>22</v>
      </c>
      <c r="C888" s="67" t="s">
        <v>32</v>
      </c>
      <c r="D888" s="67" t="s">
        <v>27</v>
      </c>
      <c r="E888" s="67" t="s">
        <v>49</v>
      </c>
      <c r="F888" s="67">
        <v>914</v>
      </c>
      <c r="G888" s="68">
        <v>2650.6</v>
      </c>
    </row>
    <row r="889" spans="1:7" x14ac:dyDescent="0.25">
      <c r="A889" s="67">
        <v>2007</v>
      </c>
      <c r="B889" s="67" t="s">
        <v>33</v>
      </c>
      <c r="C889" s="67" t="s">
        <v>34</v>
      </c>
      <c r="D889" s="67" t="s">
        <v>42</v>
      </c>
      <c r="E889" s="67" t="s">
        <v>45</v>
      </c>
      <c r="F889" s="67">
        <v>602</v>
      </c>
      <c r="G889" s="68">
        <v>1342.46</v>
      </c>
    </row>
    <row r="890" spans="1:7" x14ac:dyDescent="0.25">
      <c r="A890" s="67">
        <v>2005</v>
      </c>
      <c r="B890" s="67" t="s">
        <v>37</v>
      </c>
      <c r="C890" s="67" t="s">
        <v>34</v>
      </c>
      <c r="D890" s="67" t="s">
        <v>24</v>
      </c>
      <c r="E890" s="67" t="s">
        <v>47</v>
      </c>
      <c r="F890" s="67">
        <v>748</v>
      </c>
      <c r="G890" s="68">
        <v>2296.36</v>
      </c>
    </row>
    <row r="891" spans="1:7" x14ac:dyDescent="0.25">
      <c r="A891" s="67">
        <v>2007</v>
      </c>
      <c r="B891" s="67" t="s">
        <v>29</v>
      </c>
      <c r="C891" s="67" t="s">
        <v>30</v>
      </c>
      <c r="D891" s="67" t="s">
        <v>35</v>
      </c>
      <c r="E891" s="67" t="s">
        <v>36</v>
      </c>
      <c r="F891" s="67">
        <v>975</v>
      </c>
      <c r="G891" s="68">
        <v>3168.75</v>
      </c>
    </row>
    <row r="892" spans="1:7" x14ac:dyDescent="0.25">
      <c r="A892" s="67">
        <v>2007</v>
      </c>
      <c r="B892" s="67" t="s">
        <v>29</v>
      </c>
      <c r="C892" s="67" t="s">
        <v>23</v>
      </c>
      <c r="D892" s="67" t="s">
        <v>27</v>
      </c>
      <c r="E892" s="67" t="s">
        <v>49</v>
      </c>
      <c r="F892" s="67">
        <v>947</v>
      </c>
      <c r="G892" s="68">
        <v>3503.9</v>
      </c>
    </row>
    <row r="893" spans="1:7" x14ac:dyDescent="0.25">
      <c r="A893" s="67">
        <v>2007</v>
      </c>
      <c r="B893" s="67" t="s">
        <v>48</v>
      </c>
      <c r="C893" s="67" t="s">
        <v>23</v>
      </c>
      <c r="D893" s="67" t="s">
        <v>35</v>
      </c>
      <c r="E893" s="67" t="s">
        <v>38</v>
      </c>
      <c r="F893" s="67">
        <v>556</v>
      </c>
      <c r="G893" s="68">
        <v>1228.76</v>
      </c>
    </row>
    <row r="894" spans="1:7" x14ac:dyDescent="0.25">
      <c r="A894" s="67">
        <v>2005</v>
      </c>
      <c r="B894" s="67" t="s">
        <v>29</v>
      </c>
      <c r="C894" s="67" t="s">
        <v>30</v>
      </c>
      <c r="D894" s="67" t="s">
        <v>42</v>
      </c>
      <c r="E894" s="67" t="s">
        <v>43</v>
      </c>
      <c r="F894" s="67">
        <v>734</v>
      </c>
      <c r="G894" s="68">
        <v>1534.06</v>
      </c>
    </row>
    <row r="895" spans="1:7" x14ac:dyDescent="0.25">
      <c r="A895" s="67">
        <v>2007</v>
      </c>
      <c r="B895" s="67" t="s">
        <v>39</v>
      </c>
      <c r="C895" s="67" t="s">
        <v>34</v>
      </c>
      <c r="D895" s="67" t="s">
        <v>24</v>
      </c>
      <c r="E895" s="67" t="s">
        <v>31</v>
      </c>
      <c r="F895" s="67">
        <v>799</v>
      </c>
      <c r="G895" s="68">
        <v>2365.04</v>
      </c>
    </row>
    <row r="896" spans="1:7" x14ac:dyDescent="0.25">
      <c r="A896" s="67">
        <v>2006</v>
      </c>
      <c r="B896" s="67" t="s">
        <v>44</v>
      </c>
      <c r="C896" s="67" t="s">
        <v>34</v>
      </c>
      <c r="D896" s="67" t="s">
        <v>35</v>
      </c>
      <c r="E896" s="67" t="s">
        <v>40</v>
      </c>
      <c r="F896" s="67">
        <v>582</v>
      </c>
      <c r="G896" s="68">
        <v>1309.5</v>
      </c>
    </row>
    <row r="897" spans="1:7" x14ac:dyDescent="0.25">
      <c r="A897" s="67">
        <v>2005</v>
      </c>
      <c r="B897" s="67" t="s">
        <v>39</v>
      </c>
      <c r="C897" s="67" t="s">
        <v>32</v>
      </c>
      <c r="D897" s="67" t="s">
        <v>27</v>
      </c>
      <c r="E897" s="67" t="s">
        <v>28</v>
      </c>
      <c r="F897" s="67">
        <v>701</v>
      </c>
      <c r="G897" s="68">
        <v>1759.51</v>
      </c>
    </row>
    <row r="898" spans="1:7" x14ac:dyDescent="0.25">
      <c r="A898" s="67">
        <v>2005</v>
      </c>
      <c r="B898" s="67" t="s">
        <v>41</v>
      </c>
      <c r="C898" s="67" t="s">
        <v>23</v>
      </c>
      <c r="D898" s="67" t="s">
        <v>27</v>
      </c>
      <c r="E898" s="67" t="s">
        <v>28</v>
      </c>
      <c r="F898" s="67">
        <v>732</v>
      </c>
      <c r="G898" s="68">
        <v>1837.32</v>
      </c>
    </row>
    <row r="899" spans="1:7" x14ac:dyDescent="0.25">
      <c r="A899" s="67">
        <v>2007</v>
      </c>
      <c r="B899" s="67" t="s">
        <v>44</v>
      </c>
      <c r="C899" s="67" t="s">
        <v>30</v>
      </c>
      <c r="D899" s="67" t="s">
        <v>35</v>
      </c>
      <c r="E899" s="67" t="s">
        <v>40</v>
      </c>
      <c r="F899" s="67">
        <v>950</v>
      </c>
      <c r="G899" s="68">
        <v>1976</v>
      </c>
    </row>
    <row r="900" spans="1:7" x14ac:dyDescent="0.25">
      <c r="A900" s="67">
        <v>2005</v>
      </c>
      <c r="B900" s="67" t="s">
        <v>37</v>
      </c>
      <c r="C900" s="67" t="s">
        <v>30</v>
      </c>
      <c r="D900" s="67" t="s">
        <v>27</v>
      </c>
      <c r="E900" s="67" t="s">
        <v>49</v>
      </c>
      <c r="F900" s="67">
        <v>902</v>
      </c>
      <c r="G900" s="68">
        <v>3066.8</v>
      </c>
    </row>
    <row r="901" spans="1:7" x14ac:dyDescent="0.25">
      <c r="A901" s="67">
        <v>2007</v>
      </c>
      <c r="B901" s="67" t="s">
        <v>48</v>
      </c>
      <c r="C901" s="67" t="s">
        <v>34</v>
      </c>
      <c r="D901" s="67" t="s">
        <v>35</v>
      </c>
      <c r="E901" s="67" t="s">
        <v>46</v>
      </c>
      <c r="F901" s="67">
        <v>994</v>
      </c>
      <c r="G901" s="68">
        <v>3091.34</v>
      </c>
    </row>
    <row r="902" spans="1:7" x14ac:dyDescent="0.25">
      <c r="A902" s="67">
        <v>2006</v>
      </c>
      <c r="B902" s="67" t="s">
        <v>52</v>
      </c>
      <c r="C902" s="67" t="s">
        <v>32</v>
      </c>
      <c r="D902" s="67" t="s">
        <v>42</v>
      </c>
      <c r="E902" s="67" t="s">
        <v>45</v>
      </c>
      <c r="F902" s="67">
        <v>724</v>
      </c>
      <c r="G902" s="68">
        <v>1723.12</v>
      </c>
    </row>
    <row r="903" spans="1:7" x14ac:dyDescent="0.25">
      <c r="A903" s="67">
        <v>2005</v>
      </c>
      <c r="B903" s="67" t="s">
        <v>48</v>
      </c>
      <c r="C903" s="67" t="s">
        <v>23</v>
      </c>
      <c r="D903" s="67" t="s">
        <v>24</v>
      </c>
      <c r="E903" s="67" t="s">
        <v>25</v>
      </c>
      <c r="F903" s="67">
        <v>803</v>
      </c>
      <c r="G903" s="68">
        <v>2449.15</v>
      </c>
    </row>
    <row r="904" spans="1:7" x14ac:dyDescent="0.25">
      <c r="A904" s="67">
        <v>2006</v>
      </c>
      <c r="B904" s="67" t="s">
        <v>33</v>
      </c>
      <c r="C904" s="67" t="s">
        <v>30</v>
      </c>
      <c r="D904" s="67" t="s">
        <v>27</v>
      </c>
      <c r="E904" s="67" t="s">
        <v>28</v>
      </c>
      <c r="F904" s="67">
        <v>770</v>
      </c>
      <c r="G904" s="68">
        <v>2918.3</v>
      </c>
    </row>
    <row r="905" spans="1:7" x14ac:dyDescent="0.25">
      <c r="A905" s="67">
        <v>2005</v>
      </c>
      <c r="B905" s="67" t="s">
        <v>26</v>
      </c>
      <c r="C905" s="67" t="s">
        <v>23</v>
      </c>
      <c r="D905" s="67" t="s">
        <v>27</v>
      </c>
      <c r="E905" s="67" t="s">
        <v>49</v>
      </c>
      <c r="F905" s="67">
        <v>542</v>
      </c>
      <c r="G905" s="68">
        <v>1669.36</v>
      </c>
    </row>
    <row r="906" spans="1:7" x14ac:dyDescent="0.25">
      <c r="A906" s="67">
        <v>2006</v>
      </c>
      <c r="B906" s="67" t="s">
        <v>26</v>
      </c>
      <c r="C906" s="67" t="s">
        <v>23</v>
      </c>
      <c r="D906" s="67" t="s">
        <v>27</v>
      </c>
      <c r="E906" s="67" t="s">
        <v>49</v>
      </c>
      <c r="F906" s="67">
        <v>589</v>
      </c>
      <c r="G906" s="68">
        <v>1413.6</v>
      </c>
    </row>
    <row r="907" spans="1:7" x14ac:dyDescent="0.25">
      <c r="A907" s="67">
        <v>2007</v>
      </c>
      <c r="B907" s="67" t="s">
        <v>22</v>
      </c>
      <c r="C907" s="67" t="s">
        <v>32</v>
      </c>
      <c r="D907" s="67" t="s">
        <v>24</v>
      </c>
      <c r="E907" s="67" t="s">
        <v>54</v>
      </c>
      <c r="F907" s="67">
        <v>945</v>
      </c>
      <c r="G907" s="68">
        <v>2249.1</v>
      </c>
    </row>
    <row r="908" spans="1:7" x14ac:dyDescent="0.25">
      <c r="A908" s="67">
        <v>2007</v>
      </c>
      <c r="B908" s="67" t="s">
        <v>50</v>
      </c>
      <c r="C908" s="67" t="s">
        <v>30</v>
      </c>
      <c r="D908" s="67" t="s">
        <v>35</v>
      </c>
      <c r="E908" s="67" t="s">
        <v>38</v>
      </c>
      <c r="F908" s="67">
        <v>630</v>
      </c>
      <c r="G908" s="68">
        <v>2312.1</v>
      </c>
    </row>
    <row r="909" spans="1:7" x14ac:dyDescent="0.25">
      <c r="A909" s="67">
        <v>2005</v>
      </c>
      <c r="B909" s="67" t="s">
        <v>22</v>
      </c>
      <c r="C909" s="67" t="s">
        <v>32</v>
      </c>
      <c r="D909" s="67" t="s">
        <v>24</v>
      </c>
      <c r="E909" s="67" t="s">
        <v>31</v>
      </c>
      <c r="F909" s="67">
        <v>637</v>
      </c>
      <c r="G909" s="68">
        <v>2497.04</v>
      </c>
    </row>
    <row r="910" spans="1:7" x14ac:dyDescent="0.25">
      <c r="A910" s="67">
        <v>2006</v>
      </c>
      <c r="B910" s="67" t="s">
        <v>50</v>
      </c>
      <c r="C910" s="67" t="s">
        <v>30</v>
      </c>
      <c r="D910" s="67" t="s">
        <v>24</v>
      </c>
      <c r="E910" s="67" t="s">
        <v>25</v>
      </c>
      <c r="F910" s="67">
        <v>670</v>
      </c>
      <c r="G910" s="68">
        <v>2566.1</v>
      </c>
    </row>
    <row r="911" spans="1:7" x14ac:dyDescent="0.25">
      <c r="A911" s="67">
        <v>2006</v>
      </c>
      <c r="B911" s="67" t="s">
        <v>29</v>
      </c>
      <c r="C911" s="67" t="s">
        <v>23</v>
      </c>
      <c r="D911" s="67" t="s">
        <v>42</v>
      </c>
      <c r="E911" s="67" t="s">
        <v>43</v>
      </c>
      <c r="F911" s="67">
        <v>720</v>
      </c>
      <c r="G911" s="68">
        <v>2534.4</v>
      </c>
    </row>
    <row r="912" spans="1:7" x14ac:dyDescent="0.25">
      <c r="A912" s="67">
        <v>2006</v>
      </c>
      <c r="B912" s="67" t="s">
        <v>44</v>
      </c>
      <c r="C912" s="67" t="s">
        <v>34</v>
      </c>
      <c r="D912" s="67" t="s">
        <v>35</v>
      </c>
      <c r="E912" s="67" t="s">
        <v>46</v>
      </c>
      <c r="F912" s="67">
        <v>957</v>
      </c>
      <c r="G912" s="68">
        <v>2976.27</v>
      </c>
    </row>
    <row r="913" spans="1:7" x14ac:dyDescent="0.25">
      <c r="A913" s="67">
        <v>2007</v>
      </c>
      <c r="B913" s="67" t="s">
        <v>29</v>
      </c>
      <c r="C913" s="67" t="s">
        <v>23</v>
      </c>
      <c r="D913" s="67" t="s">
        <v>24</v>
      </c>
      <c r="E913" s="67" t="s">
        <v>31</v>
      </c>
      <c r="F913" s="67">
        <v>538</v>
      </c>
      <c r="G913" s="68">
        <v>1753.88</v>
      </c>
    </row>
    <row r="914" spans="1:7" x14ac:dyDescent="0.25">
      <c r="A914" s="67">
        <v>2006</v>
      </c>
      <c r="B914" s="67" t="s">
        <v>26</v>
      </c>
      <c r="C914" s="67" t="s">
        <v>34</v>
      </c>
      <c r="D914" s="67" t="s">
        <v>35</v>
      </c>
      <c r="E914" s="67" t="s">
        <v>38</v>
      </c>
      <c r="F914" s="67">
        <v>575</v>
      </c>
      <c r="G914" s="68">
        <v>1903.25</v>
      </c>
    </row>
    <row r="915" spans="1:7" x14ac:dyDescent="0.25">
      <c r="A915" s="67">
        <v>2005</v>
      </c>
      <c r="B915" s="67" t="s">
        <v>51</v>
      </c>
      <c r="C915" s="67" t="s">
        <v>34</v>
      </c>
      <c r="D915" s="67" t="s">
        <v>42</v>
      </c>
      <c r="E915" s="67" t="s">
        <v>45</v>
      </c>
      <c r="F915" s="67">
        <v>529</v>
      </c>
      <c r="G915" s="68">
        <v>1327.79</v>
      </c>
    </row>
    <row r="916" spans="1:7" x14ac:dyDescent="0.25">
      <c r="A916" s="67">
        <v>2006</v>
      </c>
      <c r="B916" s="67" t="s">
        <v>48</v>
      </c>
      <c r="C916" s="67" t="s">
        <v>23</v>
      </c>
      <c r="D916" s="67" t="s">
        <v>27</v>
      </c>
      <c r="E916" s="67" t="s">
        <v>28</v>
      </c>
      <c r="F916" s="67">
        <v>696</v>
      </c>
      <c r="G916" s="68">
        <v>2526.48</v>
      </c>
    </row>
    <row r="917" spans="1:7" x14ac:dyDescent="0.25">
      <c r="A917" s="67">
        <v>2007</v>
      </c>
      <c r="B917" s="67" t="s">
        <v>51</v>
      </c>
      <c r="C917" s="67" t="s">
        <v>32</v>
      </c>
      <c r="D917" s="67" t="s">
        <v>35</v>
      </c>
      <c r="E917" s="67" t="s">
        <v>40</v>
      </c>
      <c r="F917" s="67">
        <v>638</v>
      </c>
      <c r="G917" s="68">
        <v>1952.28</v>
      </c>
    </row>
    <row r="918" spans="1:7" x14ac:dyDescent="0.25">
      <c r="A918" s="67">
        <v>2006</v>
      </c>
      <c r="B918" s="67" t="s">
        <v>50</v>
      </c>
      <c r="C918" s="67" t="s">
        <v>23</v>
      </c>
      <c r="D918" s="67" t="s">
        <v>42</v>
      </c>
      <c r="E918" s="67" t="s">
        <v>45</v>
      </c>
      <c r="F918" s="67">
        <v>981</v>
      </c>
      <c r="G918" s="68">
        <v>2099.34</v>
      </c>
    </row>
    <row r="919" spans="1:7" x14ac:dyDescent="0.25">
      <c r="A919" s="67">
        <v>2007</v>
      </c>
      <c r="B919" s="67" t="s">
        <v>39</v>
      </c>
      <c r="C919" s="67" t="s">
        <v>34</v>
      </c>
      <c r="D919" s="67" t="s">
        <v>27</v>
      </c>
      <c r="E919" s="67" t="s">
        <v>49</v>
      </c>
      <c r="F919" s="67">
        <v>729</v>
      </c>
      <c r="G919" s="68">
        <v>2493.1799999999998</v>
      </c>
    </row>
    <row r="920" spans="1:7" x14ac:dyDescent="0.25">
      <c r="A920" s="67">
        <v>2007</v>
      </c>
      <c r="B920" s="67" t="s">
        <v>26</v>
      </c>
      <c r="C920" s="67" t="s">
        <v>30</v>
      </c>
      <c r="D920" s="67" t="s">
        <v>42</v>
      </c>
      <c r="E920" s="67" t="s">
        <v>45</v>
      </c>
      <c r="F920" s="67">
        <v>568</v>
      </c>
      <c r="G920" s="68">
        <v>1868.72</v>
      </c>
    </row>
    <row r="921" spans="1:7" x14ac:dyDescent="0.25">
      <c r="A921" s="67">
        <v>2007</v>
      </c>
      <c r="B921" s="67" t="s">
        <v>51</v>
      </c>
      <c r="C921" s="67" t="s">
        <v>32</v>
      </c>
      <c r="D921" s="67" t="s">
        <v>42</v>
      </c>
      <c r="E921" s="67" t="s">
        <v>45</v>
      </c>
      <c r="F921" s="67">
        <v>514</v>
      </c>
      <c r="G921" s="68">
        <v>1814.42</v>
      </c>
    </row>
    <row r="922" spans="1:7" x14ac:dyDescent="0.25">
      <c r="A922" s="67">
        <v>2005</v>
      </c>
      <c r="B922" s="67" t="s">
        <v>41</v>
      </c>
      <c r="C922" s="67" t="s">
        <v>32</v>
      </c>
      <c r="D922" s="67" t="s">
        <v>27</v>
      </c>
      <c r="E922" s="67" t="s">
        <v>28</v>
      </c>
      <c r="F922" s="67">
        <v>890</v>
      </c>
      <c r="G922" s="68">
        <v>3301.9</v>
      </c>
    </row>
    <row r="923" spans="1:7" x14ac:dyDescent="0.25">
      <c r="A923" s="67">
        <v>2007</v>
      </c>
      <c r="B923" s="67" t="s">
        <v>22</v>
      </c>
      <c r="C923" s="67" t="s">
        <v>30</v>
      </c>
      <c r="D923" s="67" t="s">
        <v>24</v>
      </c>
      <c r="E923" s="67" t="s">
        <v>47</v>
      </c>
      <c r="F923" s="67">
        <v>602</v>
      </c>
      <c r="G923" s="68">
        <v>1595.3</v>
      </c>
    </row>
  </sheetData>
  <mergeCells count="5">
    <mergeCell ref="I5:K5"/>
    <mergeCell ref="I6:K6"/>
    <mergeCell ref="I8:K8"/>
    <mergeCell ref="I9:K9"/>
    <mergeCell ref="I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4" sqref="D4"/>
    </sheetView>
  </sheetViews>
  <sheetFormatPr defaultRowHeight="15" x14ac:dyDescent="0.25"/>
  <cols>
    <col min="1" max="1" width="22.28515625" customWidth="1"/>
    <col min="4" max="4" width="16.140625" customWidth="1"/>
  </cols>
  <sheetData>
    <row r="1" spans="1:4" x14ac:dyDescent="0.25">
      <c r="A1" s="68">
        <v>2181.7600000000002</v>
      </c>
      <c r="D1" s="68">
        <v>2954.7</v>
      </c>
    </row>
    <row r="2" spans="1:4" x14ac:dyDescent="0.25">
      <c r="A2" s="68">
        <v>2954.7</v>
      </c>
      <c r="D2" s="68">
        <v>2428.37</v>
      </c>
    </row>
    <row r="3" spans="1:4" x14ac:dyDescent="0.25">
      <c r="A3" s="68">
        <v>2469.42</v>
      </c>
      <c r="D3" s="68">
        <v>2379.7600000000002</v>
      </c>
    </row>
    <row r="4" spans="1:4" x14ac:dyDescent="0.25">
      <c r="A4" s="68">
        <v>1750.28</v>
      </c>
      <c r="D4" s="70">
        <f>SUM(D1:D3)</f>
        <v>7762.83</v>
      </c>
    </row>
    <row r="5" spans="1:4" x14ac:dyDescent="0.25">
      <c r="A5" s="68">
        <v>1355.61</v>
      </c>
    </row>
    <row r="6" spans="1:4" x14ac:dyDescent="0.25">
      <c r="A6" s="68">
        <v>2034.9</v>
      </c>
    </row>
    <row r="7" spans="1:4" x14ac:dyDescent="0.25">
      <c r="A7" s="68">
        <v>2961.02</v>
      </c>
    </row>
    <row r="8" spans="1:4" x14ac:dyDescent="0.25">
      <c r="A8" s="68">
        <v>1763.82</v>
      </c>
    </row>
    <row r="9" spans="1:4" x14ac:dyDescent="0.25">
      <c r="A9" s="68">
        <v>2125.6999999999998</v>
      </c>
    </row>
    <row r="10" spans="1:4" x14ac:dyDescent="0.25">
      <c r="A10" s="68">
        <v>2353.1999999999998</v>
      </c>
    </row>
    <row r="11" spans="1:4" x14ac:dyDescent="0.25">
      <c r="A11" s="68">
        <v>2428.37</v>
      </c>
    </row>
    <row r="12" spans="1:4" x14ac:dyDescent="0.25">
      <c r="A12" s="68">
        <v>3141.47</v>
      </c>
    </row>
    <row r="13" spans="1:4" x14ac:dyDescent="0.25">
      <c r="A13" s="68">
        <v>1717</v>
      </c>
    </row>
    <row r="14" spans="1:4" x14ac:dyDescent="0.25">
      <c r="A14" s="68">
        <v>2379.7600000000002</v>
      </c>
    </row>
    <row r="15" spans="1:4" x14ac:dyDescent="0.25">
      <c r="A15" s="68">
        <v>2055.88</v>
      </c>
    </row>
    <row r="16" spans="1:4" x14ac:dyDescent="0.25">
      <c r="A16" s="68">
        <v>2566.1</v>
      </c>
    </row>
    <row r="17" spans="1:1" x14ac:dyDescent="0.25">
      <c r="A17" s="70">
        <f>SUM(A1:A16)</f>
        <v>36238.99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>
      <selection activeCell="D6" sqref="D6"/>
    </sheetView>
  </sheetViews>
  <sheetFormatPr defaultRowHeight="15" x14ac:dyDescent="0.25"/>
  <cols>
    <col min="2" max="3" width="15.28515625" customWidth="1"/>
    <col min="4" max="4" width="11.140625" customWidth="1"/>
  </cols>
  <sheetData>
    <row r="1" spans="2:8" ht="15.75" thickBot="1" x14ac:dyDescent="0.3"/>
    <row r="2" spans="2:8" ht="15.75" thickBot="1" x14ac:dyDescent="0.3">
      <c r="B2" s="9" t="s">
        <v>56</v>
      </c>
      <c r="C2" s="9" t="s">
        <v>57</v>
      </c>
      <c r="D2" s="10" t="s">
        <v>58</v>
      </c>
    </row>
    <row r="3" spans="2:8" ht="15.75" thickBot="1" x14ac:dyDescent="0.3">
      <c r="B3" s="11" t="s">
        <v>59</v>
      </c>
      <c r="C3" s="11">
        <v>68</v>
      </c>
      <c r="D3" s="12"/>
      <c r="G3" s="9" t="s">
        <v>57</v>
      </c>
      <c r="H3" s="10" t="s">
        <v>58</v>
      </c>
    </row>
    <row r="4" spans="2:8" x14ac:dyDescent="0.25">
      <c r="B4" s="13" t="s">
        <v>60</v>
      </c>
      <c r="C4" s="13">
        <v>50</v>
      </c>
      <c r="D4" s="14"/>
      <c r="G4" s="15">
        <v>0</v>
      </c>
      <c r="H4" s="16" t="s">
        <v>61</v>
      </c>
    </row>
    <row r="5" spans="2:8" x14ac:dyDescent="0.25">
      <c r="B5" s="13" t="s">
        <v>62</v>
      </c>
      <c r="C5" s="13">
        <v>77</v>
      </c>
      <c r="D5" s="14"/>
      <c r="G5" s="15">
        <v>40</v>
      </c>
      <c r="H5" s="16" t="s">
        <v>63</v>
      </c>
    </row>
    <row r="6" spans="2:8" x14ac:dyDescent="0.25">
      <c r="B6" s="13" t="s">
        <v>64</v>
      </c>
      <c r="C6" s="13">
        <v>92</v>
      </c>
      <c r="D6" s="14" t="str">
        <f>VLOOKUP(C6,G4:H8,2,TRUE)</f>
        <v>A</v>
      </c>
      <c r="G6" s="15">
        <v>70</v>
      </c>
      <c r="H6" s="16" t="s">
        <v>65</v>
      </c>
    </row>
    <row r="7" spans="2:8" x14ac:dyDescent="0.25">
      <c r="B7" s="13" t="s">
        <v>66</v>
      </c>
      <c r="C7" s="13">
        <v>56</v>
      </c>
      <c r="D7" s="14"/>
      <c r="G7" s="15">
        <v>80</v>
      </c>
      <c r="H7" s="16" t="s">
        <v>67</v>
      </c>
    </row>
    <row r="8" spans="2:8" ht="15.75" thickBot="1" x14ac:dyDescent="0.3">
      <c r="B8" s="17" t="s">
        <v>68</v>
      </c>
      <c r="C8" s="17">
        <v>79</v>
      </c>
      <c r="D8" s="18"/>
      <c r="G8" s="19">
        <v>90</v>
      </c>
      <c r="H8" s="20" t="s">
        <v>69</v>
      </c>
    </row>
    <row r="9" spans="2:8" x14ac:dyDescent="0.25">
      <c r="B9" s="21"/>
      <c r="C9" s="21"/>
      <c r="D9" s="21"/>
    </row>
    <row r="10" spans="2:8" x14ac:dyDescent="0.25">
      <c r="B10" s="21"/>
      <c r="C10" s="21"/>
      <c r="D10" s="21"/>
    </row>
    <row r="11" spans="2:8" x14ac:dyDescent="0.25">
      <c r="B11" s="21"/>
      <c r="C11" s="21"/>
      <c r="D11" s="21"/>
    </row>
    <row r="12" spans="2:8" x14ac:dyDescent="0.25">
      <c r="B12" s="21"/>
      <c r="C12" s="21"/>
      <c r="D12" s="2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"/>
  <sheetViews>
    <sheetView tabSelected="1" workbookViewId="0">
      <selection activeCell="D11" sqref="D11"/>
    </sheetView>
  </sheetViews>
  <sheetFormatPr defaultRowHeight="15" x14ac:dyDescent="0.25"/>
  <sheetData>
    <row r="2" spans="2:14" x14ac:dyDescent="0.25">
      <c r="C2" s="90" t="s">
        <v>70</v>
      </c>
      <c r="D2" s="91"/>
      <c r="E2" s="91"/>
      <c r="F2" s="91"/>
      <c r="G2" s="91"/>
      <c r="H2" s="91"/>
      <c r="I2" s="91"/>
      <c r="J2" s="92"/>
    </row>
    <row r="4" spans="2:14" x14ac:dyDescent="0.25">
      <c r="B4" s="22"/>
      <c r="C4" s="23" t="s">
        <v>71</v>
      </c>
      <c r="D4" s="24" t="s">
        <v>72</v>
      </c>
      <c r="E4" s="24" t="s">
        <v>73</v>
      </c>
      <c r="F4" s="24" t="s">
        <v>74</v>
      </c>
      <c r="G4" s="24" t="s">
        <v>41</v>
      </c>
      <c r="H4" s="24" t="s">
        <v>37</v>
      </c>
      <c r="I4" s="24" t="s">
        <v>39</v>
      </c>
      <c r="J4" s="24" t="s">
        <v>75</v>
      </c>
      <c r="K4" s="24" t="s">
        <v>76</v>
      </c>
      <c r="L4" s="24" t="s">
        <v>77</v>
      </c>
      <c r="M4" s="24" t="s">
        <v>78</v>
      </c>
      <c r="N4" s="25" t="s">
        <v>79</v>
      </c>
    </row>
    <row r="5" spans="2:14" x14ac:dyDescent="0.25">
      <c r="B5" s="26" t="s">
        <v>80</v>
      </c>
      <c r="C5" s="27">
        <v>218</v>
      </c>
      <c r="D5" s="28">
        <v>169</v>
      </c>
      <c r="E5" s="28">
        <v>7</v>
      </c>
      <c r="F5" s="28">
        <v>60</v>
      </c>
      <c r="G5" s="28">
        <v>186</v>
      </c>
      <c r="H5" s="28">
        <v>147</v>
      </c>
      <c r="I5" s="28">
        <v>181</v>
      </c>
      <c r="J5" s="28">
        <v>110</v>
      </c>
      <c r="K5" s="28">
        <v>0</v>
      </c>
      <c r="L5" s="28">
        <v>165</v>
      </c>
      <c r="M5" s="28">
        <v>96</v>
      </c>
      <c r="N5" s="29">
        <v>133</v>
      </c>
    </row>
    <row r="6" spans="2:14" x14ac:dyDescent="0.25">
      <c r="B6" s="30" t="s">
        <v>81</v>
      </c>
      <c r="C6" s="31">
        <v>0</v>
      </c>
      <c r="D6" s="32">
        <v>27</v>
      </c>
      <c r="E6" s="32">
        <v>106</v>
      </c>
      <c r="F6" s="32">
        <v>96</v>
      </c>
      <c r="G6" s="33">
        <v>0</v>
      </c>
      <c r="H6" s="33">
        <v>0</v>
      </c>
      <c r="I6" s="33">
        <v>0</v>
      </c>
      <c r="J6" s="33">
        <v>0</v>
      </c>
      <c r="K6" s="32">
        <v>172</v>
      </c>
      <c r="L6" s="32">
        <v>140</v>
      </c>
      <c r="M6" s="32">
        <v>79</v>
      </c>
      <c r="N6" s="34">
        <v>15</v>
      </c>
    </row>
    <row r="7" spans="2:14" x14ac:dyDescent="0.25">
      <c r="B7" s="30" t="s">
        <v>82</v>
      </c>
      <c r="C7" s="31">
        <v>16</v>
      </c>
      <c r="D7" s="33">
        <v>0</v>
      </c>
      <c r="E7" s="32">
        <v>50</v>
      </c>
      <c r="F7" s="32">
        <v>96</v>
      </c>
      <c r="G7" s="32">
        <v>74</v>
      </c>
      <c r="H7" s="33">
        <v>0</v>
      </c>
      <c r="I7" s="32">
        <v>117</v>
      </c>
      <c r="J7" s="32">
        <v>92</v>
      </c>
      <c r="K7" s="32">
        <v>16</v>
      </c>
      <c r="L7" s="32">
        <v>16</v>
      </c>
      <c r="M7" s="32">
        <v>96</v>
      </c>
      <c r="N7" s="34">
        <v>170</v>
      </c>
    </row>
    <row r="8" spans="2:14" x14ac:dyDescent="0.25">
      <c r="B8" s="35" t="s">
        <v>83</v>
      </c>
      <c r="C8" s="36">
        <v>162</v>
      </c>
      <c r="D8" s="37">
        <v>131</v>
      </c>
      <c r="E8" s="37">
        <v>92</v>
      </c>
      <c r="F8" s="37">
        <v>264</v>
      </c>
      <c r="G8" s="37">
        <v>250</v>
      </c>
      <c r="H8" s="37">
        <v>212</v>
      </c>
      <c r="I8" s="37">
        <v>90</v>
      </c>
      <c r="J8" s="37">
        <v>101</v>
      </c>
      <c r="K8" s="37">
        <v>95</v>
      </c>
      <c r="L8" s="37">
        <v>14</v>
      </c>
      <c r="M8" s="37">
        <v>0</v>
      </c>
      <c r="N8" s="38">
        <v>81</v>
      </c>
    </row>
    <row r="11" spans="2:14" x14ac:dyDescent="0.25">
      <c r="D11" s="50">
        <f t="array" aca="1" ref="D11:E11" ca="1">OFFSET(B4,4,5,1,2)</f>
        <v>250</v>
      </c>
      <c r="E11" s="50">
        <f ca="1"/>
        <v>212</v>
      </c>
    </row>
  </sheetData>
  <mergeCells count="1">
    <mergeCell ref="C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>
      <selection activeCell="I8" sqref="I8"/>
    </sheetView>
  </sheetViews>
  <sheetFormatPr defaultRowHeight="15" x14ac:dyDescent="0.25"/>
  <cols>
    <col min="2" max="4" width="12.7109375" customWidth="1"/>
  </cols>
  <sheetData>
    <row r="2" spans="2:4" x14ac:dyDescent="0.25">
      <c r="B2" s="23" t="s">
        <v>15</v>
      </c>
      <c r="C2" s="24" t="s">
        <v>84</v>
      </c>
      <c r="D2" s="25" t="s">
        <v>85</v>
      </c>
    </row>
    <row r="3" spans="2:4" x14ac:dyDescent="0.25">
      <c r="B3" s="40">
        <v>0</v>
      </c>
      <c r="C3" s="21">
        <v>-100</v>
      </c>
      <c r="D3" s="41">
        <v>-150</v>
      </c>
    </row>
    <row r="4" spans="2:4" x14ac:dyDescent="0.25">
      <c r="B4" s="40">
        <v>1</v>
      </c>
      <c r="C4" s="21">
        <v>35</v>
      </c>
      <c r="D4" s="41">
        <v>47</v>
      </c>
    </row>
    <row r="5" spans="2:4" x14ac:dyDescent="0.25">
      <c r="B5" s="40">
        <v>2</v>
      </c>
      <c r="C5" s="21">
        <v>35</v>
      </c>
      <c r="D5" s="41">
        <v>47</v>
      </c>
    </row>
    <row r="6" spans="2:4" x14ac:dyDescent="0.25">
      <c r="B6" s="40">
        <v>3</v>
      </c>
      <c r="C6" s="21">
        <v>35</v>
      </c>
      <c r="D6" s="41">
        <v>47</v>
      </c>
    </row>
    <row r="7" spans="2:4" x14ac:dyDescent="0.25">
      <c r="B7" s="40">
        <v>4</v>
      </c>
      <c r="C7" s="21">
        <v>35</v>
      </c>
      <c r="D7" s="41">
        <v>47</v>
      </c>
    </row>
    <row r="8" spans="2:4" x14ac:dyDescent="0.25">
      <c r="B8" s="42">
        <v>5</v>
      </c>
      <c r="C8" s="43">
        <v>35</v>
      </c>
      <c r="D8" s="44">
        <v>47</v>
      </c>
    </row>
    <row r="9" spans="2:4" x14ac:dyDescent="0.25">
      <c r="B9" s="39"/>
      <c r="C9" s="39"/>
      <c r="D9" s="39"/>
    </row>
    <row r="10" spans="2:4" x14ac:dyDescent="0.25">
      <c r="B10" s="79" t="s">
        <v>86</v>
      </c>
      <c r="C10" s="80"/>
      <c r="D10" s="49">
        <v>6.4017922753410797E-2</v>
      </c>
    </row>
    <row r="11" spans="2:4" x14ac:dyDescent="0.25">
      <c r="B11" s="93" t="s">
        <v>87</v>
      </c>
      <c r="C11" s="94"/>
      <c r="D11" s="47">
        <f>NPV(D10,C4:C8)+C3</f>
        <v>45.835101263116599</v>
      </c>
    </row>
    <row r="12" spans="2:4" x14ac:dyDescent="0.25">
      <c r="B12" s="93" t="s">
        <v>88</v>
      </c>
      <c r="C12" s="94"/>
      <c r="D12" s="47">
        <f>NPV(D10,D4:D8)+D3</f>
        <v>45.83570741047086</v>
      </c>
    </row>
    <row r="13" spans="2:4" x14ac:dyDescent="0.25">
      <c r="B13" s="45"/>
      <c r="C13" s="46"/>
      <c r="D13" s="41"/>
    </row>
    <row r="14" spans="2:4" x14ac:dyDescent="0.25">
      <c r="B14" s="95" t="s">
        <v>89</v>
      </c>
      <c r="C14" s="96"/>
      <c r="D14" s="48">
        <f>D11-D12</f>
        <v>-6.0614735426156585E-4</v>
      </c>
    </row>
    <row r="15" spans="2:4" x14ac:dyDescent="0.25">
      <c r="B15" s="39"/>
      <c r="C15" s="39"/>
      <c r="D15" s="39"/>
    </row>
  </sheetData>
  <mergeCells count="4">
    <mergeCell ref="B10:C10"/>
    <mergeCell ref="B11:C11"/>
    <mergeCell ref="B12:C12"/>
    <mergeCell ref="B14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"/>
  <sheetViews>
    <sheetView workbookViewId="0">
      <selection activeCell="P15" sqref="P15"/>
    </sheetView>
  </sheetViews>
  <sheetFormatPr defaultRowHeight="15" x14ac:dyDescent="0.25"/>
  <cols>
    <col min="1" max="1" width="9.140625" style="52"/>
    <col min="2" max="2" width="22.7109375" style="52" customWidth="1"/>
    <col min="3" max="3" width="16.7109375" style="52" customWidth="1"/>
    <col min="4" max="10" width="9.140625" style="52"/>
    <col min="11" max="12" width="12.7109375" style="52" customWidth="1"/>
    <col min="13" max="13" width="8.42578125" style="52" customWidth="1"/>
    <col min="14" max="14" width="18.140625" style="52" customWidth="1"/>
    <col min="15" max="16384" width="9.140625" style="52"/>
  </cols>
  <sheetData>
    <row r="1" spans="2:14" ht="26.25" x14ac:dyDescent="0.25">
      <c r="C1" s="114" t="s">
        <v>97</v>
      </c>
      <c r="D1" s="114"/>
      <c r="K1" s="97" t="s">
        <v>99</v>
      </c>
      <c r="L1" s="97"/>
      <c r="M1" s="97"/>
      <c r="N1" s="97"/>
    </row>
    <row r="2" spans="2:14" x14ac:dyDescent="0.25">
      <c r="B2" s="51"/>
      <c r="C2" s="51"/>
      <c r="D2" s="113" t="s">
        <v>92</v>
      </c>
      <c r="E2" s="113"/>
      <c r="F2" s="113"/>
    </row>
    <row r="3" spans="2:14" x14ac:dyDescent="0.25">
      <c r="B3" s="51"/>
      <c r="C3" s="51"/>
      <c r="D3" s="51" t="s">
        <v>69</v>
      </c>
      <c r="E3" s="51" t="s">
        <v>67</v>
      </c>
      <c r="F3" s="51" t="s">
        <v>65</v>
      </c>
      <c r="K3" s="59" t="s">
        <v>96</v>
      </c>
      <c r="L3" s="60" t="s">
        <v>100</v>
      </c>
      <c r="M3" s="60"/>
      <c r="N3" s="61" t="s">
        <v>101</v>
      </c>
    </row>
    <row r="4" spans="2:14" x14ac:dyDescent="0.25">
      <c r="B4" s="113" t="s">
        <v>96</v>
      </c>
      <c r="C4" s="51" t="s">
        <v>93</v>
      </c>
      <c r="D4" s="51">
        <v>4</v>
      </c>
      <c r="E4" s="51">
        <v>3</v>
      </c>
      <c r="F4" s="51">
        <v>8</v>
      </c>
      <c r="K4" s="55" t="s">
        <v>93</v>
      </c>
      <c r="L4" s="56">
        <f>SUM(D12:F12)</f>
        <v>300.00000000000006</v>
      </c>
      <c r="M4" s="56" t="s">
        <v>102</v>
      </c>
      <c r="N4" s="57">
        <v>300</v>
      </c>
    </row>
    <row r="5" spans="2:14" x14ac:dyDescent="0.25">
      <c r="B5" s="113"/>
      <c r="C5" s="51" t="s">
        <v>94</v>
      </c>
      <c r="D5" s="51">
        <v>7</v>
      </c>
      <c r="E5" s="51">
        <v>5</v>
      </c>
      <c r="F5" s="51">
        <v>9</v>
      </c>
      <c r="K5" s="55" t="s">
        <v>94</v>
      </c>
      <c r="L5" s="56">
        <f t="shared" ref="L5:L6" si="0">SUM(D13:F13)</f>
        <v>300.00000000000011</v>
      </c>
      <c r="M5" s="56" t="s">
        <v>102</v>
      </c>
      <c r="N5" s="57">
        <v>300</v>
      </c>
    </row>
    <row r="6" spans="2:14" x14ac:dyDescent="0.25">
      <c r="B6" s="113"/>
      <c r="C6" s="51" t="s">
        <v>95</v>
      </c>
      <c r="D6" s="51">
        <v>4</v>
      </c>
      <c r="E6" s="51">
        <v>5</v>
      </c>
      <c r="F6" s="51">
        <v>5</v>
      </c>
      <c r="K6" s="55" t="s">
        <v>95</v>
      </c>
      <c r="L6" s="56">
        <f t="shared" si="0"/>
        <v>400.00000000000898</v>
      </c>
      <c r="M6" s="56" t="s">
        <v>102</v>
      </c>
      <c r="N6" s="57">
        <v>400</v>
      </c>
    </row>
    <row r="7" spans="2:14" x14ac:dyDescent="0.25">
      <c r="K7" s="58"/>
      <c r="L7" s="53"/>
      <c r="M7" s="53"/>
      <c r="N7" s="51">
        <f>SUM(N4:N6)</f>
        <v>1000</v>
      </c>
    </row>
    <row r="9" spans="2:14" ht="26.25" x14ac:dyDescent="0.25">
      <c r="B9" s="114" t="s">
        <v>98</v>
      </c>
      <c r="C9" s="114"/>
      <c r="D9" s="114"/>
      <c r="E9" s="114"/>
      <c r="F9" s="114"/>
    </row>
    <row r="10" spans="2:14" ht="15.75" x14ac:dyDescent="0.25">
      <c r="B10" s="51"/>
      <c r="C10" s="51"/>
      <c r="D10" s="113" t="s">
        <v>92</v>
      </c>
      <c r="E10" s="113"/>
      <c r="F10" s="113"/>
      <c r="K10" s="62" t="s">
        <v>92</v>
      </c>
      <c r="L10" s="63" t="s">
        <v>103</v>
      </c>
      <c r="M10" s="63"/>
      <c r="N10" s="64" t="s">
        <v>104</v>
      </c>
    </row>
    <row r="11" spans="2:14" x14ac:dyDescent="0.25">
      <c r="B11" s="51"/>
      <c r="C11" s="51"/>
      <c r="D11" s="51" t="s">
        <v>69</v>
      </c>
      <c r="E11" s="51" t="s">
        <v>67</v>
      </c>
      <c r="F11" s="51" t="s">
        <v>65</v>
      </c>
      <c r="K11" s="55" t="s">
        <v>69</v>
      </c>
      <c r="L11" s="56">
        <f>SUM(D12:D14)</f>
        <v>500.00000000000898</v>
      </c>
      <c r="M11" s="65" t="s">
        <v>105</v>
      </c>
      <c r="N11" s="57">
        <v>500</v>
      </c>
    </row>
    <row r="12" spans="2:14" x14ac:dyDescent="0.25">
      <c r="B12" s="113" t="s">
        <v>96</v>
      </c>
      <c r="C12" s="51" t="s">
        <v>93</v>
      </c>
      <c r="D12" s="54">
        <v>49.999999999999979</v>
      </c>
      <c r="E12" s="54">
        <v>0</v>
      </c>
      <c r="F12" s="54">
        <v>250.00000000000006</v>
      </c>
      <c r="K12" s="55" t="s">
        <v>67</v>
      </c>
      <c r="L12" s="56">
        <f>SUM(E12:E14)</f>
        <v>250.00000000000006</v>
      </c>
      <c r="M12" s="65" t="s">
        <v>105</v>
      </c>
      <c r="N12" s="57">
        <v>250</v>
      </c>
    </row>
    <row r="13" spans="2:14" x14ac:dyDescent="0.25">
      <c r="B13" s="113"/>
      <c r="C13" s="51" t="s">
        <v>94</v>
      </c>
      <c r="D13" s="54">
        <v>300.00000000000011</v>
      </c>
      <c r="E13" s="54">
        <v>0</v>
      </c>
      <c r="F13" s="54">
        <v>0</v>
      </c>
      <c r="K13" s="55" t="s">
        <v>65</v>
      </c>
      <c r="L13" s="56">
        <f>SUM(F12:F14)</f>
        <v>250.00000000000006</v>
      </c>
      <c r="M13" s="65" t="s">
        <v>105</v>
      </c>
      <c r="N13" s="57">
        <v>250</v>
      </c>
    </row>
    <row r="14" spans="2:14" x14ac:dyDescent="0.25">
      <c r="B14" s="113"/>
      <c r="C14" s="51" t="s">
        <v>95</v>
      </c>
      <c r="D14" s="54">
        <v>150.0000000000089</v>
      </c>
      <c r="E14" s="54">
        <v>250.00000000000006</v>
      </c>
      <c r="F14" s="54">
        <v>0</v>
      </c>
      <c r="K14" s="58"/>
      <c r="L14" s="53"/>
      <c r="M14" s="53"/>
      <c r="N14" s="51">
        <f>SUM(N11:N13)</f>
        <v>1000</v>
      </c>
    </row>
    <row r="18" spans="3:11" x14ac:dyDescent="0.25">
      <c r="C18" s="98" t="s">
        <v>106</v>
      </c>
      <c r="D18" s="99"/>
      <c r="E18" s="99"/>
      <c r="F18" s="99"/>
      <c r="G18" s="99"/>
      <c r="H18" s="104">
        <f>SUMPRODUCT(D4:F6,D12:F14)</f>
        <v>6150.0000000000373</v>
      </c>
      <c r="I18" s="105"/>
      <c r="J18" s="105"/>
      <c r="K18" s="106"/>
    </row>
    <row r="19" spans="3:11" x14ac:dyDescent="0.25">
      <c r="C19" s="100"/>
      <c r="D19" s="101"/>
      <c r="E19" s="101"/>
      <c r="F19" s="101"/>
      <c r="G19" s="101"/>
      <c r="H19" s="107"/>
      <c r="I19" s="108"/>
      <c r="J19" s="108"/>
      <c r="K19" s="109"/>
    </row>
    <row r="20" spans="3:11" x14ac:dyDescent="0.25">
      <c r="C20" s="102"/>
      <c r="D20" s="103"/>
      <c r="E20" s="103"/>
      <c r="F20" s="103"/>
      <c r="G20" s="103"/>
      <c r="H20" s="110"/>
      <c r="I20" s="111"/>
      <c r="J20" s="111"/>
      <c r="K20" s="112"/>
    </row>
  </sheetData>
  <mergeCells count="9">
    <mergeCell ref="K1:N1"/>
    <mergeCell ref="C18:G20"/>
    <mergeCell ref="H18:K20"/>
    <mergeCell ref="D2:F2"/>
    <mergeCell ref="B4:B6"/>
    <mergeCell ref="C1:D1"/>
    <mergeCell ref="D10:F10"/>
    <mergeCell ref="B12:B1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E5" sqref="E5"/>
    </sheetView>
  </sheetViews>
  <sheetFormatPr defaultRowHeight="15" x14ac:dyDescent="0.25"/>
  <cols>
    <col min="1" max="2" width="15.7109375" customWidth="1"/>
  </cols>
  <sheetData>
    <row r="2" spans="1:2" ht="15.75" x14ac:dyDescent="0.25">
      <c r="A2" s="74" t="s">
        <v>111</v>
      </c>
      <c r="B2" s="72">
        <v>-10000</v>
      </c>
    </row>
    <row r="3" spans="1:2" ht="15.75" x14ac:dyDescent="0.25">
      <c r="A3" s="74">
        <v>1</v>
      </c>
      <c r="B3" s="72">
        <v>5000</v>
      </c>
    </row>
    <row r="4" spans="1:2" ht="15.75" x14ac:dyDescent="0.25">
      <c r="A4" s="74">
        <v>2</v>
      </c>
      <c r="B4" s="72">
        <v>4000</v>
      </c>
    </row>
    <row r="5" spans="1:2" ht="15.75" x14ac:dyDescent="0.25">
      <c r="A5" s="74">
        <v>3</v>
      </c>
      <c r="B5" s="72">
        <v>4000</v>
      </c>
    </row>
    <row r="6" spans="1:2" ht="15.75" x14ac:dyDescent="0.25">
      <c r="A6" s="74"/>
      <c r="B6" s="71"/>
    </row>
    <row r="7" spans="1:2" ht="15.75" x14ac:dyDescent="0.25">
      <c r="A7" s="74" t="s">
        <v>112</v>
      </c>
      <c r="B7" s="73">
        <f>IRR(B2:B5)</f>
        <v>0.15015508957153756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Data1</vt:lpstr>
      <vt:lpstr>Data2</vt:lpstr>
      <vt:lpstr>Sheet for Copying</vt:lpstr>
      <vt:lpstr>Data3</vt:lpstr>
      <vt:lpstr>Answers for Q7</vt:lpstr>
      <vt:lpstr>Data4</vt:lpstr>
      <vt:lpstr>Data5</vt:lpstr>
      <vt:lpstr>CrossOver Rate</vt:lpstr>
      <vt:lpstr>Transport</vt:lpstr>
      <vt:lpstr>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Sharma</dc:creator>
  <cp:lastModifiedBy>Kabir Kanha</cp:lastModifiedBy>
  <dcterms:created xsi:type="dcterms:W3CDTF">2018-02-16T06:15:14Z</dcterms:created>
  <dcterms:modified xsi:type="dcterms:W3CDTF">2018-04-25T07:36:07Z</dcterms:modified>
</cp:coreProperties>
</file>