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r612\Desktop\"/>
    </mc:Choice>
  </mc:AlternateContent>
  <bookViews>
    <workbookView xWindow="0" yWindow="0" windowWidth="15360" windowHeight="7755" firstSheet="4" activeTab="7"/>
  </bookViews>
  <sheets>
    <sheet name="Copyright" sheetId="1" r:id="rId1"/>
    <sheet name="Exhibit 6" sheetId="51" r:id="rId2"/>
    <sheet name="Exhibit 7" sheetId="50" r:id="rId3"/>
    <sheet name="Exhibit 8" sheetId="49" r:id="rId4"/>
    <sheet name="Exhibit 9" sheetId="48" r:id="rId5"/>
    <sheet name="Valuation" sheetId="52" r:id="rId6"/>
    <sheet name="Summary" sheetId="53" r:id="rId7"/>
    <sheet name="Warrant-B-S" sheetId="57" r:id="rId8"/>
    <sheet name="Dilution effect" sheetId="55" r:id="rId9"/>
  </sheets>
  <calcPr calcId="162913"/>
</workbook>
</file>

<file path=xl/calcChain.xml><?xml version="1.0" encoding="utf-8"?>
<calcChain xmlns="http://schemas.openxmlformats.org/spreadsheetml/2006/main">
  <c r="K6" i="53" l="1"/>
  <c r="B51" i="57" l="1"/>
  <c r="E51" i="57" l="1"/>
  <c r="L9" i="53"/>
  <c r="K9" i="53"/>
  <c r="I6" i="53" s="1"/>
  <c r="C6" i="55"/>
  <c r="D6" i="55"/>
  <c r="B15" i="52"/>
  <c r="B47" i="57"/>
  <c r="G42" i="52"/>
  <c r="G43" i="52" s="1"/>
  <c r="G41" i="52"/>
  <c r="G33" i="52"/>
  <c r="G6" i="53"/>
  <c r="H24" i="52"/>
  <c r="C11" i="55" l="1"/>
  <c r="B72" i="52"/>
  <c r="E4" i="57"/>
  <c r="B4" i="57"/>
  <c r="E47" i="57"/>
  <c r="K14" i="55"/>
  <c r="E30" i="57"/>
  <c r="E41" i="57" s="1"/>
  <c r="E42" i="57" s="1"/>
  <c r="E16" i="57"/>
  <c r="E18" i="57" s="1"/>
  <c r="B30" i="57"/>
  <c r="B41" i="57" s="1"/>
  <c r="B42" i="57" s="1"/>
  <c r="B31" i="57"/>
  <c r="E31" i="57" l="1"/>
  <c r="E28" i="57"/>
  <c r="E29" i="57"/>
  <c r="B29" i="57"/>
  <c r="B16" i="57"/>
  <c r="E17" i="57" s="1"/>
  <c r="E19" i="57" s="1"/>
  <c r="B28" i="57"/>
  <c r="E32" i="57" l="1"/>
  <c r="B17" i="57"/>
  <c r="B19" i="57" s="1"/>
  <c r="B18" i="57"/>
  <c r="E21" i="57" s="1"/>
  <c r="B32" i="57"/>
  <c r="E34" i="57" l="1"/>
  <c r="E37" i="57" s="1"/>
  <c r="E43" i="57" s="1"/>
  <c r="E44" i="57" s="1"/>
  <c r="E36" i="57"/>
  <c r="E40" i="57" s="1"/>
  <c r="E45" i="57" s="1"/>
  <c r="E48" i="57" s="1"/>
  <c r="E49" i="57" s="1"/>
  <c r="B36" i="57"/>
  <c r="B40" i="57" s="1"/>
  <c r="B34" i="57"/>
  <c r="B37" i="57" s="1"/>
  <c r="B43" i="57" s="1"/>
  <c r="B44" i="57" s="1"/>
  <c r="B21" i="57"/>
  <c r="B22" i="57" l="1"/>
  <c r="E22" i="57"/>
  <c r="B45" i="57"/>
  <c r="B48" i="57" s="1"/>
  <c r="B49" i="57" s="1"/>
  <c r="D8" i="51" l="1"/>
  <c r="D7" i="51"/>
  <c r="D6" i="51"/>
  <c r="D5" i="51"/>
  <c r="D4" i="51"/>
  <c r="G8" i="51"/>
  <c r="G7" i="51"/>
  <c r="G6" i="51"/>
  <c r="G5" i="51"/>
  <c r="G4" i="51"/>
  <c r="F8" i="51"/>
  <c r="F7" i="51"/>
  <c r="F4" i="51"/>
  <c r="F6" i="51"/>
  <c r="C6" i="51"/>
  <c r="E5" i="51"/>
  <c r="G44" i="52" l="1"/>
  <c r="G7" i="53" s="1"/>
  <c r="E41" i="52"/>
  <c r="B13" i="52"/>
  <c r="T4" i="55" l="1"/>
  <c r="M10" i="55"/>
  <c r="M7" i="55"/>
  <c r="K6" i="55"/>
  <c r="M6" i="55" s="1"/>
  <c r="M5" i="55"/>
  <c r="M4" i="55"/>
  <c r="E4" i="55"/>
  <c r="E10" i="55"/>
  <c r="E6" i="55"/>
  <c r="K11" i="55" l="1"/>
  <c r="D4" i="55"/>
  <c r="M11" i="55"/>
  <c r="N6" i="55" s="1"/>
  <c r="N9" i="55" l="1"/>
  <c r="N7" i="55"/>
  <c r="N4" i="55"/>
  <c r="N5" i="55"/>
  <c r="N10" i="55"/>
  <c r="N8" i="55"/>
  <c r="H7" i="52"/>
  <c r="N11" i="55" l="1"/>
  <c r="G6" i="55"/>
  <c r="E63" i="52" l="1"/>
  <c r="B26" i="52"/>
  <c r="B14" i="52"/>
  <c r="G95" i="50"/>
  <c r="G93" i="50"/>
  <c r="G81" i="50"/>
  <c r="C56" i="50"/>
  <c r="C55" i="50"/>
  <c r="C54" i="50"/>
  <c r="C53" i="50"/>
  <c r="C52" i="50"/>
  <c r="C58" i="50"/>
  <c r="C60" i="50"/>
  <c r="C62" i="50"/>
  <c r="C64" i="50"/>
  <c r="C41" i="50"/>
  <c r="C40" i="50"/>
  <c r="C39" i="50"/>
  <c r="C38" i="50"/>
  <c r="C37" i="50"/>
  <c r="C36" i="50"/>
  <c r="C43" i="50"/>
  <c r="C45" i="50"/>
  <c r="C23" i="50"/>
  <c r="C21" i="50"/>
  <c r="C19" i="50"/>
  <c r="C17" i="50"/>
  <c r="C16" i="50"/>
  <c r="C15" i="50"/>
  <c r="C12" i="50"/>
  <c r="C11" i="50"/>
  <c r="C7" i="50"/>
  <c r="C8" i="50"/>
  <c r="C9" i="50"/>
  <c r="D8" i="52" l="1"/>
  <c r="E8" i="52" s="1"/>
  <c r="F8" i="52" s="1"/>
  <c r="G8" i="52" s="1"/>
  <c r="H8" i="52" s="1"/>
  <c r="B70" i="52"/>
  <c r="I5" i="55" l="1"/>
  <c r="I10" i="55"/>
  <c r="I4" i="55"/>
  <c r="I8" i="55"/>
  <c r="I7" i="55"/>
  <c r="E5" i="55"/>
  <c r="E11" i="55" s="1"/>
  <c r="F4" i="55" s="1"/>
  <c r="T5" i="55"/>
  <c r="F8" i="55" l="1"/>
  <c r="G11" i="55"/>
  <c r="I6" i="55"/>
  <c r="I11" i="55" s="1"/>
  <c r="J5" i="55" s="1"/>
  <c r="D10" i="55"/>
  <c r="D7" i="55"/>
  <c r="D8" i="55"/>
  <c r="D5" i="55"/>
  <c r="D9" i="55"/>
  <c r="H5" i="55" l="1"/>
  <c r="L8" i="55"/>
  <c r="L4" i="55"/>
  <c r="L10" i="55"/>
  <c r="L5" i="55"/>
  <c r="L9" i="55"/>
  <c r="L7" i="55"/>
  <c r="L6" i="55"/>
  <c r="J7" i="55"/>
  <c r="J4" i="55"/>
  <c r="F10" i="55"/>
  <c r="D11" i="55"/>
  <c r="F6" i="55"/>
  <c r="F9" i="55"/>
  <c r="F5" i="55"/>
  <c r="F7" i="55"/>
  <c r="J10" i="55"/>
  <c r="J9" i="55"/>
  <c r="H8" i="55"/>
  <c r="H9" i="55"/>
  <c r="H10" i="55"/>
  <c r="H7" i="55"/>
  <c r="H4" i="55"/>
  <c r="J8" i="55"/>
  <c r="J6" i="55"/>
  <c r="H6" i="55"/>
  <c r="L11" i="55" l="1"/>
  <c r="F11" i="55"/>
  <c r="J11" i="55"/>
  <c r="H11" i="55"/>
  <c r="E49" i="52" l="1"/>
  <c r="H65" i="52" l="1"/>
  <c r="H60" i="52"/>
  <c r="H63" i="52"/>
  <c r="A58" i="52"/>
  <c r="B60" i="52"/>
  <c r="C60" i="52"/>
  <c r="D60" i="52"/>
  <c r="E60" i="52"/>
  <c r="F60" i="52"/>
  <c r="G60" i="52"/>
  <c r="A61" i="52"/>
  <c r="B61" i="52"/>
  <c r="C61" i="52"/>
  <c r="A63" i="52"/>
  <c r="B63" i="52"/>
  <c r="C63" i="52"/>
  <c r="D63" i="52"/>
  <c r="F63" i="52"/>
  <c r="G63" i="52"/>
  <c r="A64" i="52"/>
  <c r="F49" i="52"/>
  <c r="G49" i="52"/>
  <c r="F41" i="52"/>
  <c r="C62" i="52" l="1"/>
  <c r="C26" i="52" l="1"/>
  <c r="D26" i="52"/>
  <c r="E26" i="52"/>
  <c r="F26" i="52"/>
  <c r="G26" i="52"/>
  <c r="C28" i="52"/>
  <c r="D28" i="52"/>
  <c r="E28" i="52"/>
  <c r="F28" i="52"/>
  <c r="B28" i="52"/>
  <c r="C10" i="52"/>
  <c r="C64" i="52" s="1"/>
  <c r="C67" i="52" s="1"/>
  <c r="C74" i="52" s="1"/>
  <c r="B10" i="52"/>
  <c r="B64" i="52" s="1"/>
  <c r="B67" i="52" s="1"/>
  <c r="D27" i="52" l="1"/>
  <c r="H26" i="52"/>
  <c r="B33" i="52" s="1"/>
  <c r="B6" i="53" s="1"/>
  <c r="G29" i="52"/>
  <c r="G27" i="52"/>
  <c r="H28" i="52"/>
  <c r="D29" i="52"/>
  <c r="B34" i="52" l="1"/>
  <c r="C34" i="52"/>
  <c r="C33" i="52"/>
  <c r="C6" i="53" s="1"/>
  <c r="G65" i="52" l="1"/>
  <c r="F65" i="52"/>
  <c r="G61" i="52"/>
  <c r="H61" i="52"/>
  <c r="H10" i="52"/>
  <c r="H64" i="52" s="1"/>
  <c r="H67" i="52" s="1"/>
  <c r="H76" i="52" s="1"/>
  <c r="C77" i="52" s="1"/>
  <c r="G10" i="52"/>
  <c r="G45" i="52"/>
  <c r="G46" i="52" s="1"/>
  <c r="G8" i="53" s="1"/>
  <c r="E65" i="52"/>
  <c r="D7" i="52"/>
  <c r="D33" i="52" l="1"/>
  <c r="D6" i="53" s="1"/>
  <c r="E7" i="52"/>
  <c r="G64" i="52"/>
  <c r="G34" i="52"/>
  <c r="G10" i="53" s="1"/>
  <c r="D10" i="52"/>
  <c r="D64" i="52" s="1"/>
  <c r="H62" i="52"/>
  <c r="G67" i="52"/>
  <c r="G74" i="52" s="1"/>
  <c r="D61" i="52"/>
  <c r="D62" i="52" s="1"/>
  <c r="D65" i="52"/>
  <c r="D34" i="52" l="1"/>
  <c r="G50" i="52"/>
  <c r="G51" i="52" s="1"/>
  <c r="D67" i="52"/>
  <c r="D74" i="52" s="1"/>
  <c r="F7" i="52"/>
  <c r="E61" i="52"/>
  <c r="E62" i="52" s="1"/>
  <c r="E33" i="52"/>
  <c r="E10" i="52"/>
  <c r="E6" i="53" l="1"/>
  <c r="E42" i="52"/>
  <c r="E43" i="52" s="1"/>
  <c r="G53" i="52"/>
  <c r="G54" i="52" s="1"/>
  <c r="G12" i="53" s="1"/>
  <c r="G52" i="52"/>
  <c r="G11" i="53" s="1"/>
  <c r="F61" i="52"/>
  <c r="F10" i="52"/>
  <c r="F33" i="52"/>
  <c r="E34" i="52"/>
  <c r="E64" i="52"/>
  <c r="E67" i="52" s="1"/>
  <c r="E74" i="52" s="1"/>
  <c r="E44" i="52" l="1"/>
  <c r="E7" i="53" s="1"/>
  <c r="E45" i="52"/>
  <c r="E46" i="52" s="1"/>
  <c r="E8" i="53" s="1"/>
  <c r="E50" i="52"/>
  <c r="E51" i="52" s="1"/>
  <c r="E10" i="53"/>
  <c r="F42" i="52"/>
  <c r="F43" i="52" s="1"/>
  <c r="F6" i="53"/>
  <c r="F34" i="52"/>
  <c r="F64" i="52"/>
  <c r="F67" i="52" s="1"/>
  <c r="F74" i="52" s="1"/>
  <c r="G75" i="52" s="1"/>
  <c r="G62" i="52"/>
  <c r="F62" i="52"/>
  <c r="E53" i="52"/>
  <c r="E54" i="52" s="1"/>
  <c r="E12" i="53" s="1"/>
  <c r="E52" i="52"/>
  <c r="E11" i="53" s="1"/>
  <c r="F45" i="52"/>
  <c r="F46" i="52" s="1"/>
  <c r="F8" i="53" s="1"/>
  <c r="F44" i="52"/>
  <c r="F7" i="53" s="1"/>
  <c r="C75" i="52" l="1"/>
  <c r="C78" i="52" s="1"/>
  <c r="C80" i="52" s="1"/>
  <c r="C81" i="52" s="1"/>
  <c r="G16" i="53" s="1"/>
  <c r="F50" i="52"/>
  <c r="F51" i="52" s="1"/>
  <c r="F52" i="52" s="1"/>
  <c r="F11" i="53" s="1"/>
  <c r="F10" i="53"/>
  <c r="C79" i="52"/>
  <c r="G15" i="53" s="1"/>
  <c r="F53" i="52" l="1"/>
  <c r="F54" i="52" s="1"/>
  <c r="F12" i="53" s="1"/>
  <c r="G14" i="53"/>
</calcChain>
</file>

<file path=xl/comments1.xml><?xml version="1.0" encoding="utf-8"?>
<comments xmlns="http://schemas.openxmlformats.org/spreadsheetml/2006/main">
  <authors>
    <author>MB Ragupathy</author>
  </authors>
  <commentList>
    <comment ref="G28" authorId="0" shapeId="0">
      <text>
        <r>
          <rPr>
            <b/>
            <sz val="9"/>
            <color indexed="81"/>
            <rFont val="Tahoma"/>
            <family val="2"/>
          </rPr>
          <t>MB Ragupathy:</t>
        </r>
        <r>
          <rPr>
            <sz val="9"/>
            <color indexed="81"/>
            <rFont val="Tahoma"/>
            <family val="2"/>
          </rPr>
          <t xml:space="preserve">
Negative value</t>
        </r>
      </text>
    </comment>
  </commentList>
</comments>
</file>

<file path=xl/sharedStrings.xml><?xml version="1.0" encoding="utf-8"?>
<sst xmlns="http://schemas.openxmlformats.org/spreadsheetml/2006/main" count="302" uniqueCount="212">
  <si>
    <t>Copyright © 2010 President and Fellows of Harvard College.  No part of this product may be reproduced, stored in a retrieval system or transmitted in any form or by any means—electronic, mechanical, photocopying, recording or otherwise—without the permission of Harvard Business School.</t>
  </si>
  <si>
    <t>Name or Entity</t>
  </si>
  <si>
    <t>Class of Stock</t>
  </si>
  <si>
    <t>Number of Shares</t>
  </si>
  <si>
    <t>Common (Class A and B)</t>
  </si>
  <si>
    <t>New Investors</t>
  </si>
  <si>
    <t>Series A Preferred</t>
  </si>
  <si>
    <t>Total</t>
  </si>
  <si>
    <r>
      <t xml:space="preserve">Exhibit 6 </t>
    </r>
    <r>
      <rPr>
        <sz val="10"/>
        <rFont val="Arial"/>
        <family val="2"/>
      </rPr>
      <t xml:space="preserve">    Access Series A Term Sheet: June 4, 1994</t>
    </r>
  </si>
  <si>
    <t>Total Percentage Ownership</t>
  </si>
  <si>
    <r>
      <t>Existing Investors</t>
    </r>
    <r>
      <rPr>
        <vertAlign val="superscript"/>
        <sz val="10"/>
        <rFont val="Arial"/>
        <family val="2"/>
      </rPr>
      <t>b</t>
    </r>
  </si>
  <si>
    <r>
      <t>Reserved for Management and Employees</t>
    </r>
    <r>
      <rPr>
        <vertAlign val="superscript"/>
        <sz val="10"/>
        <rFont val="Arial"/>
        <family val="2"/>
      </rPr>
      <t>c</t>
    </r>
  </si>
  <si>
    <r>
      <t>a</t>
    </r>
    <r>
      <rPr>
        <sz val="8"/>
        <rFont val="Arial"/>
        <family val="2"/>
      </rPr>
      <t>While the term sheet was prepared assuming the sale of 2.5 million shares, 2.22 million shares were actually sold.</t>
    </r>
  </si>
  <si>
    <r>
      <t>b</t>
    </r>
    <r>
      <rPr>
        <sz val="8"/>
        <rFont val="Arial"/>
        <family val="2"/>
      </rPr>
      <t>Includes 157,677 shares issued as part of the Fuller Research &amp; Development Company merger, 389,820 shares issued pursuant to restricted stock grants and 1,087,962 shares subject to options granted to Daniel R. Kranzler.</t>
    </r>
  </si>
  <si>
    <r>
      <t>c</t>
    </r>
    <r>
      <rPr>
        <sz val="8"/>
        <rFont val="Arial"/>
        <family val="2"/>
      </rPr>
      <t>Excludes 643,600 shares reserved for future grant.</t>
    </r>
  </si>
  <si>
    <t>Revenue</t>
  </si>
  <si>
    <t>Systems revenue</t>
  </si>
  <si>
    <t>Licensing and maintenance</t>
  </si>
  <si>
    <t>Total revenue</t>
  </si>
  <si>
    <t>Cost of systems</t>
  </si>
  <si>
    <t>Gross margin</t>
  </si>
  <si>
    <t>Operating expenses</t>
  </si>
  <si>
    <t>Sales, general and administrative</t>
  </si>
  <si>
    <t>Engineering, research and development</t>
  </si>
  <si>
    <t>Total operating expenses</t>
  </si>
  <si>
    <t>Operating loss</t>
  </si>
  <si>
    <t>Other income, net</t>
  </si>
  <si>
    <t>Net loss</t>
  </si>
  <si>
    <t>Net loss per share</t>
  </si>
  <si>
    <t>Weighted average common share outstanding</t>
  </si>
  <si>
    <t>Consolidated Statements of Operations, Year Ended December 31, 1993</t>
  </si>
  <si>
    <r>
      <t xml:space="preserve">Exhibit 7 </t>
    </r>
    <r>
      <rPr>
        <sz val="10"/>
        <rFont val="Arial"/>
        <family val="2"/>
      </rPr>
      <t xml:space="preserve">    Historical Financial Performance and Projected Growth of AccessLine Technologies, Inc.</t>
    </r>
  </si>
  <si>
    <t>Consolidated Balance Sheet, December 31, 1993</t>
  </si>
  <si>
    <t>Assets</t>
  </si>
  <si>
    <t>Current assets</t>
  </si>
  <si>
    <t>Cash and cash equivalent</t>
  </si>
  <si>
    <t>Accounts receivable</t>
  </si>
  <si>
    <t>Inventory</t>
  </si>
  <si>
    <t>Prepaid expenses and deposits</t>
  </si>
  <si>
    <t>Total current assets</t>
  </si>
  <si>
    <t>Property and equipment, net</t>
  </si>
  <si>
    <t>Other assets, net</t>
  </si>
  <si>
    <t>Liabilities and Stockholders’ Equity</t>
  </si>
  <si>
    <t>Current liabilities</t>
  </si>
  <si>
    <t>Accounts payable</t>
  </si>
  <si>
    <t>Accrued wages, benefits, taxes</t>
  </si>
  <si>
    <t>Other accrued liabilities</t>
  </si>
  <si>
    <t>Total current liabilities</t>
  </si>
  <si>
    <t>Note payable</t>
  </si>
  <si>
    <t>Other liabilities</t>
  </si>
  <si>
    <t>Total stockholders’ equity (deficiency in assets)</t>
  </si>
  <si>
    <t>U.S. Personal number market:</t>
  </si>
  <si>
    <t>Cellular</t>
  </si>
  <si>
    <t>PCS</t>
  </si>
  <si>
    <t>Paging</t>
  </si>
  <si>
    <t>Personal number market</t>
  </si>
  <si>
    <t>Combined penetration (%)</t>
  </si>
  <si>
    <t>AccessLine U.S.subscribers:</t>
  </si>
  <si>
    <t>Subscribers</t>
  </si>
  <si>
    <t>Penetration of cellular, paging &amp; PCS</t>
  </si>
  <si>
    <t>Penetration of personal number market</t>
  </si>
  <si>
    <t>Non U.S. subscribers:</t>
  </si>
  <si>
    <t>Canada</t>
  </si>
  <si>
    <t>Europe</t>
  </si>
  <si>
    <t>Japan</t>
  </si>
  <si>
    <t>Asia</t>
  </si>
  <si>
    <t>Total non U.S. subscribers</t>
  </si>
  <si>
    <t>Total AccessLine subscribers</t>
  </si>
  <si>
    <t>Source: Corporate documents.</t>
  </si>
  <si>
    <t>Recent Performance ($m)</t>
  </si>
  <si>
    <t>FY Revenues</t>
  </si>
  <si>
    <t>FY Net Income</t>
  </si>
  <si>
    <t>Market Capitalization at Calendar Year End</t>
  </si>
  <si>
    <t>Beta</t>
  </si>
  <si>
    <r>
      <t>Exhibit 8</t>
    </r>
    <r>
      <rPr>
        <sz val="10"/>
        <rFont val="Arial"/>
        <family val="2"/>
      </rPr>
      <t xml:space="preserve">     Comparable Public Companies</t>
    </r>
  </si>
  <si>
    <t>Securities:</t>
  </si>
  <si>
    <t>2,000,000 shares of Series B Preferred Stock (“Shares”).</t>
  </si>
  <si>
    <t>Investors:</t>
  </si>
  <si>
    <t>The Shares will be offered only to “accredited investors” as defined in Regulation D under the Securities Act.</t>
  </si>
  <si>
    <t>Aggregate Proceeds:</t>
  </si>
  <si>
    <t>Price:</t>
  </si>
  <si>
    <t>$8.00 per Share (the “Sale Price”).</t>
  </si>
  <si>
    <t>Placement Agent:</t>
  </si>
  <si>
    <t>Morgan Stanley &amp; Co. Incorporated (the “Placement Agent”) on a “best efforts” basis. The Company will pay in cash a placement fee equal to 5% of the aggregate offering proceeds.</t>
  </si>
  <si>
    <t>The capitalization of the Company giving effect to the Financing will be as follows:</t>
  </si>
  <si>
    <t>Warrants to Purchase</t>
  </si>
  <si>
    <t>Series B Preferred</t>
  </si>
  <si>
    <t>Reserved for Directors,</t>
  </si>
  <si>
    <t>Management &amp; Employees</t>
  </si>
  <si>
    <r>
      <t>a</t>
    </r>
    <r>
      <rPr>
        <sz val="8"/>
        <rFont val="Arial"/>
        <family val="2"/>
      </rPr>
      <t>Includes 1,087,962 shares subject to options granted to Daniel R. Kranzler.</t>
    </r>
  </si>
  <si>
    <r>
      <t>Exhibit 9</t>
    </r>
    <r>
      <rPr>
        <sz val="10"/>
        <rFont val="Arial"/>
        <family val="2"/>
      </rPr>
      <t xml:space="preserve">     Series B Term Sheet Proposed by AccessLine Management</t>
    </r>
  </si>
  <si>
    <t>Source: Compiled from corporate securities filings and public databases.</t>
  </si>
  <si>
    <r>
      <t>Existing Investors</t>
    </r>
    <r>
      <rPr>
        <vertAlign val="superscript"/>
        <sz val="10"/>
        <rFont val="Arial"/>
        <family val="2"/>
      </rPr>
      <t>a</t>
    </r>
  </si>
  <si>
    <t>Apex Investment - A</t>
  </si>
  <si>
    <t>Harvard Business School Case #296-028</t>
  </si>
  <si>
    <t>Case Software #XLS087</t>
  </si>
  <si>
    <t>Projected Sales and income</t>
  </si>
  <si>
    <t>PAT as % of revenue</t>
  </si>
  <si>
    <t>PAT</t>
  </si>
  <si>
    <t>CAGR calculation</t>
  </si>
  <si>
    <t>Ending value / beginning value</t>
  </si>
  <si>
    <t>1/no. of years</t>
  </si>
  <si>
    <t>[(Ending value / beginning value)^(1-No.of years)]-1</t>
  </si>
  <si>
    <t>Comparable multiples</t>
  </si>
  <si>
    <t>3Com</t>
  </si>
  <si>
    <t>Boston Tech</t>
  </si>
  <si>
    <t>M.Cap to sales</t>
  </si>
  <si>
    <t>M.Cap to net income</t>
  </si>
  <si>
    <t xml:space="preserve">     Average (M.cap to sales)</t>
  </si>
  <si>
    <t xml:space="preserve">     Average (M.cap to net income)</t>
  </si>
  <si>
    <t>Valuation as per revenue multiple</t>
  </si>
  <si>
    <t>Valuation as per net income multiple (without negative multiples)</t>
  </si>
  <si>
    <t>Using revenue multiple base</t>
  </si>
  <si>
    <t xml:space="preserve">     Investors' stake now</t>
  </si>
  <si>
    <t>Using net income multiple</t>
  </si>
  <si>
    <t>Investor value @ IRR</t>
  </si>
  <si>
    <t>Series B investment</t>
  </si>
  <si>
    <t>DCF method</t>
  </si>
  <si>
    <t xml:space="preserve">     - Capital expenditure</t>
  </si>
  <si>
    <t xml:space="preserve">     - Change in net working capital</t>
  </si>
  <si>
    <t>Free cash flow</t>
  </si>
  <si>
    <t>Rf</t>
  </si>
  <si>
    <t>Rp</t>
  </si>
  <si>
    <t>Ko</t>
  </si>
  <si>
    <t>Present value (High growth period)</t>
  </si>
  <si>
    <t>Terminal value</t>
  </si>
  <si>
    <t>Present value (Stable growth period)</t>
  </si>
  <si>
    <t>Present values</t>
  </si>
  <si>
    <t>Terminal year</t>
  </si>
  <si>
    <t>VCs' value expectations</t>
  </si>
  <si>
    <t xml:space="preserve">     Investors' expected value</t>
  </si>
  <si>
    <t>Expected value after year</t>
  </si>
  <si>
    <t xml:space="preserve">     Firm value today (Pre-money)</t>
  </si>
  <si>
    <t xml:space="preserve">     Firm value today (Post-money)</t>
  </si>
  <si>
    <t xml:space="preserve">     Price per share today (Post-money)</t>
  </si>
  <si>
    <t xml:space="preserve">     Price per share (Pre-money)</t>
  </si>
  <si>
    <t>Value of Accessline (Pre-money)</t>
  </si>
  <si>
    <t>Value of Accessline (Post-money)</t>
  </si>
  <si>
    <t xml:space="preserve">     Price per share (Post-money)</t>
  </si>
  <si>
    <t>Exercise price</t>
  </si>
  <si>
    <r>
      <t>Existing Investors</t>
    </r>
    <r>
      <rPr>
        <vertAlign val="superscript"/>
        <sz val="12"/>
        <rFont val="Tw Cen MT"/>
        <family val="2"/>
      </rPr>
      <t>b</t>
    </r>
  </si>
  <si>
    <r>
      <t>Reserved for Management and Employees</t>
    </r>
    <r>
      <rPr>
        <vertAlign val="superscript"/>
        <sz val="12"/>
        <rFont val="Tw Cen MT"/>
        <family val="2"/>
      </rPr>
      <t>c</t>
    </r>
  </si>
  <si>
    <r>
      <t>a</t>
    </r>
    <r>
      <rPr>
        <sz val="12"/>
        <rFont val="Tw Cen MT"/>
        <family val="2"/>
      </rPr>
      <t>While the term sheet was prepared assuming the sale of 2.5 million shares, 2.22 million shares were actually sold.</t>
    </r>
  </si>
  <si>
    <r>
      <t>b</t>
    </r>
    <r>
      <rPr>
        <sz val="12"/>
        <rFont val="Tw Cen MT"/>
        <family val="2"/>
      </rPr>
      <t>Includes 157,677 shares issued as part of the Fuller Research &amp; Development Company merger, 389,820 shares issued pursuant to restricted stock grants and 1,087,962 shares subject to options granted to Daniel R. Kranzler.</t>
    </r>
  </si>
  <si>
    <r>
      <t>c</t>
    </r>
    <r>
      <rPr>
        <sz val="12"/>
        <rFont val="Tw Cen MT"/>
        <family val="2"/>
      </rPr>
      <t>Excludes 643,600 shares reserved for future grant.</t>
    </r>
  </si>
  <si>
    <t>New Investors (Series A)</t>
  </si>
  <si>
    <t>New Investors (Series B)</t>
  </si>
  <si>
    <t>Preferred stock</t>
  </si>
  <si>
    <t xml:space="preserve">Warrants </t>
  </si>
  <si>
    <r>
      <t xml:space="preserve">Exhibit 6 </t>
    </r>
    <r>
      <rPr>
        <sz val="12"/>
        <rFont val="Tw Cen MT"/>
        <family val="2"/>
      </rPr>
      <t xml:space="preserve">    Access Series A Term Sheet: June 4, 1994 (Adjusted to actual)</t>
    </r>
  </si>
  <si>
    <t>Value of shares</t>
  </si>
  <si>
    <t>Percentage ownership (Value)</t>
  </si>
  <si>
    <t>Deferred revenue (Advance received)</t>
  </si>
  <si>
    <t xml:space="preserve">     Price per share today (Pre-money)</t>
  </si>
  <si>
    <t>Series A</t>
  </si>
  <si>
    <t>Valuation</t>
  </si>
  <si>
    <t>Price per</t>
  </si>
  <si>
    <t>Warrants to Purchase Series A Preferred</t>
  </si>
  <si>
    <t xml:space="preserve">Series A Preferred </t>
  </si>
  <si>
    <t>Total ownership value</t>
  </si>
  <si>
    <t>Number of shares</t>
  </si>
  <si>
    <t>Number of warrants</t>
  </si>
  <si>
    <t>Risk-free rate</t>
  </si>
  <si>
    <t>Expiration (year)</t>
  </si>
  <si>
    <t>Standard deviation</t>
  </si>
  <si>
    <t>Dividend yield (Value loss)</t>
  </si>
  <si>
    <t>Output Area:</t>
  </si>
  <si>
    <r>
      <t>d</t>
    </r>
    <r>
      <rPr>
        <vertAlign val="subscript"/>
        <sz val="12"/>
        <rFont val="Tw Cen MT"/>
        <family val="2"/>
      </rPr>
      <t>1</t>
    </r>
  </si>
  <si>
    <r>
      <t>d</t>
    </r>
    <r>
      <rPr>
        <vertAlign val="subscript"/>
        <sz val="12"/>
        <rFont val="Tw Cen MT"/>
        <family val="2"/>
      </rPr>
      <t>2</t>
    </r>
  </si>
  <si>
    <r>
      <t>N(d</t>
    </r>
    <r>
      <rPr>
        <vertAlign val="subscript"/>
        <sz val="12"/>
        <rFont val="Tw Cen MT"/>
        <family val="2"/>
      </rPr>
      <t>1</t>
    </r>
    <r>
      <rPr>
        <sz val="12"/>
        <rFont val="Tw Cen MT"/>
        <family val="2"/>
      </rPr>
      <t>)</t>
    </r>
  </si>
  <si>
    <r>
      <t>N(d</t>
    </r>
    <r>
      <rPr>
        <vertAlign val="subscript"/>
        <sz val="12"/>
        <rFont val="Tw Cen MT"/>
        <family val="2"/>
      </rPr>
      <t>2</t>
    </r>
    <r>
      <rPr>
        <sz val="12"/>
        <rFont val="Tw Cen MT"/>
        <family val="2"/>
      </rPr>
      <t>)</t>
    </r>
  </si>
  <si>
    <t>Call</t>
  </si>
  <si>
    <t>Put</t>
  </si>
  <si>
    <t>Calculating d1</t>
  </si>
  <si>
    <t>ln(s/e)</t>
  </si>
  <si>
    <t>(r-d)+(variance/2)</t>
  </si>
  <si>
    <t>t</t>
  </si>
  <si>
    <t>SD * route t.</t>
  </si>
  <si>
    <t>d1</t>
  </si>
  <si>
    <t>Calculating d2</t>
  </si>
  <si>
    <t>N(d1)</t>
  </si>
  <si>
    <t>N(d2)</t>
  </si>
  <si>
    <t>Value of call</t>
  </si>
  <si>
    <t>S*d^-dt N(d1)</t>
  </si>
  <si>
    <t xml:space="preserve"> e^-rt</t>
  </si>
  <si>
    <t>E x e^-rt</t>
  </si>
  <si>
    <t>N (d2)</t>
  </si>
  <si>
    <t>(E x e^-rt)*N (d2)</t>
  </si>
  <si>
    <t>Warrant - Series A</t>
  </si>
  <si>
    <t>Dilution</t>
  </si>
  <si>
    <t>Warrant price</t>
  </si>
  <si>
    <t>70% of warrant price</t>
  </si>
  <si>
    <t>15% of warrant price</t>
  </si>
  <si>
    <t>PPS today (Pre-Money)</t>
  </si>
  <si>
    <t>PPS today (Post-Money)</t>
  </si>
  <si>
    <t>Revenue multiples based ($mn.)</t>
  </si>
  <si>
    <t>Income multiples based ($mn.)</t>
  </si>
  <si>
    <t>DCF value (Post Money)</t>
  </si>
  <si>
    <t>X</t>
  </si>
  <si>
    <t>Y</t>
  </si>
  <si>
    <t>Share price</t>
  </si>
  <si>
    <t>Warrant - Series B (Apex)</t>
  </si>
  <si>
    <t>Common Size BS</t>
  </si>
  <si>
    <t>Common size PnL</t>
  </si>
  <si>
    <t>Series A price</t>
  </si>
  <si>
    <t xml:space="preserve">      +     </t>
  </si>
  <si>
    <t xml:space="preserve">      =     </t>
  </si>
  <si>
    <t>unit price</t>
  </si>
  <si>
    <t>Series B (Accessline)</t>
  </si>
  <si>
    <t>Series B (Apex)</t>
  </si>
  <si>
    <t>(Calculated using trial and error method)</t>
  </si>
  <si>
    <t>Calculated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</si>
</sst>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"/>
    <numFmt numFmtId="166" formatCode="#,##0.000"/>
    <numFmt numFmtId="167" formatCode="_(* #,##0_);_(* \(#,##0\);_(* &quot;-&quot;??_);_(@_)"/>
    <numFmt numFmtId="168" formatCode="_(* #,##0.0000_);_(* \(#,##0.0000\);_(* &quot;-&quot;????_);_(@_)"/>
    <numFmt numFmtId="169" formatCode="0.0000"/>
    <numFmt numFmtId="170" formatCode="#,##0.0000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2"/>
      <name val="Tw Cen MT"/>
      <family val="2"/>
    </font>
    <font>
      <b/>
      <sz val="12"/>
      <name val="Tw Cen MT"/>
      <family val="2"/>
    </font>
    <font>
      <b/>
      <u/>
      <sz val="12"/>
      <name val="Tw Cen MT"/>
      <family val="2"/>
    </font>
    <font>
      <vertAlign val="superscript"/>
      <sz val="12"/>
      <name val="Tw Cen M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2"/>
      <name val="Tw Cen MT"/>
      <family val="2"/>
    </font>
    <font>
      <vertAlign val="subscript"/>
      <sz val="12"/>
      <name val="Tw Cen MT"/>
      <family val="2"/>
    </font>
    <font>
      <u/>
      <sz val="12"/>
      <name val="Tw Cen MT"/>
      <family val="2"/>
    </font>
    <font>
      <sz val="12"/>
      <color rgb="FFFF0000"/>
      <name val="Tw Cen M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horizontal="right"/>
    </xf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88">
    <xf numFmtId="0" fontId="0" fillId="0" borderId="0" xfId="0">
      <alignment horizontal="right"/>
    </xf>
    <xf numFmtId="3" fontId="0" fillId="0" borderId="0" xfId="0" applyNumberFormat="1">
      <alignment horizontal="right"/>
    </xf>
    <xf numFmtId="9" fontId="0" fillId="0" borderId="0" xfId="0" applyNumberForma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>
      <alignment horizontal="right"/>
    </xf>
    <xf numFmtId="0" fontId="3" fillId="0" borderId="0" xfId="0" applyFont="1">
      <alignment horizontal="right"/>
    </xf>
    <xf numFmtId="165" fontId="0" fillId="0" borderId="0" xfId="0" applyNumberFormat="1">
      <alignment horizontal="right"/>
    </xf>
    <xf numFmtId="37" fontId="0" fillId="0" borderId="0" xfId="0" applyNumberFormat="1">
      <alignment horizontal="right"/>
    </xf>
    <xf numFmtId="7" fontId="0" fillId="0" borderId="0" xfId="0" applyNumberFormat="1">
      <alignment horizontal="right"/>
    </xf>
    <xf numFmtId="0" fontId="3" fillId="0" borderId="0" xfId="0" applyFont="1" applyAlignment="1">
      <alignment horizontal="left" vertical="top" wrapText="1"/>
    </xf>
    <xf numFmtId="0" fontId="0" fillId="0" borderId="3" xfId="0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3" fontId="0" fillId="0" borderId="1" xfId="0" applyNumberFormat="1" applyBorder="1">
      <alignment horizontal="right"/>
    </xf>
    <xf numFmtId="165" fontId="0" fillId="0" borderId="1" xfId="0" applyNumberFormat="1" applyBorder="1">
      <alignment horizontal="right"/>
    </xf>
    <xf numFmtId="7" fontId="0" fillId="0" borderId="2" xfId="0" applyNumberFormat="1" applyBorder="1">
      <alignment horizontal="right"/>
    </xf>
    <xf numFmtId="3" fontId="0" fillId="0" borderId="2" xfId="0" applyNumberFormat="1" applyBorder="1">
      <alignment horizontal="righ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6" fontId="0" fillId="0" borderId="0" xfId="0" applyNumberFormat="1" applyAlignment="1">
      <alignment horizontal="left" vertical="top" wrapText="1"/>
    </xf>
    <xf numFmtId="165" fontId="0" fillId="0" borderId="2" xfId="0" applyNumberFormat="1" applyBorder="1">
      <alignment horizontal="right"/>
    </xf>
    <xf numFmtId="37" fontId="1" fillId="0" borderId="1" xfId="0" applyNumberFormat="1" applyFont="1" applyBorder="1">
      <alignment horizontal="right"/>
    </xf>
    <xf numFmtId="10" fontId="0" fillId="0" borderId="0" xfId="0" applyNumberFormat="1">
      <alignment horizontal="right"/>
    </xf>
    <xf numFmtId="0" fontId="3" fillId="0" borderId="3" xfId="0" applyFont="1" applyBorder="1">
      <alignment horizontal="right"/>
    </xf>
    <xf numFmtId="0" fontId="3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1" xfId="0" applyFont="1" applyBorder="1" applyAlignment="1">
      <alignment horizontal="left"/>
    </xf>
    <xf numFmtId="9" fontId="0" fillId="0" borderId="2" xfId="0" applyNumberFormat="1" applyBorder="1">
      <alignment horizontal="right"/>
    </xf>
    <xf numFmtId="9" fontId="0" fillId="0" borderId="1" xfId="0" applyNumberFormat="1" applyBorder="1">
      <alignment horizontal="righ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indent="2"/>
    </xf>
    <xf numFmtId="5" fontId="0" fillId="0" borderId="2" xfId="0" applyNumberFormat="1" applyBorder="1">
      <alignment horizontal="right"/>
    </xf>
    <xf numFmtId="0" fontId="3" fillId="0" borderId="0" xfId="0" applyFont="1" applyBorder="1" applyAlignment="1">
      <alignment horizontal="left"/>
    </xf>
    <xf numFmtId="0" fontId="3" fillId="0" borderId="0" xfId="0" applyFont="1" applyBorder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>
      <alignment horizontal="righ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4" fontId="7" fillId="0" borderId="4" xfId="0" applyNumberFormat="1" applyFont="1" applyBorder="1" applyAlignment="1">
      <alignment horizontal="right" vertical="center"/>
    </xf>
    <xf numFmtId="9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 wrapText="1"/>
    </xf>
    <xf numFmtId="9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3" fontId="7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10" fontId="7" fillId="0" borderId="0" xfId="0" applyNumberFormat="1" applyFont="1" applyBorder="1" applyAlignment="1">
      <alignment horizontal="right" vertical="center" wrapText="1"/>
    </xf>
    <xf numFmtId="9" fontId="7" fillId="0" borderId="0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8" fillId="0" borderId="3" xfId="0" applyFont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9" fontId="7" fillId="0" borderId="6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4" fontId="7" fillId="2" borderId="4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3" fontId="0" fillId="0" borderId="2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10" fontId="0" fillId="0" borderId="2" xfId="0" applyNumberFormat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0" fillId="3" borderId="0" xfId="0" applyNumberFormat="1" applyFill="1" applyAlignment="1">
      <alignment horizontal="right" vertical="center" wrapText="1"/>
    </xf>
    <xf numFmtId="10" fontId="0" fillId="3" borderId="0" xfId="0" applyNumberFormat="1" applyFill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 wrapText="1"/>
    </xf>
    <xf numFmtId="10" fontId="0" fillId="3" borderId="1" xfId="0" applyNumberFormat="1" applyFill="1" applyBorder="1" applyAlignment="1">
      <alignment horizontal="right" vertical="center"/>
    </xf>
    <xf numFmtId="3" fontId="0" fillId="3" borderId="2" xfId="0" applyNumberFormat="1" applyFill="1" applyBorder="1" applyAlignment="1">
      <alignment horizontal="right" vertical="center" wrapText="1"/>
    </xf>
    <xf numFmtId="10" fontId="0" fillId="3" borderId="5" xfId="0" applyNumberForma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3" fontId="7" fillId="0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166" fontId="7" fillId="0" borderId="4" xfId="2" applyNumberFormat="1" applyFont="1" applyFill="1" applyBorder="1" applyAlignment="1">
      <alignment vertical="center"/>
    </xf>
    <xf numFmtId="10" fontId="7" fillId="0" borderId="4" xfId="3" applyNumberFormat="1" applyFont="1" applyFill="1" applyBorder="1" applyAlignment="1">
      <alignment vertical="center"/>
    </xf>
    <xf numFmtId="167" fontId="7" fillId="0" borderId="4" xfId="1" applyNumberFormat="1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168" fontId="7" fillId="0" borderId="0" xfId="0" applyNumberFormat="1" applyFont="1" applyFill="1" applyBorder="1" applyAlignment="1">
      <alignment vertical="center"/>
    </xf>
    <xf numFmtId="43" fontId="7" fillId="0" borderId="0" xfId="0" applyNumberFormat="1" applyFont="1" applyFill="1" applyBorder="1" applyAlignment="1">
      <alignment vertical="center"/>
    </xf>
    <xf numFmtId="44" fontId="8" fillId="0" borderId="0" xfId="2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169" fontId="7" fillId="0" borderId="4" xfId="0" applyNumberFormat="1" applyFont="1" applyFill="1" applyBorder="1" applyAlignment="1">
      <alignment vertical="center"/>
    </xf>
    <xf numFmtId="169" fontId="7" fillId="0" borderId="0" xfId="0" applyNumberFormat="1" applyFont="1" applyFill="1" applyBorder="1" applyAlignment="1">
      <alignment vertical="center"/>
    </xf>
    <xf numFmtId="169" fontId="8" fillId="0" borderId="0" xfId="0" applyNumberFormat="1" applyFont="1" applyFill="1" applyBorder="1" applyAlignment="1">
      <alignment vertical="center"/>
    </xf>
    <xf numFmtId="170" fontId="7" fillId="0" borderId="4" xfId="0" applyNumberFormat="1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170" fontId="8" fillId="0" borderId="4" xfId="0" applyNumberFormat="1" applyFont="1" applyFill="1" applyBorder="1" applyAlignment="1">
      <alignment vertical="center"/>
    </xf>
    <xf numFmtId="0" fontId="7" fillId="0" borderId="7" xfId="0" applyFont="1" applyFill="1" applyBorder="1" applyAlignment="1">
      <alignment vertical="center" wrapText="1"/>
    </xf>
    <xf numFmtId="169" fontId="7" fillId="0" borderId="8" xfId="0" applyNumberFormat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169" fontId="7" fillId="0" borderId="10" xfId="0" applyNumberFormat="1" applyFont="1" applyFill="1" applyBorder="1" applyAlignment="1">
      <alignment vertical="center"/>
    </xf>
    <xf numFmtId="2" fontId="7" fillId="0" borderId="0" xfId="0" applyNumberFormat="1" applyFont="1" applyFill="1" applyBorder="1" applyAlignment="1">
      <alignment vertical="center"/>
    </xf>
    <xf numFmtId="0" fontId="7" fillId="2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vertical="center"/>
    </xf>
    <xf numFmtId="166" fontId="7" fillId="5" borderId="4" xfId="2" applyNumberFormat="1" applyFont="1" applyFill="1" applyBorder="1" applyAlignment="1">
      <alignment vertical="center"/>
    </xf>
    <xf numFmtId="0" fontId="0" fillId="5" borderId="0" xfId="0" applyFill="1">
      <alignment horizontal="right"/>
    </xf>
    <xf numFmtId="0" fontId="0" fillId="3" borderId="0" xfId="0" applyFill="1">
      <alignment horizontal="right"/>
    </xf>
    <xf numFmtId="10" fontId="0" fillId="3" borderId="0" xfId="0" applyNumberFormat="1" applyFill="1">
      <alignment horizontal="right"/>
    </xf>
    <xf numFmtId="10" fontId="0" fillId="3" borderId="1" xfId="0" applyNumberFormat="1" applyFill="1" applyBorder="1">
      <alignment horizontal="right"/>
    </xf>
    <xf numFmtId="10" fontId="0" fillId="3" borderId="2" xfId="0" applyNumberFormat="1" applyFill="1" applyBorder="1">
      <alignment horizontal="right"/>
    </xf>
    <xf numFmtId="0" fontId="0" fillId="3" borderId="6" xfId="0" applyFill="1" applyBorder="1">
      <alignment horizontal="right"/>
    </xf>
    <xf numFmtId="0" fontId="3" fillId="3" borderId="3" xfId="0" applyFont="1" applyFill="1" applyBorder="1" applyAlignment="1">
      <alignment horizontal="center" wrapText="1"/>
    </xf>
    <xf numFmtId="0" fontId="0" fillId="0" borderId="0" xfId="0" applyAlignment="1">
      <alignment horizontal="justify" vertical="top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6" fontId="0" fillId="0" borderId="0" xfId="0" applyNumberForma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7" fillId="0" borderId="5" xfId="0" applyFont="1" applyFill="1" applyBorder="1" applyAlignment="1">
      <alignment vertical="center" wrapText="1"/>
    </xf>
    <xf numFmtId="3" fontId="7" fillId="0" borderId="5" xfId="0" applyNumberFormat="1" applyFont="1" applyFill="1" applyBorder="1" applyAlignment="1">
      <alignment horizontal="right" vertical="center" wrapText="1"/>
    </xf>
    <xf numFmtId="10" fontId="7" fillId="0" borderId="5" xfId="0" applyNumberFormat="1" applyFont="1" applyFill="1" applyBorder="1" applyAlignment="1">
      <alignment horizontal="right" vertical="center" wrapText="1"/>
    </xf>
    <xf numFmtId="0" fontId="0" fillId="0" borderId="0" xfId="0" applyFill="1">
      <alignment horizontal="right"/>
    </xf>
    <xf numFmtId="10" fontId="7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Alignment="1">
      <alignment horizontal="right" vertical="center"/>
    </xf>
    <xf numFmtId="0" fontId="7" fillId="0" borderId="4" xfId="0" applyFont="1" applyFill="1" applyBorder="1" applyAlignment="1">
      <alignment horizontal="left" vertical="center"/>
    </xf>
    <xf numFmtId="4" fontId="7" fillId="0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  <xf numFmtId="10" fontId="7" fillId="0" borderId="4" xfId="0" applyNumberFormat="1" applyFont="1" applyFill="1" applyBorder="1" applyAlignment="1">
      <alignment horizontal="right" vertical="center"/>
    </xf>
    <xf numFmtId="4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10" fontId="7" fillId="0" borderId="0" xfId="0" applyNumberFormat="1" applyFont="1" applyFill="1" applyAlignment="1">
      <alignment horizontal="right" vertical="center"/>
    </xf>
    <xf numFmtId="0" fontId="7" fillId="0" borderId="4" xfId="0" applyFont="1" applyFill="1" applyBorder="1" applyAlignment="1">
      <alignment horizontal="left"/>
    </xf>
    <xf numFmtId="4" fontId="7" fillId="0" borderId="4" xfId="0" applyNumberFormat="1" applyFont="1" applyFill="1" applyBorder="1" applyAlignment="1">
      <alignment horizontal="left"/>
    </xf>
    <xf numFmtId="4" fontId="7" fillId="0" borderId="4" xfId="0" applyNumberFormat="1" applyFont="1" applyFill="1" applyBorder="1">
      <alignment horizontal="right"/>
    </xf>
    <xf numFmtId="2" fontId="7" fillId="0" borderId="4" xfId="0" applyNumberFormat="1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4" fontId="7" fillId="0" borderId="0" xfId="0" applyNumberFormat="1" applyFont="1" applyFill="1" applyBorder="1" applyAlignment="1">
      <alignment horizontal="right" vertical="center"/>
    </xf>
    <xf numFmtId="9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right" vertical="center"/>
    </xf>
    <xf numFmtId="0" fontId="17" fillId="0" borderId="0" xfId="0" applyFont="1" applyFill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Fill="1">
      <alignment horizontal="right"/>
    </xf>
    <xf numFmtId="0" fontId="7" fillId="0" borderId="4" xfId="0" applyFont="1" applyFill="1" applyBorder="1">
      <alignment horizontal="right"/>
    </xf>
    <xf numFmtId="0" fontId="18" fillId="0" borderId="0" xfId="0" applyFont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"/>
  <sheetViews>
    <sheetView workbookViewId="0">
      <selection activeCell="B1" sqref="B1"/>
    </sheetView>
  </sheetViews>
  <sheetFormatPr defaultRowHeight="12.75" x14ac:dyDescent="0.2"/>
  <cols>
    <col min="1" max="1" width="48.7109375" customWidth="1"/>
  </cols>
  <sheetData>
    <row r="1" spans="1:9" x14ac:dyDescent="0.2">
      <c r="A1" s="3" t="s">
        <v>93</v>
      </c>
    </row>
    <row r="2" spans="1:9" x14ac:dyDescent="0.2">
      <c r="A2" s="3" t="s">
        <v>94</v>
      </c>
    </row>
    <row r="3" spans="1:9" x14ac:dyDescent="0.2">
      <c r="A3" s="3" t="s">
        <v>95</v>
      </c>
    </row>
    <row r="5" spans="1:9" ht="52.5" customHeight="1" x14ac:dyDescent="0.2">
      <c r="A5" s="138" t="s">
        <v>0</v>
      </c>
      <c r="B5" s="138"/>
      <c r="C5" s="138"/>
      <c r="D5" s="138"/>
      <c r="E5" s="138"/>
      <c r="F5" s="138"/>
      <c r="G5" s="138"/>
      <c r="H5" s="138"/>
      <c r="I5" s="138"/>
    </row>
  </sheetData>
  <mergeCells count="1">
    <mergeCell ref="A5:I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11" sqref="A11:D11"/>
    </sheetView>
  </sheetViews>
  <sheetFormatPr defaultRowHeight="12.75" x14ac:dyDescent="0.2"/>
  <cols>
    <col min="1" max="1" width="26" style="77" customWidth="1"/>
    <col min="2" max="2" width="25.42578125" style="77" customWidth="1"/>
    <col min="3" max="3" width="17.5703125" style="77" bestFit="1" customWidth="1"/>
    <col min="4" max="4" width="18.42578125" style="77" customWidth="1"/>
    <col min="5" max="5" width="9.140625" style="77"/>
    <col min="6" max="6" width="15.5703125" style="77" customWidth="1"/>
    <col min="7" max="7" width="18" style="77" customWidth="1"/>
    <col min="8" max="16384" width="9.140625" style="77"/>
  </cols>
  <sheetData>
    <row r="1" spans="1:7" ht="12.75" customHeight="1" x14ac:dyDescent="0.2">
      <c r="A1" s="141" t="s">
        <v>8</v>
      </c>
      <c r="B1" s="141"/>
      <c r="C1" s="141"/>
      <c r="D1" s="141"/>
      <c r="E1" s="76"/>
    </row>
    <row r="2" spans="1:7" x14ac:dyDescent="0.2">
      <c r="A2" s="78"/>
      <c r="B2" s="79"/>
      <c r="C2" s="79"/>
      <c r="D2" s="79"/>
    </row>
    <row r="3" spans="1:7" s="81" customFormat="1" ht="38.25" x14ac:dyDescent="0.2">
      <c r="A3" s="80" t="s">
        <v>1</v>
      </c>
      <c r="B3" s="80" t="s">
        <v>2</v>
      </c>
      <c r="C3" s="80" t="s">
        <v>3</v>
      </c>
      <c r="D3" s="80" t="s">
        <v>9</v>
      </c>
      <c r="E3" s="95" t="s">
        <v>156</v>
      </c>
      <c r="F3" s="95" t="s">
        <v>159</v>
      </c>
      <c r="G3" s="96" t="s">
        <v>9</v>
      </c>
    </row>
    <row r="4" spans="1:7" ht="14.25" x14ac:dyDescent="0.2">
      <c r="A4" s="76" t="s">
        <v>10</v>
      </c>
      <c r="B4" s="76" t="s">
        <v>4</v>
      </c>
      <c r="C4" s="82">
        <v>7931060</v>
      </c>
      <c r="D4" s="92">
        <f>C4/$C$8</f>
        <v>0.61244151115845935</v>
      </c>
      <c r="E4" s="97">
        <v>7</v>
      </c>
      <c r="F4" s="97">
        <f>C4*E4</f>
        <v>55517420</v>
      </c>
      <c r="G4" s="98">
        <f>F4/$F$8</f>
        <v>0.61244151115845935</v>
      </c>
    </row>
    <row r="5" spans="1:7" x14ac:dyDescent="0.2">
      <c r="A5" s="76" t="s">
        <v>5</v>
      </c>
      <c r="B5" s="76" t="s">
        <v>158</v>
      </c>
      <c r="C5" s="82">
        <v>2500000</v>
      </c>
      <c r="D5" s="92">
        <f t="shared" ref="D5:D8" si="0">C5/$C$8</f>
        <v>0.19305159435134123</v>
      </c>
      <c r="E5" s="97">
        <f>F5/C5</f>
        <v>7</v>
      </c>
      <c r="F5" s="97">
        <v>17500000</v>
      </c>
      <c r="G5" s="98">
        <f t="shared" ref="G5:G8" si="1">F5/$F$8</f>
        <v>0.19305159435134123</v>
      </c>
    </row>
    <row r="6" spans="1:7" ht="25.5" x14ac:dyDescent="0.2">
      <c r="A6" s="76"/>
      <c r="B6" s="76" t="s">
        <v>157</v>
      </c>
      <c r="C6" s="82">
        <f>C5*0.15</f>
        <v>375000</v>
      </c>
      <c r="D6" s="92">
        <f t="shared" si="0"/>
        <v>2.8957739152701185E-2</v>
      </c>
      <c r="E6" s="97">
        <v>7</v>
      </c>
      <c r="F6" s="97">
        <f>C6*E6</f>
        <v>2625000</v>
      </c>
      <c r="G6" s="98">
        <f t="shared" si="1"/>
        <v>2.8957739152701185E-2</v>
      </c>
    </row>
    <row r="7" spans="1:7" ht="27" x14ac:dyDescent="0.2">
      <c r="A7" s="76" t="s">
        <v>11</v>
      </c>
      <c r="B7" s="76" t="s">
        <v>4</v>
      </c>
      <c r="C7" s="83">
        <v>2143846</v>
      </c>
      <c r="D7" s="93">
        <f t="shared" si="0"/>
        <v>0.1655491553374982</v>
      </c>
      <c r="E7" s="99">
        <v>7</v>
      </c>
      <c r="F7" s="99">
        <f>C7*E7</f>
        <v>15006922</v>
      </c>
      <c r="G7" s="100">
        <f t="shared" si="1"/>
        <v>0.1655491553374982</v>
      </c>
    </row>
    <row r="8" spans="1:7" ht="13.5" thickBot="1" x14ac:dyDescent="0.25">
      <c r="A8" s="85" t="s">
        <v>7</v>
      </c>
      <c r="B8" s="76"/>
      <c r="C8" s="86">
        <v>12949906</v>
      </c>
      <c r="D8" s="94">
        <f t="shared" si="0"/>
        <v>1</v>
      </c>
      <c r="E8" s="101"/>
      <c r="F8" s="101">
        <f>SUM(F4:F7)</f>
        <v>90649342</v>
      </c>
      <c r="G8" s="102">
        <f t="shared" si="1"/>
        <v>1</v>
      </c>
    </row>
    <row r="9" spans="1:7" ht="13.5" thickTop="1" x14ac:dyDescent="0.2">
      <c r="A9" s="87"/>
      <c r="B9" s="88"/>
      <c r="C9" s="83"/>
      <c r="D9" s="84"/>
    </row>
    <row r="10" spans="1:7" x14ac:dyDescent="0.2">
      <c r="A10" s="89"/>
      <c r="C10" s="90"/>
      <c r="D10" s="91"/>
    </row>
    <row r="11" spans="1:7" x14ac:dyDescent="0.2">
      <c r="A11" s="139" t="s">
        <v>12</v>
      </c>
      <c r="B11" s="140"/>
      <c r="C11" s="140"/>
      <c r="D11" s="140"/>
    </row>
    <row r="12" spans="1:7" ht="24.75" customHeight="1" x14ac:dyDescent="0.2">
      <c r="A12" s="139" t="s">
        <v>13</v>
      </c>
      <c r="B12" s="140"/>
      <c r="C12" s="140"/>
      <c r="D12" s="140"/>
    </row>
    <row r="13" spans="1:7" x14ac:dyDescent="0.2">
      <c r="A13" s="139" t="s">
        <v>14</v>
      </c>
      <c r="B13" s="140"/>
      <c r="C13" s="140"/>
      <c r="D13" s="140"/>
    </row>
  </sheetData>
  <mergeCells count="4">
    <mergeCell ref="A11:D11"/>
    <mergeCell ref="A12:D12"/>
    <mergeCell ref="A13:D13"/>
    <mergeCell ref="A1:D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opLeftCell="A55" workbookViewId="0">
      <selection activeCell="G67" sqref="G67"/>
    </sheetView>
  </sheetViews>
  <sheetFormatPr defaultRowHeight="12.75" x14ac:dyDescent="0.2"/>
  <cols>
    <col min="1" max="1" width="52.28515625" customWidth="1"/>
    <col min="2" max="2" width="10.7109375" bestFit="1" customWidth="1"/>
    <col min="6" max="6" width="10.7109375" bestFit="1" customWidth="1"/>
  </cols>
  <sheetData>
    <row r="1" spans="1:3" ht="27.75" customHeight="1" x14ac:dyDescent="0.2">
      <c r="A1" s="142" t="s">
        <v>31</v>
      </c>
      <c r="B1" s="143"/>
    </row>
    <row r="2" spans="1:3" x14ac:dyDescent="0.2">
      <c r="A2" s="15"/>
      <c r="B2" s="7"/>
    </row>
    <row r="3" spans="1:3" x14ac:dyDescent="0.2">
      <c r="A3" s="143" t="s">
        <v>30</v>
      </c>
      <c r="B3" s="143"/>
    </row>
    <row r="4" spans="1:3" x14ac:dyDescent="0.2">
      <c r="A4" s="9"/>
      <c r="B4" s="10"/>
    </row>
    <row r="5" spans="1:3" ht="25.5" x14ac:dyDescent="0.2">
      <c r="A5" s="16"/>
      <c r="B5" s="17">
        <v>1993</v>
      </c>
      <c r="C5" s="137" t="s">
        <v>203</v>
      </c>
    </row>
    <row r="6" spans="1:3" x14ac:dyDescent="0.2">
      <c r="A6" s="3" t="s">
        <v>15</v>
      </c>
      <c r="C6" s="132"/>
    </row>
    <row r="7" spans="1:3" x14ac:dyDescent="0.2">
      <c r="A7" s="18" t="s">
        <v>16</v>
      </c>
      <c r="B7" s="12">
        <v>7551090</v>
      </c>
      <c r="C7" s="133">
        <f>B7/$B$9</f>
        <v>0.90326322829439831</v>
      </c>
    </row>
    <row r="8" spans="1:3" x14ac:dyDescent="0.2">
      <c r="A8" s="18" t="s">
        <v>17</v>
      </c>
      <c r="B8" s="20">
        <v>808699</v>
      </c>
      <c r="C8" s="134">
        <f t="shared" ref="C8" si="0">B8/$B$9</f>
        <v>9.673677170560166E-2</v>
      </c>
    </row>
    <row r="9" spans="1:3" x14ac:dyDescent="0.2">
      <c r="A9" s="19" t="s">
        <v>18</v>
      </c>
      <c r="B9" s="12">
        <v>8359789</v>
      </c>
      <c r="C9" s="133">
        <f>B9/$B$9</f>
        <v>1</v>
      </c>
    </row>
    <row r="10" spans="1:3" x14ac:dyDescent="0.2">
      <c r="A10" s="3"/>
      <c r="B10" s="12"/>
      <c r="C10" s="133"/>
    </row>
    <row r="11" spans="1:3" x14ac:dyDescent="0.2">
      <c r="A11" s="3" t="s">
        <v>19</v>
      </c>
      <c r="B11" s="20">
        <v>2815292</v>
      </c>
      <c r="C11" s="134">
        <f t="shared" ref="C11:C12" si="1">B11/$B$9</f>
        <v>0.33676591598185074</v>
      </c>
    </row>
    <row r="12" spans="1:3" x14ac:dyDescent="0.2">
      <c r="A12" s="18" t="s">
        <v>20</v>
      </c>
      <c r="B12" s="12">
        <v>5544497</v>
      </c>
      <c r="C12" s="133">
        <f t="shared" si="1"/>
        <v>0.66323408401814932</v>
      </c>
    </row>
    <row r="13" spans="1:3" x14ac:dyDescent="0.2">
      <c r="A13" s="3"/>
      <c r="B13" s="12"/>
      <c r="C13" s="133"/>
    </row>
    <row r="14" spans="1:3" x14ac:dyDescent="0.2">
      <c r="A14" s="3" t="s">
        <v>21</v>
      </c>
      <c r="C14" s="133"/>
    </row>
    <row r="15" spans="1:3" x14ac:dyDescent="0.2">
      <c r="A15" s="18" t="s">
        <v>22</v>
      </c>
      <c r="B15" s="1">
        <v>4985320</v>
      </c>
      <c r="C15" s="133">
        <f t="shared" ref="C15:C17" si="2">B15/$B$9</f>
        <v>0.59634519483685533</v>
      </c>
    </row>
    <row r="16" spans="1:3" x14ac:dyDescent="0.2">
      <c r="A16" s="18" t="s">
        <v>23</v>
      </c>
      <c r="B16" s="1">
        <v>1421099</v>
      </c>
      <c r="C16" s="133">
        <f t="shared" si="2"/>
        <v>0.16999220913350804</v>
      </c>
    </row>
    <row r="17" spans="1:3" x14ac:dyDescent="0.2">
      <c r="A17" s="19" t="s">
        <v>24</v>
      </c>
      <c r="B17" s="21">
        <v>6406419</v>
      </c>
      <c r="C17" s="134">
        <f t="shared" si="2"/>
        <v>0.76633740397036332</v>
      </c>
    </row>
    <row r="18" spans="1:3" x14ac:dyDescent="0.2">
      <c r="A18" s="3"/>
      <c r="B18" s="12"/>
      <c r="C18" s="133"/>
    </row>
    <row r="19" spans="1:3" x14ac:dyDescent="0.2">
      <c r="A19" s="3" t="s">
        <v>25</v>
      </c>
      <c r="B19" s="13">
        <v>-861922</v>
      </c>
      <c r="C19" s="133">
        <f>B19/$B$9</f>
        <v>-0.1031033199522141</v>
      </c>
    </row>
    <row r="20" spans="1:3" x14ac:dyDescent="0.2">
      <c r="A20" s="3"/>
      <c r="B20" s="13"/>
      <c r="C20" s="133"/>
    </row>
    <row r="21" spans="1:3" x14ac:dyDescent="0.2">
      <c r="A21" s="3" t="s">
        <v>26</v>
      </c>
      <c r="B21" s="20">
        <v>12348</v>
      </c>
      <c r="C21" s="134">
        <f>B21/$B$9</f>
        <v>1.4770707729585041E-3</v>
      </c>
    </row>
    <row r="22" spans="1:3" x14ac:dyDescent="0.2">
      <c r="A22" s="3"/>
      <c r="B22" s="1"/>
      <c r="C22" s="133"/>
    </row>
    <row r="23" spans="1:3" ht="13.5" thickBot="1" x14ac:dyDescent="0.25">
      <c r="A23" s="3" t="s">
        <v>27</v>
      </c>
      <c r="B23" s="42">
        <v>-849574</v>
      </c>
      <c r="C23" s="135">
        <f>B23/$B$9</f>
        <v>-0.1016262491792556</v>
      </c>
    </row>
    <row r="24" spans="1:3" ht="13.5" thickTop="1" x14ac:dyDescent="0.2">
      <c r="A24" s="3"/>
      <c r="B24" s="13"/>
      <c r="C24" s="133"/>
    </row>
    <row r="25" spans="1:3" ht="13.5" thickBot="1" x14ac:dyDescent="0.25">
      <c r="A25" s="3" t="s">
        <v>28</v>
      </c>
      <c r="B25" s="22">
        <v>-0.1</v>
      </c>
      <c r="C25" s="133"/>
    </row>
    <row r="26" spans="1:3" ht="13.5" thickTop="1" x14ac:dyDescent="0.2">
      <c r="A26" s="3"/>
      <c r="B26" s="14"/>
      <c r="C26" s="133"/>
    </row>
    <row r="27" spans="1:3" ht="13.5" thickBot="1" x14ac:dyDescent="0.25">
      <c r="A27" s="3" t="s">
        <v>29</v>
      </c>
      <c r="B27" s="23">
        <v>8751598</v>
      </c>
      <c r="C27" s="133"/>
    </row>
    <row r="28" spans="1:3" ht="13.5" thickTop="1" x14ac:dyDescent="0.2">
      <c r="A28" s="10"/>
      <c r="B28" s="10"/>
      <c r="C28" s="132"/>
    </row>
    <row r="29" spans="1:3" x14ac:dyDescent="0.2">
      <c r="C29" s="132"/>
    </row>
    <row r="30" spans="1:3" x14ac:dyDescent="0.2">
      <c r="C30" s="132"/>
    </row>
    <row r="31" spans="1:3" x14ac:dyDescent="0.2">
      <c r="A31" s="3" t="s">
        <v>32</v>
      </c>
      <c r="C31" s="132"/>
    </row>
    <row r="32" spans="1:3" x14ac:dyDescent="0.2">
      <c r="A32" s="9"/>
      <c r="B32" s="10"/>
      <c r="C32" s="132"/>
    </row>
    <row r="33" spans="1:3" ht="25.5" x14ac:dyDescent="0.2">
      <c r="A33" s="25" t="s">
        <v>33</v>
      </c>
      <c r="B33" s="17">
        <v>1993</v>
      </c>
      <c r="C33" s="137" t="s">
        <v>202</v>
      </c>
    </row>
    <row r="34" spans="1:3" x14ac:dyDescent="0.2">
      <c r="A34" s="24"/>
      <c r="B34" s="6"/>
      <c r="C34" s="132"/>
    </row>
    <row r="35" spans="1:3" x14ac:dyDescent="0.2">
      <c r="A35" s="3" t="s">
        <v>34</v>
      </c>
      <c r="C35" s="132"/>
    </row>
    <row r="36" spans="1:3" x14ac:dyDescent="0.2">
      <c r="A36" s="18" t="s">
        <v>35</v>
      </c>
      <c r="B36" s="12">
        <v>50337</v>
      </c>
      <c r="C36" s="133">
        <f t="shared" ref="C36:C41" si="3">B36/$B$45</f>
        <v>1.7753939853092735E-2</v>
      </c>
    </row>
    <row r="37" spans="1:3" x14ac:dyDescent="0.2">
      <c r="A37" s="18" t="s">
        <v>36</v>
      </c>
      <c r="B37" s="1">
        <v>685962</v>
      </c>
      <c r="C37" s="133">
        <f t="shared" si="3"/>
        <v>0.2419398869520869</v>
      </c>
    </row>
    <row r="38" spans="1:3" x14ac:dyDescent="0.2">
      <c r="A38" s="18" t="s">
        <v>37</v>
      </c>
      <c r="B38" s="1">
        <v>823181</v>
      </c>
      <c r="C38" s="133">
        <f t="shared" si="3"/>
        <v>0.29033724620475454</v>
      </c>
    </row>
    <row r="39" spans="1:3" x14ac:dyDescent="0.2">
      <c r="A39" s="18" t="s">
        <v>38</v>
      </c>
      <c r="B39" s="20">
        <v>240482</v>
      </c>
      <c r="C39" s="134">
        <f t="shared" si="3"/>
        <v>8.481838337110767E-2</v>
      </c>
    </row>
    <row r="40" spans="1:3" x14ac:dyDescent="0.2">
      <c r="A40" s="19" t="s">
        <v>39</v>
      </c>
      <c r="B40" s="1">
        <v>1799962</v>
      </c>
      <c r="C40" s="133">
        <f t="shared" si="3"/>
        <v>0.63484945638104184</v>
      </c>
    </row>
    <row r="41" spans="1:3" x14ac:dyDescent="0.2">
      <c r="A41" s="3" t="s">
        <v>40</v>
      </c>
      <c r="B41" s="1">
        <v>638503</v>
      </c>
      <c r="C41" s="133">
        <f t="shared" si="3"/>
        <v>0.22520102227028369</v>
      </c>
    </row>
    <row r="42" spans="1:3" x14ac:dyDescent="0.2">
      <c r="A42" s="3"/>
      <c r="B42" s="1"/>
      <c r="C42" s="133"/>
    </row>
    <row r="43" spans="1:3" x14ac:dyDescent="0.2">
      <c r="A43" s="3" t="s">
        <v>41</v>
      </c>
      <c r="B43" s="20">
        <v>396793</v>
      </c>
      <c r="C43" s="134">
        <f>B43/$B$45</f>
        <v>0.13994952134867444</v>
      </c>
    </row>
    <row r="44" spans="1:3" x14ac:dyDescent="0.2">
      <c r="A44" s="3"/>
      <c r="B44" s="1"/>
      <c r="C44" s="133"/>
    </row>
    <row r="45" spans="1:3" ht="13.5" thickBot="1" x14ac:dyDescent="0.25">
      <c r="A45" s="3" t="s">
        <v>7</v>
      </c>
      <c r="B45" s="28">
        <v>2835258</v>
      </c>
      <c r="C45" s="135">
        <f>B45/$B$45</f>
        <v>1</v>
      </c>
    </row>
    <row r="46" spans="1:3" ht="13.5" thickTop="1" x14ac:dyDescent="0.2">
      <c r="A46" s="9"/>
      <c r="B46" s="21"/>
      <c r="C46" s="132"/>
    </row>
    <row r="47" spans="1:3" x14ac:dyDescent="0.2">
      <c r="A47" s="3"/>
      <c r="B47" s="12"/>
      <c r="C47" s="132"/>
    </row>
    <row r="48" spans="1:3" x14ac:dyDescent="0.2">
      <c r="A48" s="3"/>
      <c r="B48" s="12"/>
      <c r="C48" s="132"/>
    </row>
    <row r="49" spans="1:3" x14ac:dyDescent="0.2">
      <c r="A49" s="25" t="s">
        <v>42</v>
      </c>
      <c r="B49" s="31">
        <v>1993</v>
      </c>
      <c r="C49" s="132"/>
    </row>
    <row r="50" spans="1:3" x14ac:dyDescent="0.2">
      <c r="A50" s="24"/>
      <c r="B50" s="11"/>
      <c r="C50" s="132"/>
    </row>
    <row r="51" spans="1:3" x14ac:dyDescent="0.2">
      <c r="A51" s="3" t="s">
        <v>43</v>
      </c>
      <c r="C51" s="132"/>
    </row>
    <row r="52" spans="1:3" x14ac:dyDescent="0.2">
      <c r="A52" s="18" t="s">
        <v>44</v>
      </c>
      <c r="B52" s="12">
        <v>1946739</v>
      </c>
      <c r="C52" s="133">
        <f t="shared" ref="C52:C56" si="4">B52/$B$64</f>
        <v>0.68661793741521937</v>
      </c>
    </row>
    <row r="53" spans="1:3" x14ac:dyDescent="0.2">
      <c r="A53" s="18" t="s">
        <v>45</v>
      </c>
      <c r="B53" s="1">
        <v>413597</v>
      </c>
      <c r="C53" s="133">
        <f t="shared" si="4"/>
        <v>0.14587631883941427</v>
      </c>
    </row>
    <row r="54" spans="1:3" x14ac:dyDescent="0.2">
      <c r="A54" s="18" t="s">
        <v>46</v>
      </c>
      <c r="B54" s="1">
        <v>256854</v>
      </c>
      <c r="C54" s="133">
        <f t="shared" si="4"/>
        <v>9.0592813775677558E-2</v>
      </c>
    </row>
    <row r="55" spans="1:3" x14ac:dyDescent="0.2">
      <c r="A55" s="18" t="s">
        <v>152</v>
      </c>
      <c r="B55" s="20">
        <v>1628506</v>
      </c>
      <c r="C55" s="134">
        <f t="shared" si="4"/>
        <v>0.57437665284781847</v>
      </c>
    </row>
    <row r="56" spans="1:3" x14ac:dyDescent="0.2">
      <c r="A56" s="19" t="s">
        <v>47</v>
      </c>
      <c r="B56" s="12">
        <v>4245696</v>
      </c>
      <c r="C56" s="133">
        <f t="shared" si="4"/>
        <v>1.4974637228781296</v>
      </c>
    </row>
    <row r="57" spans="1:3" x14ac:dyDescent="0.2">
      <c r="A57" s="19"/>
      <c r="B57" s="12"/>
      <c r="C57" s="133"/>
    </row>
    <row r="58" spans="1:3" x14ac:dyDescent="0.2">
      <c r="A58" s="3" t="s">
        <v>48</v>
      </c>
      <c r="B58" s="1">
        <v>1888139</v>
      </c>
      <c r="C58" s="133">
        <f>B58/$B$64</f>
        <v>0.66594962433753824</v>
      </c>
    </row>
    <row r="59" spans="1:3" x14ac:dyDescent="0.2">
      <c r="A59" s="3"/>
      <c r="B59" s="1"/>
      <c r="C59" s="133"/>
    </row>
    <row r="60" spans="1:3" x14ac:dyDescent="0.2">
      <c r="A60" s="3" t="s">
        <v>49</v>
      </c>
      <c r="B60" s="1">
        <v>73226</v>
      </c>
      <c r="C60" s="133">
        <f>B60/$B$64</f>
        <v>2.582692650898084E-2</v>
      </c>
    </row>
    <row r="61" spans="1:3" x14ac:dyDescent="0.2">
      <c r="A61" s="3"/>
      <c r="B61" s="1"/>
      <c r="C61" s="133"/>
    </row>
    <row r="62" spans="1:3" x14ac:dyDescent="0.2">
      <c r="A62" s="3" t="s">
        <v>50</v>
      </c>
      <c r="B62" s="29">
        <v>-3371803</v>
      </c>
      <c r="C62" s="134">
        <f>B62/$B$64</f>
        <v>-1.1892402737246488</v>
      </c>
    </row>
    <row r="63" spans="1:3" x14ac:dyDescent="0.2">
      <c r="A63" s="3"/>
      <c r="B63" s="13"/>
      <c r="C63" s="133"/>
    </row>
    <row r="64" spans="1:3" ht="13.5" thickBot="1" x14ac:dyDescent="0.25">
      <c r="A64" s="3" t="s">
        <v>7</v>
      </c>
      <c r="B64" s="28">
        <v>2835258</v>
      </c>
      <c r="C64" s="135">
        <f>B64/$B$64</f>
        <v>1</v>
      </c>
    </row>
    <row r="65" spans="1:7" ht="13.5" thickTop="1" x14ac:dyDescent="0.2">
      <c r="A65" s="10"/>
      <c r="B65" s="10"/>
      <c r="C65" s="136"/>
    </row>
    <row r="67" spans="1:7" x14ac:dyDescent="0.2">
      <c r="A67" s="10"/>
      <c r="B67" s="10"/>
      <c r="C67" s="10"/>
      <c r="D67" s="10"/>
      <c r="E67" s="10"/>
      <c r="F67" s="10"/>
    </row>
    <row r="68" spans="1:7" x14ac:dyDescent="0.2">
      <c r="A68" s="25"/>
      <c r="B68" s="31">
        <v>1995</v>
      </c>
      <c r="C68" s="31">
        <v>1996</v>
      </c>
      <c r="D68" s="31">
        <v>1997</v>
      </c>
      <c r="E68" s="31">
        <v>1998</v>
      </c>
      <c r="F68" s="31">
        <v>1999</v>
      </c>
      <c r="G68" s="132"/>
    </row>
    <row r="69" spans="1:7" x14ac:dyDescent="0.2">
      <c r="A69" s="24"/>
      <c r="B69" s="11"/>
      <c r="C69" s="11"/>
      <c r="D69" s="11"/>
      <c r="E69" s="11"/>
      <c r="F69" s="11"/>
      <c r="G69" s="132"/>
    </row>
    <row r="70" spans="1:7" x14ac:dyDescent="0.2">
      <c r="A70" s="3" t="s">
        <v>51</v>
      </c>
      <c r="G70" s="132"/>
    </row>
    <row r="71" spans="1:7" x14ac:dyDescent="0.2">
      <c r="A71" s="18" t="s">
        <v>52</v>
      </c>
      <c r="B71" s="1">
        <v>244350</v>
      </c>
      <c r="C71" s="1">
        <v>839700</v>
      </c>
      <c r="D71" s="1">
        <v>2208150</v>
      </c>
      <c r="E71" s="1">
        <v>3861000</v>
      </c>
      <c r="F71" s="1">
        <v>5798250</v>
      </c>
      <c r="G71" s="132"/>
    </row>
    <row r="72" spans="1:7" x14ac:dyDescent="0.2">
      <c r="A72" s="18" t="s">
        <v>53</v>
      </c>
      <c r="B72">
        <v>0</v>
      </c>
      <c r="C72" s="1">
        <v>59200</v>
      </c>
      <c r="D72" s="1">
        <v>296000</v>
      </c>
      <c r="E72" s="1">
        <v>621600</v>
      </c>
      <c r="F72" s="1">
        <v>1184000</v>
      </c>
      <c r="G72" s="132"/>
    </row>
    <row r="73" spans="1:7" x14ac:dyDescent="0.2">
      <c r="A73" s="18" t="s">
        <v>54</v>
      </c>
      <c r="B73" s="1">
        <v>182650</v>
      </c>
      <c r="C73" s="1">
        <v>576933</v>
      </c>
      <c r="D73" s="1">
        <v>1667000</v>
      </c>
      <c r="E73" s="1">
        <v>2648333</v>
      </c>
      <c r="F73" s="1">
        <v>4232667</v>
      </c>
      <c r="G73" s="132"/>
    </row>
    <row r="74" spans="1:7" x14ac:dyDescent="0.2">
      <c r="A74" s="18"/>
      <c r="B74" s="1"/>
      <c r="C74" s="1"/>
      <c r="D74" s="1"/>
      <c r="E74" s="1"/>
      <c r="F74" s="1"/>
      <c r="G74" s="132"/>
    </row>
    <row r="75" spans="1:7" x14ac:dyDescent="0.2">
      <c r="A75" s="3" t="s">
        <v>55</v>
      </c>
      <c r="B75" s="1">
        <v>427000</v>
      </c>
      <c r="C75" s="1">
        <v>1475833</v>
      </c>
      <c r="D75" s="1">
        <v>4171150</v>
      </c>
      <c r="E75" s="1">
        <v>7130933</v>
      </c>
      <c r="F75" s="1">
        <v>11214917</v>
      </c>
      <c r="G75" s="132"/>
    </row>
    <row r="76" spans="1:7" x14ac:dyDescent="0.2">
      <c r="A76" s="3"/>
      <c r="B76" s="1"/>
      <c r="C76" s="1"/>
      <c r="D76" s="1"/>
      <c r="E76" s="1"/>
      <c r="F76" s="1"/>
      <c r="G76" s="132"/>
    </row>
    <row r="77" spans="1:7" x14ac:dyDescent="0.2">
      <c r="A77" s="3" t="s">
        <v>56</v>
      </c>
      <c r="B77" s="30">
        <v>7.4999999999999997E-3</v>
      </c>
      <c r="C77" s="30">
        <v>2.1299999999999999E-2</v>
      </c>
      <c r="D77" s="30">
        <v>5.1299999999999998E-2</v>
      </c>
      <c r="E77" s="30">
        <v>7.6300000000000007E-2</v>
      </c>
      <c r="F77" s="30">
        <v>0.1061</v>
      </c>
      <c r="G77" s="132"/>
    </row>
    <row r="78" spans="1:7" x14ac:dyDescent="0.2">
      <c r="A78" s="3"/>
      <c r="B78" s="30"/>
      <c r="C78" s="30"/>
      <c r="D78" s="30"/>
      <c r="E78" s="30"/>
      <c r="F78" s="30"/>
      <c r="G78" s="132"/>
    </row>
    <row r="79" spans="1:7" x14ac:dyDescent="0.2">
      <c r="A79" s="3" t="s">
        <v>57</v>
      </c>
      <c r="G79" s="132"/>
    </row>
    <row r="80" spans="1:7" x14ac:dyDescent="0.2">
      <c r="A80" s="3"/>
      <c r="G80" s="132"/>
    </row>
    <row r="81" spans="1:7" x14ac:dyDescent="0.2">
      <c r="A81" s="3" t="s">
        <v>58</v>
      </c>
      <c r="B81" s="1">
        <v>29890</v>
      </c>
      <c r="C81" s="1">
        <v>118067</v>
      </c>
      <c r="D81" s="1">
        <v>417115</v>
      </c>
      <c r="E81" s="1">
        <v>1069640</v>
      </c>
      <c r="F81" s="1">
        <v>2242983</v>
      </c>
      <c r="G81" s="132">
        <f>((F81/B81)^(1/5))-1</f>
        <v>1.3717014188068597</v>
      </c>
    </row>
    <row r="82" spans="1:7" x14ac:dyDescent="0.2">
      <c r="A82" s="3"/>
      <c r="B82" s="1"/>
      <c r="C82" s="1"/>
      <c r="D82" s="1"/>
      <c r="E82" s="1"/>
      <c r="F82" s="1"/>
      <c r="G82" s="132"/>
    </row>
    <row r="83" spans="1:7" x14ac:dyDescent="0.2">
      <c r="A83" s="3" t="s">
        <v>59</v>
      </c>
      <c r="B83" s="30">
        <v>5.0000000000000001E-4</v>
      </c>
      <c r="C83" s="30">
        <v>1.6999999999999999E-3</v>
      </c>
      <c r="D83" s="30">
        <v>5.1000000000000004E-3</v>
      </c>
      <c r="E83" s="30">
        <v>1.14E-2</v>
      </c>
      <c r="F83" s="30">
        <v>2.12E-2</v>
      </c>
      <c r="G83" s="132"/>
    </row>
    <row r="84" spans="1:7" x14ac:dyDescent="0.2">
      <c r="A84" s="3"/>
      <c r="B84" s="30"/>
      <c r="C84" s="30"/>
      <c r="D84" s="30"/>
      <c r="E84" s="30"/>
      <c r="F84" s="30"/>
      <c r="G84" s="132"/>
    </row>
    <row r="85" spans="1:7" x14ac:dyDescent="0.2">
      <c r="A85" s="3" t="s">
        <v>60</v>
      </c>
      <c r="B85" s="30">
        <v>7.0000000000000007E-2</v>
      </c>
      <c r="C85" s="30">
        <v>0.08</v>
      </c>
      <c r="D85" s="30">
        <v>0.1</v>
      </c>
      <c r="E85" s="30">
        <v>0.15</v>
      </c>
      <c r="F85" s="30">
        <v>0.2</v>
      </c>
      <c r="G85" s="132"/>
    </row>
    <row r="86" spans="1:7" x14ac:dyDescent="0.2">
      <c r="A86" s="3"/>
      <c r="B86" s="30"/>
      <c r="C86" s="30"/>
      <c r="D86" s="30"/>
      <c r="E86" s="30"/>
      <c r="F86" s="30"/>
      <c r="G86" s="132"/>
    </row>
    <row r="87" spans="1:7" x14ac:dyDescent="0.2">
      <c r="A87" s="3" t="s">
        <v>61</v>
      </c>
      <c r="G87" s="132"/>
    </row>
    <row r="88" spans="1:7" x14ac:dyDescent="0.2">
      <c r="A88" s="18" t="s">
        <v>62</v>
      </c>
      <c r="B88" s="1">
        <v>12000</v>
      </c>
      <c r="C88" s="1">
        <v>18000</v>
      </c>
      <c r="D88" s="1">
        <v>40000</v>
      </c>
      <c r="E88" s="1">
        <v>75000</v>
      </c>
      <c r="F88" s="1">
        <v>150000</v>
      </c>
      <c r="G88" s="132"/>
    </row>
    <row r="89" spans="1:7" x14ac:dyDescent="0.2">
      <c r="A89" s="18" t="s">
        <v>63</v>
      </c>
      <c r="B89" s="1">
        <v>20000</v>
      </c>
      <c r="C89" s="1">
        <v>30000</v>
      </c>
      <c r="D89" s="1">
        <v>100000</v>
      </c>
      <c r="E89" s="1">
        <v>600000</v>
      </c>
      <c r="F89" s="1">
        <v>1300000</v>
      </c>
      <c r="G89" s="132"/>
    </row>
    <row r="90" spans="1:7" x14ac:dyDescent="0.2">
      <c r="A90" s="18" t="s">
        <v>64</v>
      </c>
      <c r="B90">
        <v>0</v>
      </c>
      <c r="C90" s="1">
        <v>40000</v>
      </c>
      <c r="D90" s="1">
        <v>150000</v>
      </c>
      <c r="E90" s="1">
        <v>350000</v>
      </c>
      <c r="F90" s="1">
        <v>800000</v>
      </c>
      <c r="G90" s="132"/>
    </row>
    <row r="91" spans="1:7" x14ac:dyDescent="0.2">
      <c r="A91" s="18" t="s">
        <v>65</v>
      </c>
      <c r="B91">
        <v>0</v>
      </c>
      <c r="C91" s="1">
        <v>25000</v>
      </c>
      <c r="D91" s="1">
        <v>100000</v>
      </c>
      <c r="E91" s="1">
        <v>275000</v>
      </c>
      <c r="F91" s="1">
        <v>600000</v>
      </c>
      <c r="G91" s="132"/>
    </row>
    <row r="92" spans="1:7" x14ac:dyDescent="0.2">
      <c r="A92" s="18"/>
      <c r="C92" s="1"/>
      <c r="D92" s="1"/>
      <c r="E92" s="1"/>
      <c r="F92" s="1"/>
      <c r="G92" s="132"/>
    </row>
    <row r="93" spans="1:7" x14ac:dyDescent="0.2">
      <c r="A93" s="3" t="s">
        <v>66</v>
      </c>
      <c r="B93" s="1">
        <v>32000</v>
      </c>
      <c r="C93" s="1">
        <v>113000</v>
      </c>
      <c r="D93" s="1">
        <v>390000</v>
      </c>
      <c r="E93" s="1">
        <v>1300000</v>
      </c>
      <c r="F93" s="1">
        <v>2850000</v>
      </c>
      <c r="G93" s="132">
        <f>((F93/B93)^(1/5))-1</f>
        <v>1.4543640234274378</v>
      </c>
    </row>
    <row r="94" spans="1:7" x14ac:dyDescent="0.2">
      <c r="A94" s="3"/>
      <c r="B94" s="1"/>
      <c r="C94" s="1"/>
      <c r="D94" s="1"/>
      <c r="E94" s="1"/>
      <c r="F94" s="1"/>
      <c r="G94" s="132"/>
    </row>
    <row r="95" spans="1:7" x14ac:dyDescent="0.2">
      <c r="A95" s="9" t="s">
        <v>67</v>
      </c>
      <c r="B95" s="20">
        <v>61890</v>
      </c>
      <c r="C95" s="20">
        <v>231067</v>
      </c>
      <c r="D95" s="20">
        <v>807115</v>
      </c>
      <c r="E95" s="20">
        <v>2369640</v>
      </c>
      <c r="F95" s="20">
        <v>5092983</v>
      </c>
      <c r="G95" s="132">
        <f>((F95/B95)^(1/5))-1</f>
        <v>1.4158521322063882</v>
      </c>
    </row>
    <row r="96" spans="1:7" x14ac:dyDescent="0.2">
      <c r="A96" s="3"/>
      <c r="B96" s="1"/>
      <c r="C96" s="1"/>
      <c r="D96" s="1"/>
      <c r="E96" s="1"/>
      <c r="F96" s="1"/>
    </row>
    <row r="97" spans="1:6" x14ac:dyDescent="0.2">
      <c r="A97" s="144" t="s">
        <v>68</v>
      </c>
      <c r="B97" s="144"/>
      <c r="C97" s="144"/>
      <c r="D97" s="144"/>
      <c r="E97" s="144"/>
      <c r="F97" s="144"/>
    </row>
  </sheetData>
  <mergeCells count="3">
    <mergeCell ref="A1:B1"/>
    <mergeCell ref="A3:B3"/>
    <mergeCell ref="A97:F97"/>
  </mergeCells>
  <phoneticPr fontId="2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A2" sqref="A2"/>
    </sheetView>
  </sheetViews>
  <sheetFormatPr defaultRowHeight="12.75" x14ac:dyDescent="0.2"/>
  <cols>
    <col min="1" max="1" width="37.5703125" bestFit="1" customWidth="1"/>
  </cols>
  <sheetData>
    <row r="1" spans="1:4" x14ac:dyDescent="0.2">
      <c r="A1" s="145" t="s">
        <v>74</v>
      </c>
      <c r="B1" s="146"/>
      <c r="C1" s="146"/>
      <c r="D1" s="146"/>
    </row>
    <row r="2" spans="1:4" x14ac:dyDescent="0.2">
      <c r="A2" s="32"/>
      <c r="B2" s="9"/>
      <c r="C2" s="9"/>
      <c r="D2" s="9"/>
    </row>
    <row r="3" spans="1:4" x14ac:dyDescent="0.2">
      <c r="A3" s="32" t="s">
        <v>69</v>
      </c>
      <c r="B3" s="32">
        <v>1994</v>
      </c>
      <c r="C3" s="32">
        <v>1993</v>
      </c>
      <c r="D3" s="32">
        <v>1992</v>
      </c>
    </row>
    <row r="4" spans="1:4" x14ac:dyDescent="0.2">
      <c r="A4" s="24"/>
      <c r="B4" s="3"/>
      <c r="C4" s="3"/>
      <c r="D4" s="3"/>
    </row>
    <row r="5" spans="1:4" x14ac:dyDescent="0.2">
      <c r="A5" s="34" t="s">
        <v>70</v>
      </c>
      <c r="B5" s="35">
        <v>827</v>
      </c>
      <c r="C5" s="3">
        <v>617.20000000000005</v>
      </c>
      <c r="D5" s="3">
        <v>408.4</v>
      </c>
    </row>
    <row r="6" spans="1:4" x14ac:dyDescent="0.2">
      <c r="A6" s="34" t="s">
        <v>71</v>
      </c>
      <c r="B6" s="3">
        <v>19.5</v>
      </c>
      <c r="C6" s="3">
        <v>68.2</v>
      </c>
      <c r="D6" s="3">
        <v>5.2</v>
      </c>
    </row>
    <row r="7" spans="1:4" x14ac:dyDescent="0.2">
      <c r="A7" s="34" t="s">
        <v>72</v>
      </c>
      <c r="B7" s="33">
        <v>3320</v>
      </c>
      <c r="C7" s="33">
        <v>1419</v>
      </c>
      <c r="D7" s="3">
        <v>662</v>
      </c>
    </row>
    <row r="8" spans="1:4" x14ac:dyDescent="0.2">
      <c r="A8" s="36" t="s">
        <v>73</v>
      </c>
      <c r="B8" s="9">
        <v>1.39</v>
      </c>
      <c r="C8" s="9"/>
      <c r="D8" s="9"/>
    </row>
    <row r="9" spans="1:4" x14ac:dyDescent="0.2">
      <c r="A9" s="24"/>
      <c r="B9" s="3"/>
      <c r="C9" s="3"/>
      <c r="D9" s="3"/>
    </row>
    <row r="10" spans="1:4" x14ac:dyDescent="0.2">
      <c r="A10" s="9"/>
      <c r="B10" s="10"/>
      <c r="C10" s="10"/>
      <c r="D10" s="10"/>
    </row>
    <row r="11" spans="1:4" x14ac:dyDescent="0.2">
      <c r="A11" s="25" t="s">
        <v>69</v>
      </c>
      <c r="B11" s="31">
        <v>1994</v>
      </c>
      <c r="C11" s="31">
        <v>1993</v>
      </c>
      <c r="D11" s="31">
        <v>1992</v>
      </c>
    </row>
    <row r="12" spans="1:4" x14ac:dyDescent="0.2">
      <c r="A12" s="43"/>
      <c r="B12" s="44"/>
      <c r="C12" s="44"/>
      <c r="D12" s="44"/>
    </row>
    <row r="13" spans="1:4" x14ac:dyDescent="0.2">
      <c r="A13" s="3" t="s">
        <v>70</v>
      </c>
      <c r="B13">
        <v>70.3</v>
      </c>
      <c r="C13">
        <v>49.5</v>
      </c>
      <c r="D13">
        <v>36.4</v>
      </c>
    </row>
    <row r="14" spans="1:4" x14ac:dyDescent="0.2">
      <c r="A14" s="3" t="s">
        <v>71</v>
      </c>
      <c r="B14">
        <v>6.7</v>
      </c>
      <c r="C14">
        <v>3.1</v>
      </c>
      <c r="D14">
        <v>-2.4</v>
      </c>
    </row>
    <row r="15" spans="1:4" x14ac:dyDescent="0.2">
      <c r="A15" s="3" t="s">
        <v>72</v>
      </c>
      <c r="B15">
        <v>364</v>
      </c>
      <c r="C15">
        <v>199</v>
      </c>
      <c r="D15">
        <v>180</v>
      </c>
    </row>
    <row r="16" spans="1:4" x14ac:dyDescent="0.2">
      <c r="A16" s="45" t="s">
        <v>73</v>
      </c>
      <c r="B16" s="46">
        <v>2.0299999999999998</v>
      </c>
      <c r="C16" s="46"/>
      <c r="D16" s="46"/>
    </row>
    <row r="17" spans="1:4" x14ac:dyDescent="0.2">
      <c r="A17" s="9"/>
      <c r="B17" s="10"/>
      <c r="C17" s="10"/>
      <c r="D17" s="10"/>
    </row>
    <row r="19" spans="1:4" x14ac:dyDescent="0.2">
      <c r="A19" s="144" t="s">
        <v>91</v>
      </c>
      <c r="B19" s="144"/>
      <c r="C19" s="144"/>
      <c r="D19" s="144"/>
    </row>
  </sheetData>
  <mergeCells count="2">
    <mergeCell ref="A1:D1"/>
    <mergeCell ref="A19:D19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sqref="A1:D1"/>
    </sheetView>
  </sheetViews>
  <sheetFormatPr defaultRowHeight="12.75" x14ac:dyDescent="0.2"/>
  <cols>
    <col min="1" max="1" width="23.85546875" bestFit="1" customWidth="1"/>
    <col min="2" max="2" width="22.5703125" bestFit="1" customWidth="1"/>
    <col min="3" max="3" width="19.28515625" customWidth="1"/>
    <col min="4" max="4" width="16" customWidth="1"/>
  </cols>
  <sheetData>
    <row r="1" spans="1:4" x14ac:dyDescent="0.2">
      <c r="A1" s="145" t="s">
        <v>90</v>
      </c>
      <c r="B1" s="145"/>
      <c r="C1" s="145"/>
      <c r="D1" s="145"/>
    </row>
    <row r="2" spans="1:4" x14ac:dyDescent="0.2">
      <c r="A2" s="9"/>
      <c r="B2" s="10"/>
      <c r="C2" s="10"/>
      <c r="D2" s="10"/>
    </row>
    <row r="3" spans="1:4" x14ac:dyDescent="0.2">
      <c r="A3" s="26" t="s">
        <v>75</v>
      </c>
      <c r="B3" s="149" t="s">
        <v>76</v>
      </c>
      <c r="C3" s="149"/>
      <c r="D3" s="149"/>
    </row>
    <row r="4" spans="1:4" x14ac:dyDescent="0.2">
      <c r="A4" s="3"/>
    </row>
    <row r="5" spans="1:4" ht="28.5" customHeight="1" x14ac:dyDescent="0.2">
      <c r="A5" s="39" t="s">
        <v>77</v>
      </c>
      <c r="B5" s="143" t="s">
        <v>78</v>
      </c>
      <c r="C5" s="143"/>
      <c r="D5" s="143"/>
    </row>
    <row r="6" spans="1:4" x14ac:dyDescent="0.2">
      <c r="A6" s="3"/>
      <c r="B6" s="7"/>
      <c r="C6" s="7"/>
      <c r="D6" s="7"/>
    </row>
    <row r="7" spans="1:4" x14ac:dyDescent="0.2">
      <c r="A7" s="3" t="s">
        <v>79</v>
      </c>
      <c r="B7" s="150">
        <v>16000000</v>
      </c>
      <c r="C7" s="143"/>
      <c r="D7" s="143"/>
    </row>
    <row r="8" spans="1:4" x14ac:dyDescent="0.2">
      <c r="A8" s="3"/>
      <c r="B8" s="27"/>
      <c r="C8" s="7"/>
      <c r="D8" s="7"/>
    </row>
    <row r="9" spans="1:4" x14ac:dyDescent="0.2">
      <c r="A9" s="3" t="s">
        <v>80</v>
      </c>
      <c r="B9" s="143" t="s">
        <v>81</v>
      </c>
      <c r="C9" s="143"/>
      <c r="D9" s="143"/>
    </row>
    <row r="10" spans="1:4" x14ac:dyDescent="0.2">
      <c r="A10" s="3"/>
      <c r="B10" s="7"/>
      <c r="C10" s="7"/>
      <c r="D10" s="7"/>
    </row>
    <row r="11" spans="1:4" ht="45" customHeight="1" x14ac:dyDescent="0.2">
      <c r="A11" s="40" t="s">
        <v>82</v>
      </c>
      <c r="B11" s="151" t="s">
        <v>83</v>
      </c>
      <c r="C11" s="151"/>
      <c r="D11" s="151"/>
    </row>
    <row r="12" spans="1:4" x14ac:dyDescent="0.2">
      <c r="A12" s="3"/>
    </row>
    <row r="13" spans="1:4" x14ac:dyDescent="0.2">
      <c r="A13" s="147" t="s">
        <v>84</v>
      </c>
      <c r="B13" s="147"/>
      <c r="C13" s="147"/>
      <c r="D13" s="147"/>
    </row>
    <row r="14" spans="1:4" x14ac:dyDescent="0.2">
      <c r="A14" s="9"/>
      <c r="B14" s="10"/>
      <c r="C14" s="10"/>
      <c r="D14" s="10"/>
    </row>
    <row r="15" spans="1:4" ht="38.25" x14ac:dyDescent="0.2">
      <c r="A15" s="26" t="s">
        <v>1</v>
      </c>
      <c r="B15" s="8" t="s">
        <v>2</v>
      </c>
      <c r="C15" s="8" t="s">
        <v>3</v>
      </c>
      <c r="D15" s="8" t="s">
        <v>9</v>
      </c>
    </row>
    <row r="16" spans="1:4" x14ac:dyDescent="0.2">
      <c r="A16" s="4"/>
      <c r="B16" s="4"/>
      <c r="C16" s="5"/>
      <c r="D16" s="5"/>
    </row>
    <row r="17" spans="1:4" ht="14.25" x14ac:dyDescent="0.2">
      <c r="A17" s="3" t="s">
        <v>92</v>
      </c>
      <c r="B17" s="3" t="s">
        <v>4</v>
      </c>
      <c r="C17" s="1">
        <v>8086099</v>
      </c>
      <c r="D17" s="2">
        <v>0.53</v>
      </c>
    </row>
    <row r="18" spans="1:4" x14ac:dyDescent="0.2">
      <c r="A18" s="3"/>
      <c r="B18" s="3" t="s">
        <v>6</v>
      </c>
      <c r="C18" s="1">
        <v>2220726</v>
      </c>
      <c r="D18" s="2">
        <v>0.15</v>
      </c>
    </row>
    <row r="19" spans="1:4" x14ac:dyDescent="0.2">
      <c r="A19" s="3"/>
      <c r="B19" s="3" t="s">
        <v>85</v>
      </c>
    </row>
    <row r="20" spans="1:4" x14ac:dyDescent="0.2">
      <c r="A20" s="3"/>
      <c r="B20" s="3" t="s">
        <v>6</v>
      </c>
      <c r="C20" s="1">
        <v>333110</v>
      </c>
      <c r="D20" s="2">
        <v>0.02</v>
      </c>
    </row>
    <row r="21" spans="1:4" x14ac:dyDescent="0.2">
      <c r="A21" s="3" t="s">
        <v>5</v>
      </c>
      <c r="B21" s="3" t="s">
        <v>86</v>
      </c>
      <c r="C21" s="1">
        <v>2000000</v>
      </c>
      <c r="D21" s="2">
        <v>0.13</v>
      </c>
    </row>
    <row r="22" spans="1:4" x14ac:dyDescent="0.2">
      <c r="A22" s="3" t="s">
        <v>87</v>
      </c>
      <c r="B22" s="3"/>
    </row>
    <row r="23" spans="1:4" x14ac:dyDescent="0.2">
      <c r="A23" s="3" t="s">
        <v>88</v>
      </c>
      <c r="B23" s="3" t="s">
        <v>4</v>
      </c>
      <c r="C23" s="20">
        <v>2582047</v>
      </c>
      <c r="D23" s="38">
        <v>0.17</v>
      </c>
    </row>
    <row r="24" spans="1:4" x14ac:dyDescent="0.2">
      <c r="A24" s="3"/>
      <c r="B24" s="3"/>
      <c r="C24" s="1"/>
      <c r="D24" s="2"/>
    </row>
    <row r="25" spans="1:4" ht="13.5" thickBot="1" x14ac:dyDescent="0.25">
      <c r="A25" s="18" t="s">
        <v>7</v>
      </c>
      <c r="C25" s="23">
        <v>15221982</v>
      </c>
      <c r="D25" s="37">
        <v>1</v>
      </c>
    </row>
    <row r="26" spans="1:4" ht="13.5" thickTop="1" x14ac:dyDescent="0.2">
      <c r="A26" s="41"/>
      <c r="B26" s="10"/>
      <c r="C26" s="20"/>
      <c r="D26" s="38"/>
    </row>
    <row r="27" spans="1:4" x14ac:dyDescent="0.2">
      <c r="A27" s="3"/>
      <c r="C27" s="1"/>
      <c r="D27" s="2"/>
    </row>
    <row r="28" spans="1:4" x14ac:dyDescent="0.2">
      <c r="A28" s="148" t="s">
        <v>89</v>
      </c>
      <c r="B28" s="144"/>
      <c r="C28" s="144"/>
      <c r="D28" s="144"/>
    </row>
  </sheetData>
  <mergeCells count="8">
    <mergeCell ref="A1:D1"/>
    <mergeCell ref="A13:D13"/>
    <mergeCell ref="A28:D28"/>
    <mergeCell ref="B3:D3"/>
    <mergeCell ref="B5:D5"/>
    <mergeCell ref="B7:D7"/>
    <mergeCell ref="B9:D9"/>
    <mergeCell ref="B11:D1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J81"/>
  <sheetViews>
    <sheetView topLeftCell="A66" workbookViewId="0">
      <selection activeCell="G81" sqref="G81"/>
    </sheetView>
  </sheetViews>
  <sheetFormatPr defaultRowHeight="15.75" x14ac:dyDescent="0.2"/>
  <cols>
    <col min="1" max="1" width="36.85546875" style="170" customWidth="1"/>
    <col min="2" max="3" width="10.28515625" style="164" bestFit="1" customWidth="1"/>
    <col min="4" max="4" width="11" style="164" customWidth="1"/>
    <col min="5" max="5" width="15.42578125" style="164" bestFit="1" customWidth="1"/>
    <col min="6" max="7" width="10.140625" style="164" bestFit="1" customWidth="1"/>
    <col min="8" max="8" width="15.5703125" style="164" bestFit="1" customWidth="1"/>
    <col min="9" max="16384" width="9.140625" style="164"/>
  </cols>
  <sheetData>
    <row r="4" spans="1:8" x14ac:dyDescent="0.2">
      <c r="A4" s="182" t="s">
        <v>96</v>
      </c>
    </row>
    <row r="6" spans="1:8" x14ac:dyDescent="0.2">
      <c r="A6" s="165"/>
      <c r="B6" s="183">
        <v>1994</v>
      </c>
      <c r="C6" s="183">
        <v>1995</v>
      </c>
      <c r="D6" s="183">
        <v>1996</v>
      </c>
      <c r="E6" s="183">
        <v>1997</v>
      </c>
      <c r="F6" s="183">
        <v>1998</v>
      </c>
      <c r="G6" s="183">
        <v>1999</v>
      </c>
      <c r="H6" s="183">
        <v>2000</v>
      </c>
    </row>
    <row r="7" spans="1:8" x14ac:dyDescent="0.2">
      <c r="A7" s="165" t="s">
        <v>15</v>
      </c>
      <c r="B7" s="166">
        <v>14.2</v>
      </c>
      <c r="C7" s="166">
        <v>32.5</v>
      </c>
      <c r="D7" s="166">
        <f>C7*(1+$B$15)</f>
        <v>51.692597369858291</v>
      </c>
      <c r="E7" s="166">
        <f>D7*(1+$B$15)</f>
        <v>82.219219164377861</v>
      </c>
      <c r="F7" s="166">
        <f>E7*(1+$B$15)</f>
        <v>130.77307668702528</v>
      </c>
      <c r="G7" s="166">
        <v>208</v>
      </c>
      <c r="H7" s="166">
        <f>G7*(1+0.05)</f>
        <v>218.4</v>
      </c>
    </row>
    <row r="8" spans="1:8" x14ac:dyDescent="0.2">
      <c r="A8" s="165" t="s">
        <v>15</v>
      </c>
      <c r="B8" s="166">
        <v>14.2</v>
      </c>
      <c r="C8" s="166">
        <v>32.5</v>
      </c>
      <c r="D8" s="166">
        <f>C8*(1+$B$15)</f>
        <v>51.692597369858291</v>
      </c>
      <c r="E8" s="166">
        <f t="shared" ref="E8:F8" si="0">D8*(1+$B$15)</f>
        <v>82.219219164377861</v>
      </c>
      <c r="F8" s="166">
        <f t="shared" si="0"/>
        <v>130.77307668702528</v>
      </c>
      <c r="G8" s="166">
        <f>F8*(1+$B$15)</f>
        <v>208</v>
      </c>
      <c r="H8" s="166">
        <f>G8*(1+0.05)</f>
        <v>218.4</v>
      </c>
    </row>
    <row r="9" spans="1:8" x14ac:dyDescent="0.2">
      <c r="A9" s="165" t="s">
        <v>97</v>
      </c>
      <c r="B9" s="167">
        <v>0</v>
      </c>
      <c r="C9" s="167">
        <v>0</v>
      </c>
      <c r="D9" s="167">
        <v>0</v>
      </c>
      <c r="E9" s="168">
        <v>7.4999999999999997E-2</v>
      </c>
      <c r="F9" s="168">
        <v>0.15</v>
      </c>
      <c r="G9" s="168">
        <v>0.22</v>
      </c>
      <c r="H9" s="168">
        <v>0.22</v>
      </c>
    </row>
    <row r="10" spans="1:8" x14ac:dyDescent="0.2">
      <c r="A10" s="165" t="s">
        <v>98</v>
      </c>
      <c r="B10" s="166">
        <f t="shared" ref="B10:H10" si="1">B7*B9</f>
        <v>0</v>
      </c>
      <c r="C10" s="166">
        <f t="shared" si="1"/>
        <v>0</v>
      </c>
      <c r="D10" s="166">
        <f t="shared" si="1"/>
        <v>0</v>
      </c>
      <c r="E10" s="166">
        <f t="shared" si="1"/>
        <v>6.1664414373283396</v>
      </c>
      <c r="F10" s="166">
        <f t="shared" si="1"/>
        <v>19.615961503053793</v>
      </c>
      <c r="G10" s="166">
        <f t="shared" si="1"/>
        <v>45.76</v>
      </c>
      <c r="H10" s="166">
        <f t="shared" si="1"/>
        <v>48.048000000000002</v>
      </c>
    </row>
    <row r="12" spans="1:8" x14ac:dyDescent="0.2">
      <c r="A12" s="182" t="s">
        <v>99</v>
      </c>
      <c r="C12" s="169"/>
    </row>
    <row r="13" spans="1:8" x14ac:dyDescent="0.2">
      <c r="A13" s="170" t="s">
        <v>100</v>
      </c>
      <c r="B13" s="164">
        <f>G7/C7</f>
        <v>6.4</v>
      </c>
    </row>
    <row r="14" spans="1:8" x14ac:dyDescent="0.2">
      <c r="A14" s="170" t="s">
        <v>101</v>
      </c>
      <c r="B14" s="164">
        <f>1/4</f>
        <v>0.25</v>
      </c>
    </row>
    <row r="15" spans="1:8" x14ac:dyDescent="0.2">
      <c r="A15" s="170" t="s">
        <v>102</v>
      </c>
      <c r="B15" s="171">
        <f>(B13^B14)-1</f>
        <v>0.59054145753410126</v>
      </c>
    </row>
    <row r="17" spans="1:10" x14ac:dyDescent="0.2">
      <c r="A17" s="182" t="s">
        <v>103</v>
      </c>
    </row>
    <row r="18" spans="1:10" x14ac:dyDescent="0.2">
      <c r="A18" s="165"/>
      <c r="B18" s="184" t="s">
        <v>104</v>
      </c>
      <c r="C18" s="184"/>
      <c r="D18" s="184"/>
      <c r="E18" s="184" t="s">
        <v>105</v>
      </c>
      <c r="F18" s="184"/>
      <c r="G18" s="184"/>
      <c r="H18" s="185"/>
      <c r="I18" s="185"/>
      <c r="J18" s="185"/>
    </row>
    <row r="19" spans="1:10" x14ac:dyDescent="0.25">
      <c r="A19" s="172" t="s">
        <v>69</v>
      </c>
      <c r="B19" s="172">
        <v>1994</v>
      </c>
      <c r="C19" s="172">
        <v>1993</v>
      </c>
      <c r="D19" s="172">
        <v>1992</v>
      </c>
      <c r="E19" s="186">
        <v>1994</v>
      </c>
      <c r="F19" s="186">
        <v>1993</v>
      </c>
      <c r="G19" s="186">
        <v>1992</v>
      </c>
      <c r="H19" s="185"/>
      <c r="I19" s="185"/>
      <c r="J19" s="185"/>
    </row>
    <row r="20" spans="1:10" x14ac:dyDescent="0.25">
      <c r="A20" s="172"/>
      <c r="B20" s="172"/>
      <c r="C20" s="172"/>
      <c r="D20" s="172"/>
      <c r="E20" s="186"/>
      <c r="F20" s="186"/>
      <c r="G20" s="186"/>
      <c r="H20" s="185"/>
      <c r="I20" s="185"/>
      <c r="J20" s="185"/>
    </row>
    <row r="21" spans="1:10" x14ac:dyDescent="0.25">
      <c r="A21" s="172" t="s">
        <v>70</v>
      </c>
      <c r="B21" s="173">
        <v>827</v>
      </c>
      <c r="C21" s="173">
        <v>617.20000000000005</v>
      </c>
      <c r="D21" s="173">
        <v>408.4</v>
      </c>
      <c r="E21" s="174">
        <v>70.3</v>
      </c>
      <c r="F21" s="174">
        <v>49.5</v>
      </c>
      <c r="G21" s="174">
        <v>36.4</v>
      </c>
      <c r="H21" s="185"/>
      <c r="I21" s="185"/>
      <c r="J21" s="185"/>
    </row>
    <row r="22" spans="1:10" x14ac:dyDescent="0.25">
      <c r="A22" s="172" t="s">
        <v>71</v>
      </c>
      <c r="B22" s="173">
        <v>19.5</v>
      </c>
      <c r="C22" s="173">
        <v>68.2</v>
      </c>
      <c r="D22" s="173">
        <v>5.2</v>
      </c>
      <c r="E22" s="174">
        <v>6.7</v>
      </c>
      <c r="F22" s="174">
        <v>3.1</v>
      </c>
      <c r="G22" s="174">
        <v>-2.4</v>
      </c>
      <c r="H22" s="185"/>
      <c r="I22" s="185"/>
      <c r="J22" s="185"/>
    </row>
    <row r="23" spans="1:10" x14ac:dyDescent="0.25">
      <c r="A23" s="172" t="s">
        <v>72</v>
      </c>
      <c r="B23" s="173">
        <v>3320</v>
      </c>
      <c r="C23" s="173">
        <v>1419</v>
      </c>
      <c r="D23" s="173">
        <v>662</v>
      </c>
      <c r="E23" s="174">
        <v>364</v>
      </c>
      <c r="F23" s="174">
        <v>199</v>
      </c>
      <c r="G23" s="174">
        <v>180</v>
      </c>
    </row>
    <row r="24" spans="1:10" x14ac:dyDescent="0.25">
      <c r="A24" s="172" t="s">
        <v>73</v>
      </c>
      <c r="B24" s="173">
        <v>1.39</v>
      </c>
      <c r="C24" s="173"/>
      <c r="D24" s="173"/>
      <c r="E24" s="174">
        <v>2.0299999999999998</v>
      </c>
      <c r="F24" s="174"/>
      <c r="G24" s="174"/>
      <c r="H24" s="169">
        <f>AVERAGE(B24:G24)</f>
        <v>1.71</v>
      </c>
    </row>
    <row r="26" spans="1:10" x14ac:dyDescent="0.2">
      <c r="A26" s="165" t="s">
        <v>106</v>
      </c>
      <c r="B26" s="175">
        <f>B23/B21</f>
        <v>4.0145102781136641</v>
      </c>
      <c r="C26" s="175">
        <f t="shared" ref="C26:G26" si="2">C23/C21</f>
        <v>2.2990926766040181</v>
      </c>
      <c r="D26" s="175">
        <f t="shared" si="2"/>
        <v>1.6209598432908914</v>
      </c>
      <c r="E26" s="175">
        <f t="shared" si="2"/>
        <v>5.1778093883357039</v>
      </c>
      <c r="F26" s="175">
        <f t="shared" si="2"/>
        <v>4.0202020202020199</v>
      </c>
      <c r="G26" s="175">
        <f t="shared" si="2"/>
        <v>4.9450549450549453</v>
      </c>
      <c r="H26" s="175">
        <f>AVERAGE(B26:G26)</f>
        <v>3.6796048586002073</v>
      </c>
    </row>
    <row r="27" spans="1:10" x14ac:dyDescent="0.2">
      <c r="A27" s="165" t="s">
        <v>108</v>
      </c>
      <c r="B27" s="175"/>
      <c r="C27" s="175"/>
      <c r="D27" s="175">
        <f>AVERAGE(B26:D26)</f>
        <v>2.644854266002858</v>
      </c>
      <c r="E27" s="175"/>
      <c r="F27" s="175"/>
      <c r="G27" s="175">
        <f>AVERAGE(E26:G26)</f>
        <v>4.7143554511975561</v>
      </c>
      <c r="H27" s="175"/>
    </row>
    <row r="28" spans="1:10" x14ac:dyDescent="0.2">
      <c r="A28" s="165" t="s">
        <v>107</v>
      </c>
      <c r="B28" s="175">
        <f t="shared" ref="B28:F28" si="3">B23/B22</f>
        <v>170.25641025641025</v>
      </c>
      <c r="C28" s="175">
        <f t="shared" si="3"/>
        <v>20.806451612903224</v>
      </c>
      <c r="D28" s="175">
        <f t="shared" si="3"/>
        <v>127.30769230769231</v>
      </c>
      <c r="E28" s="175">
        <f t="shared" si="3"/>
        <v>54.328358208955223</v>
      </c>
      <c r="F28" s="175">
        <f t="shared" si="3"/>
        <v>64.193548387096769</v>
      </c>
      <c r="G28" s="175"/>
      <c r="H28" s="175">
        <f>AVERAGE(B28:G28)</f>
        <v>87.37849215461155</v>
      </c>
    </row>
    <row r="29" spans="1:10" x14ac:dyDescent="0.2">
      <c r="A29" s="165" t="s">
        <v>109</v>
      </c>
      <c r="B29" s="175"/>
      <c r="C29" s="175"/>
      <c r="D29" s="175">
        <f>AVERAGE(B28:D28)</f>
        <v>106.12351805900192</v>
      </c>
      <c r="E29" s="175"/>
      <c r="F29" s="175"/>
      <c r="G29" s="175">
        <f>AVERAGE(E28:G28)</f>
        <v>59.260953298025996</v>
      </c>
      <c r="H29" s="167"/>
    </row>
    <row r="32" spans="1:10" x14ac:dyDescent="0.2">
      <c r="B32" s="183">
        <v>1994</v>
      </c>
      <c r="C32" s="183">
        <v>1995</v>
      </c>
      <c r="D32" s="183">
        <v>1996</v>
      </c>
      <c r="E32" s="183">
        <v>1997</v>
      </c>
      <c r="F32" s="183">
        <v>1998</v>
      </c>
      <c r="G32" s="183">
        <v>1999</v>
      </c>
    </row>
    <row r="33" spans="1:7" x14ac:dyDescent="0.2">
      <c r="A33" s="176" t="s">
        <v>110</v>
      </c>
      <c r="B33" s="166">
        <f>$H$26*B7</f>
        <v>52.250388992122943</v>
      </c>
      <c r="C33" s="166">
        <f t="shared" ref="C33:F33" si="4">$H$26*C7</f>
        <v>119.58715790450674</v>
      </c>
      <c r="D33" s="166">
        <f>$H$26*D7</f>
        <v>190.20833243579486</v>
      </c>
      <c r="E33" s="166">
        <f>$H$26*E7</f>
        <v>302.53423830756003</v>
      </c>
      <c r="F33" s="166">
        <f t="shared" si="4"/>
        <v>481.19324835167572</v>
      </c>
      <c r="G33" s="166">
        <f>$H$26*G7</f>
        <v>765.35781058884311</v>
      </c>
    </row>
    <row r="34" spans="1:7" ht="31.5" x14ac:dyDescent="0.2">
      <c r="A34" s="176" t="s">
        <v>111</v>
      </c>
      <c r="B34" s="166">
        <f>$H$28*B10</f>
        <v>0</v>
      </c>
      <c r="C34" s="166">
        <f t="shared" ref="C34:E34" si="5">$H$28*C10</f>
        <v>0</v>
      </c>
      <c r="D34" s="166">
        <f t="shared" si="5"/>
        <v>0</v>
      </c>
      <c r="E34" s="166">
        <f t="shared" si="5"/>
        <v>538.81435475346586</v>
      </c>
      <c r="F34" s="166">
        <f>$H$28*F10</f>
        <v>1714.0131382997481</v>
      </c>
      <c r="G34" s="166">
        <f>$H$28*G10</f>
        <v>3998.4398009950241</v>
      </c>
    </row>
    <row r="35" spans="1:7" x14ac:dyDescent="0.2">
      <c r="A35" s="177"/>
      <c r="B35" s="178"/>
      <c r="C35" s="178"/>
      <c r="D35" s="178"/>
      <c r="E35" s="178"/>
      <c r="F35" s="178"/>
      <c r="G35" s="178"/>
    </row>
    <row r="36" spans="1:7" x14ac:dyDescent="0.2">
      <c r="A36" s="182" t="s">
        <v>129</v>
      </c>
    </row>
    <row r="37" spans="1:7" x14ac:dyDescent="0.2">
      <c r="A37" s="170" t="s">
        <v>116</v>
      </c>
      <c r="B37" s="164">
        <v>16</v>
      </c>
    </row>
    <row r="38" spans="1:7" x14ac:dyDescent="0.2">
      <c r="A38" s="170" t="s">
        <v>115</v>
      </c>
      <c r="B38" s="179">
        <v>0.6</v>
      </c>
    </row>
    <row r="39" spans="1:7" x14ac:dyDescent="0.2">
      <c r="A39" s="165" t="s">
        <v>131</v>
      </c>
      <c r="B39" s="167"/>
      <c r="C39" s="167"/>
      <c r="D39" s="167"/>
      <c r="E39" s="167">
        <v>2</v>
      </c>
      <c r="F39" s="167">
        <v>3</v>
      </c>
      <c r="G39" s="167">
        <v>4</v>
      </c>
    </row>
    <row r="40" spans="1:7" x14ac:dyDescent="0.2">
      <c r="A40" s="165" t="s">
        <v>112</v>
      </c>
      <c r="B40" s="167"/>
      <c r="C40" s="167"/>
      <c r="D40" s="167"/>
      <c r="E40" s="167"/>
      <c r="F40" s="167"/>
      <c r="G40" s="167"/>
    </row>
    <row r="41" spans="1:7" x14ac:dyDescent="0.2">
      <c r="A41" s="165" t="s">
        <v>130</v>
      </c>
      <c r="B41" s="167"/>
      <c r="C41" s="167"/>
      <c r="D41" s="167"/>
      <c r="E41" s="166">
        <f>$B$37*(1+$B$38)^E39</f>
        <v>40.960000000000008</v>
      </c>
      <c r="F41" s="166">
        <f t="shared" ref="F41" si="6">$B$37*(1+$B$38)^F39</f>
        <v>65.536000000000016</v>
      </c>
      <c r="G41" s="166">
        <f>$B$37*(1+$B$38)^G39</f>
        <v>104.85760000000005</v>
      </c>
    </row>
    <row r="42" spans="1:7" x14ac:dyDescent="0.2">
      <c r="A42" s="165" t="s">
        <v>113</v>
      </c>
      <c r="B42" s="167"/>
      <c r="C42" s="168"/>
      <c r="D42" s="168"/>
      <c r="E42" s="168">
        <f>E41/E33</f>
        <v>0.13538963467123205</v>
      </c>
      <c r="F42" s="168">
        <f>F41/F33</f>
        <v>0.13619476213453358</v>
      </c>
      <c r="G42" s="168">
        <f>G41/G33</f>
        <v>0.13700467748454254</v>
      </c>
    </row>
    <row r="43" spans="1:7" x14ac:dyDescent="0.2">
      <c r="A43" s="165" t="s">
        <v>132</v>
      </c>
      <c r="B43" s="167"/>
      <c r="C43" s="167"/>
      <c r="D43" s="167"/>
      <c r="E43" s="166">
        <f>($B$37/E42)</f>
        <v>118.17743683889061</v>
      </c>
      <c r="F43" s="166">
        <f>($B$37/F42)</f>
        <v>117.47882039835831</v>
      </c>
      <c r="G43" s="166">
        <f>($B$37/G42)</f>
        <v>116.78433389111981</v>
      </c>
    </row>
    <row r="44" spans="1:7" x14ac:dyDescent="0.2">
      <c r="A44" s="165" t="s">
        <v>153</v>
      </c>
      <c r="B44" s="167"/>
      <c r="C44" s="167"/>
      <c r="D44" s="167"/>
      <c r="E44" s="166">
        <f>E43/('Exhibit 6'!$C$8/1000000)</f>
        <v>9.1257370392411037</v>
      </c>
      <c r="F44" s="166">
        <f>F43/('Exhibit 6'!$C$8/1000000)</f>
        <v>9.0717894321671757</v>
      </c>
      <c r="G44" s="166">
        <f>G43/('Exhibit 6'!$C$8/1000000)</f>
        <v>9.0181607411760218</v>
      </c>
    </row>
    <row r="45" spans="1:7" x14ac:dyDescent="0.2">
      <c r="A45" s="165" t="s">
        <v>133</v>
      </c>
      <c r="B45" s="167"/>
      <c r="C45" s="167"/>
      <c r="D45" s="167"/>
      <c r="E45" s="166">
        <f>E43+$B$37</f>
        <v>134.17743683889063</v>
      </c>
      <c r="F45" s="166">
        <f t="shared" ref="F45:G45" si="7">F43+$B$37</f>
        <v>133.47882039835832</v>
      </c>
      <c r="G45" s="166">
        <f t="shared" si="7"/>
        <v>132.78433389111981</v>
      </c>
    </row>
    <row r="46" spans="1:7" x14ac:dyDescent="0.2">
      <c r="A46" s="165" t="s">
        <v>134</v>
      </c>
      <c r="B46" s="167"/>
      <c r="C46" s="167"/>
      <c r="D46" s="167"/>
      <c r="E46" s="166">
        <f>E45/(('Exhibit 6'!$C$8/1000000)+2)</f>
        <v>8.9751358195088731</v>
      </c>
      <c r="F46" s="166">
        <f>F45/(('Exhibit 6'!$C$8/1000000)+2)</f>
        <v>8.9284053289939287</v>
      </c>
      <c r="G46" s="166">
        <f>G45/(('Exhibit 6'!$C$8/1000000)+2)</f>
        <v>8.8819510899345993</v>
      </c>
    </row>
    <row r="47" spans="1:7" x14ac:dyDescent="0.2">
      <c r="A47" s="165"/>
      <c r="B47" s="167"/>
      <c r="C47" s="167"/>
      <c r="D47" s="167"/>
      <c r="E47" s="166"/>
      <c r="F47" s="166"/>
      <c r="G47" s="166"/>
    </row>
    <row r="48" spans="1:7" x14ac:dyDescent="0.2">
      <c r="A48" s="165" t="s">
        <v>114</v>
      </c>
      <c r="B48" s="167"/>
      <c r="C48" s="168"/>
      <c r="D48" s="168"/>
      <c r="E48" s="175"/>
      <c r="F48" s="175"/>
      <c r="G48" s="175"/>
    </row>
    <row r="49" spans="1:8" x14ac:dyDescent="0.2">
      <c r="A49" s="165" t="s">
        <v>130</v>
      </c>
      <c r="B49" s="167"/>
      <c r="C49" s="167"/>
      <c r="D49" s="167"/>
      <c r="E49" s="166">
        <f>$B$37*(1+$B$38)^E39</f>
        <v>40.960000000000008</v>
      </c>
      <c r="F49" s="166">
        <f>$B$37*(1+$B$38)^F39</f>
        <v>65.536000000000016</v>
      </c>
      <c r="G49" s="166">
        <f>$B$37*(1+$B$38)^G39</f>
        <v>104.85760000000005</v>
      </c>
    </row>
    <row r="50" spans="1:8" x14ac:dyDescent="0.2">
      <c r="A50" s="165" t="s">
        <v>113</v>
      </c>
      <c r="B50" s="167"/>
      <c r="C50" s="167"/>
      <c r="D50" s="167"/>
      <c r="E50" s="168">
        <f>E49/E34</f>
        <v>7.6018761635890761E-2</v>
      </c>
      <c r="F50" s="168">
        <f>F49/F34</f>
        <v>3.8235412865627066E-2</v>
      </c>
      <c r="G50" s="168">
        <f>G49/G34</f>
        <v>2.6224628909982815E-2</v>
      </c>
    </row>
    <row r="51" spans="1:8" x14ac:dyDescent="0.2">
      <c r="A51" s="165" t="s">
        <v>132</v>
      </c>
      <c r="B51" s="167"/>
      <c r="C51" s="167"/>
      <c r="D51" s="167"/>
      <c r="E51" s="166">
        <f>($B$37/E50)</f>
        <v>210.47435732557258</v>
      </c>
      <c r="F51" s="166">
        <f t="shared" ref="F51:G51" si="8">($B$37/F50)</f>
        <v>418.46023884271187</v>
      </c>
      <c r="G51" s="166">
        <f t="shared" si="8"/>
        <v>610.11349502487531</v>
      </c>
    </row>
    <row r="52" spans="1:8" x14ac:dyDescent="0.2">
      <c r="A52" s="165" t="s">
        <v>153</v>
      </c>
      <c r="B52" s="167"/>
      <c r="C52" s="167"/>
      <c r="D52" s="167"/>
      <c r="E52" s="166">
        <f>E51/('Exhibit 6'!$C$8/1000000)</f>
        <v>16.252964100710273</v>
      </c>
      <c r="F52" s="166">
        <f>F51/('Exhibit 6'!$C$8/1000000)</f>
        <v>32.313766512491434</v>
      </c>
      <c r="G52" s="166">
        <f>G51/('Exhibit 6'!$C$8/1000000)</f>
        <v>47.113353179928509</v>
      </c>
    </row>
    <row r="53" spans="1:8" x14ac:dyDescent="0.2">
      <c r="A53" s="165" t="s">
        <v>133</v>
      </c>
      <c r="B53" s="167"/>
      <c r="C53" s="167"/>
      <c r="D53" s="167"/>
      <c r="E53" s="166">
        <f>E51+$B$37</f>
        <v>226.47435732557258</v>
      </c>
      <c r="F53" s="166">
        <f t="shared" ref="F53:G53" si="9">F51+$B$37</f>
        <v>434.46023884271187</v>
      </c>
      <c r="G53" s="166">
        <f t="shared" si="9"/>
        <v>626.11349502487531</v>
      </c>
    </row>
    <row r="54" spans="1:8" x14ac:dyDescent="0.2">
      <c r="A54" s="165" t="s">
        <v>134</v>
      </c>
      <c r="B54" s="167"/>
      <c r="C54" s="167"/>
      <c r="D54" s="167"/>
      <c r="E54" s="166">
        <f>E53/(('Exhibit 6'!$C$8/1000000)+2)</f>
        <v>15.148881693675705</v>
      </c>
      <c r="F54" s="166">
        <f>F53/(('Exhibit 6'!$C$8/1000000)+2)</f>
        <v>29.061068266430027</v>
      </c>
      <c r="G54" s="166">
        <f>G53/(('Exhibit 6'!$C$8/1000000)+2)</f>
        <v>41.880764670017008</v>
      </c>
    </row>
    <row r="55" spans="1:8" x14ac:dyDescent="0.2">
      <c r="A55" s="180"/>
      <c r="B55" s="181"/>
      <c r="C55" s="181"/>
      <c r="D55" s="181"/>
      <c r="E55" s="178"/>
      <c r="F55" s="178"/>
      <c r="G55" s="178"/>
    </row>
    <row r="56" spans="1:8" x14ac:dyDescent="0.2">
      <c r="A56" s="182" t="s">
        <v>117</v>
      </c>
    </row>
    <row r="58" spans="1:8" x14ac:dyDescent="0.2">
      <c r="A58" s="170" t="str">
        <f>A4</f>
        <v>Projected Sales and income</v>
      </c>
    </row>
    <row r="60" spans="1:8" x14ac:dyDescent="0.2">
      <c r="A60" s="165"/>
      <c r="B60" s="167">
        <f t="shared" ref="B60:H61" si="10">B6</f>
        <v>1994</v>
      </c>
      <c r="C60" s="167">
        <f t="shared" si="10"/>
        <v>1995</v>
      </c>
      <c r="D60" s="167">
        <f t="shared" si="10"/>
        <v>1996</v>
      </c>
      <c r="E60" s="167">
        <f t="shared" si="10"/>
        <v>1997</v>
      </c>
      <c r="F60" s="167">
        <f t="shared" si="10"/>
        <v>1998</v>
      </c>
      <c r="G60" s="167">
        <f t="shared" si="10"/>
        <v>1999</v>
      </c>
      <c r="H60" s="167">
        <f t="shared" si="10"/>
        <v>2000</v>
      </c>
    </row>
    <row r="61" spans="1:8" x14ac:dyDescent="0.2">
      <c r="A61" s="165" t="str">
        <f>A7</f>
        <v>Revenue</v>
      </c>
      <c r="B61" s="166">
        <f t="shared" si="10"/>
        <v>14.2</v>
      </c>
      <c r="C61" s="166">
        <f t="shared" si="10"/>
        <v>32.5</v>
      </c>
      <c r="D61" s="166">
        <f t="shared" si="10"/>
        <v>51.692597369858291</v>
      </c>
      <c r="E61" s="166">
        <f t="shared" si="10"/>
        <v>82.219219164377861</v>
      </c>
      <c r="F61" s="166">
        <f t="shared" si="10"/>
        <v>130.77307668702528</v>
      </c>
      <c r="G61" s="166">
        <f t="shared" si="10"/>
        <v>208</v>
      </c>
      <c r="H61" s="166">
        <f t="shared" si="10"/>
        <v>218.4</v>
      </c>
    </row>
    <row r="62" spans="1:8" x14ac:dyDescent="0.2">
      <c r="A62" s="165"/>
      <c r="B62" s="167"/>
      <c r="C62" s="168">
        <f>(C61-B61)/C61</f>
        <v>0.56307692307692314</v>
      </c>
      <c r="D62" s="168">
        <f>(D61-C61)/D61</f>
        <v>0.37128328515853226</v>
      </c>
      <c r="E62" s="168">
        <f t="shared" ref="E62:H62" si="11">(E61-D61)/E61</f>
        <v>0.37128328515853232</v>
      </c>
      <c r="F62" s="168">
        <f t="shared" si="11"/>
        <v>0.37128328515853232</v>
      </c>
      <c r="G62" s="168">
        <f t="shared" si="11"/>
        <v>0.37128328515853232</v>
      </c>
      <c r="H62" s="168">
        <f t="shared" si="11"/>
        <v>4.7619047619047644E-2</v>
      </c>
    </row>
    <row r="63" spans="1:8" x14ac:dyDescent="0.2">
      <c r="A63" s="165" t="str">
        <f t="shared" ref="A63:H64" si="12">A9</f>
        <v>PAT as % of revenue</v>
      </c>
      <c r="B63" s="168">
        <f t="shared" si="12"/>
        <v>0</v>
      </c>
      <c r="C63" s="168">
        <f t="shared" si="12"/>
        <v>0</v>
      </c>
      <c r="D63" s="168">
        <f t="shared" si="12"/>
        <v>0</v>
      </c>
      <c r="E63" s="168">
        <f>E9</f>
        <v>7.4999999999999997E-2</v>
      </c>
      <c r="F63" s="168">
        <f t="shared" si="12"/>
        <v>0.15</v>
      </c>
      <c r="G63" s="168">
        <f t="shared" si="12"/>
        <v>0.22</v>
      </c>
      <c r="H63" s="168">
        <f t="shared" si="12"/>
        <v>0.22</v>
      </c>
    </row>
    <row r="64" spans="1:8" x14ac:dyDescent="0.2">
      <c r="A64" s="165" t="str">
        <f t="shared" si="12"/>
        <v>PAT</v>
      </c>
      <c r="B64" s="166">
        <f t="shared" si="12"/>
        <v>0</v>
      </c>
      <c r="C64" s="166">
        <f t="shared" si="12"/>
        <v>0</v>
      </c>
      <c r="D64" s="166">
        <f t="shared" si="12"/>
        <v>0</v>
      </c>
      <c r="E64" s="166">
        <f t="shared" si="12"/>
        <v>6.1664414373283396</v>
      </c>
      <c r="F64" s="166">
        <f t="shared" si="12"/>
        <v>19.615961503053793</v>
      </c>
      <c r="G64" s="166">
        <f t="shared" si="12"/>
        <v>45.76</v>
      </c>
      <c r="H64" s="166">
        <f t="shared" si="12"/>
        <v>48.048000000000002</v>
      </c>
    </row>
    <row r="65" spans="1:8" x14ac:dyDescent="0.2">
      <c r="A65" s="165" t="s">
        <v>118</v>
      </c>
      <c r="B65" s="166"/>
      <c r="C65" s="166">
        <v>1.5</v>
      </c>
      <c r="D65" s="166">
        <f>$C$65*(1+$B$15)</f>
        <v>2.3858121863011519</v>
      </c>
      <c r="E65" s="166">
        <f>$C$65*(1+$B$15)</f>
        <v>2.3858121863011519</v>
      </c>
      <c r="F65" s="166">
        <f>$C$65*(1+$B$15)</f>
        <v>2.3858121863011519</v>
      </c>
      <c r="G65" s="166">
        <f>$C$65*(1+$B$15)</f>
        <v>2.3858121863011519</v>
      </c>
      <c r="H65" s="166">
        <f>$C$65*(1+0.05)</f>
        <v>1.5750000000000002</v>
      </c>
    </row>
    <row r="66" spans="1:8" x14ac:dyDescent="0.2">
      <c r="A66" s="165" t="s">
        <v>119</v>
      </c>
      <c r="B66" s="166"/>
      <c r="C66" s="166">
        <v>0</v>
      </c>
      <c r="D66" s="166">
        <v>0</v>
      </c>
      <c r="E66" s="166">
        <v>0</v>
      </c>
      <c r="F66" s="166">
        <v>0</v>
      </c>
      <c r="G66" s="166">
        <v>0</v>
      </c>
      <c r="H66" s="166">
        <v>0</v>
      </c>
    </row>
    <row r="67" spans="1:8" x14ac:dyDescent="0.2">
      <c r="A67" s="165" t="s">
        <v>120</v>
      </c>
      <c r="B67" s="166">
        <f>B64-B65-B66</f>
        <v>0</v>
      </c>
      <c r="C67" s="166">
        <f t="shared" ref="C67:H67" si="13">C64-C65-C66</f>
        <v>-1.5</v>
      </c>
      <c r="D67" s="166">
        <f t="shared" si="13"/>
        <v>-2.3858121863011519</v>
      </c>
      <c r="E67" s="166">
        <f t="shared" si="13"/>
        <v>3.7806292510271877</v>
      </c>
      <c r="F67" s="166">
        <f t="shared" si="13"/>
        <v>17.230149316752641</v>
      </c>
      <c r="G67" s="166">
        <f t="shared" si="13"/>
        <v>43.374187813698846</v>
      </c>
      <c r="H67" s="166">
        <f t="shared" si="13"/>
        <v>46.472999999999999</v>
      </c>
    </row>
    <row r="69" spans="1:8" x14ac:dyDescent="0.2">
      <c r="A69" s="170" t="s">
        <v>121</v>
      </c>
      <c r="B69" s="171">
        <v>7.0999999999999994E-2</v>
      </c>
    </row>
    <row r="70" spans="1:8" x14ac:dyDescent="0.2">
      <c r="A70" s="170" t="s">
        <v>73</v>
      </c>
      <c r="B70" s="169">
        <f>$H$24</f>
        <v>1.71</v>
      </c>
    </row>
    <row r="71" spans="1:8" x14ac:dyDescent="0.2">
      <c r="A71" s="170" t="s">
        <v>122</v>
      </c>
      <c r="B71" s="171">
        <v>7.2999999999999995E-2</v>
      </c>
    </row>
    <row r="72" spans="1:8" x14ac:dyDescent="0.2">
      <c r="A72" s="170" t="s">
        <v>123</v>
      </c>
      <c r="B72" s="171">
        <f>B69+(B71*B70)</f>
        <v>0.19583</v>
      </c>
    </row>
    <row r="73" spans="1:8" x14ac:dyDescent="0.2">
      <c r="A73" s="183"/>
      <c r="B73" s="183"/>
      <c r="C73" s="183">
        <v>1</v>
      </c>
      <c r="D73" s="183">
        <v>2</v>
      </c>
      <c r="E73" s="183">
        <v>3</v>
      </c>
      <c r="F73" s="183">
        <v>4</v>
      </c>
      <c r="G73" s="183">
        <v>5</v>
      </c>
      <c r="H73" s="183" t="s">
        <v>128</v>
      </c>
    </row>
    <row r="74" spans="1:8" x14ac:dyDescent="0.2">
      <c r="A74" s="165" t="s">
        <v>127</v>
      </c>
      <c r="B74" s="167"/>
      <c r="C74" s="166">
        <f>C67/(1+$B$72)^C73</f>
        <v>-1.2543588971676576</v>
      </c>
      <c r="D74" s="166">
        <f t="shared" ref="D74:F74" si="14">D67/(1+$B$72)^D73</f>
        <v>-1.6683891761972138</v>
      </c>
      <c r="E74" s="166">
        <f t="shared" si="14"/>
        <v>2.2108320755227693</v>
      </c>
      <c r="F74" s="166">
        <f t="shared" si="14"/>
        <v>8.4258022711267841</v>
      </c>
      <c r="G74" s="166">
        <f>G67/(1+$B$72)^G73</f>
        <v>17.737162034009344</v>
      </c>
      <c r="H74" s="166"/>
    </row>
    <row r="75" spans="1:8" x14ac:dyDescent="0.2">
      <c r="A75" s="165" t="s">
        <v>124</v>
      </c>
      <c r="B75" s="167"/>
      <c r="C75" s="166">
        <f>SUM(C74:G74)</f>
        <v>25.451048307294027</v>
      </c>
      <c r="D75" s="166"/>
      <c r="E75" s="166"/>
      <c r="F75" s="166"/>
      <c r="G75" s="166">
        <f>SUM(C74:G74)</f>
        <v>25.451048307294027</v>
      </c>
      <c r="H75" s="166"/>
    </row>
    <row r="76" spans="1:8" x14ac:dyDescent="0.2">
      <c r="A76" s="165" t="s">
        <v>125</v>
      </c>
      <c r="B76" s="167"/>
      <c r="C76" s="166"/>
      <c r="D76" s="166"/>
      <c r="E76" s="166"/>
      <c r="F76" s="166"/>
      <c r="G76" s="166"/>
      <c r="H76" s="166">
        <f>(H67)/(B72-0.05)</f>
        <v>318.67928409792222</v>
      </c>
    </row>
    <row r="77" spans="1:8" x14ac:dyDescent="0.2">
      <c r="A77" s="165" t="s">
        <v>126</v>
      </c>
      <c r="B77" s="167"/>
      <c r="C77" s="166">
        <f>H76/(1+B72)^G73</f>
        <v>130.31866148607693</v>
      </c>
      <c r="D77" s="166"/>
      <c r="E77" s="166"/>
      <c r="F77" s="166"/>
      <c r="G77" s="166"/>
      <c r="H77" s="166"/>
    </row>
    <row r="78" spans="1:8" x14ac:dyDescent="0.2">
      <c r="A78" s="165" t="s">
        <v>137</v>
      </c>
      <c r="B78" s="167"/>
      <c r="C78" s="166">
        <f>C75+C77</f>
        <v>155.76970979337096</v>
      </c>
      <c r="D78" s="166"/>
      <c r="E78" s="166"/>
      <c r="F78" s="166"/>
      <c r="G78" s="166"/>
      <c r="H78" s="166"/>
    </row>
    <row r="79" spans="1:8" x14ac:dyDescent="0.2">
      <c r="A79" s="165" t="s">
        <v>138</v>
      </c>
      <c r="B79" s="167"/>
      <c r="C79" s="166">
        <f>C78/('Exhibit 6'!C8/1000000)</f>
        <v>12.028636330902399</v>
      </c>
      <c r="D79" s="167"/>
      <c r="E79" s="167"/>
      <c r="F79" s="167"/>
      <c r="G79" s="167"/>
      <c r="H79" s="167"/>
    </row>
    <row r="80" spans="1:8" x14ac:dyDescent="0.2">
      <c r="A80" s="165" t="s">
        <v>136</v>
      </c>
      <c r="B80" s="167"/>
      <c r="C80" s="166">
        <f>C78-$B$37</f>
        <v>139.76970979337096</v>
      </c>
      <c r="D80" s="167"/>
      <c r="E80" s="167"/>
      <c r="F80" s="167"/>
      <c r="G80" s="167"/>
      <c r="H80" s="167"/>
    </row>
    <row r="81" spans="1:8" x14ac:dyDescent="0.2">
      <c r="A81" s="165" t="s">
        <v>135</v>
      </c>
      <c r="B81" s="167"/>
      <c r="C81" s="166">
        <f>C80/(('Exhibit 6'!C8/1000000))</f>
        <v>10.793106127053814</v>
      </c>
      <c r="D81" s="167"/>
      <c r="E81" s="167"/>
      <c r="F81" s="167"/>
      <c r="G81" s="167"/>
      <c r="H81" s="167"/>
    </row>
  </sheetData>
  <mergeCells count="2">
    <mergeCell ref="B18:D18"/>
    <mergeCell ref="E18:G18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6"/>
  <sheetViews>
    <sheetView zoomScale="110" zoomScaleNormal="110" workbookViewId="0">
      <selection activeCell="K15" sqref="K15"/>
    </sheetView>
  </sheetViews>
  <sheetFormatPr defaultRowHeight="15.75" x14ac:dyDescent="0.2"/>
  <cols>
    <col min="1" max="1" width="23.7109375" style="47" bestFit="1" customWidth="1"/>
    <col min="2" max="5" width="9.42578125" style="47" bestFit="1" customWidth="1"/>
    <col min="6" max="7" width="10.140625" style="47" bestFit="1" customWidth="1"/>
    <col min="8" max="16384" width="9.140625" style="47"/>
  </cols>
  <sheetData>
    <row r="4" spans="1:13" x14ac:dyDescent="0.2">
      <c r="I4" s="53" t="s">
        <v>204</v>
      </c>
      <c r="J4" s="53" t="s">
        <v>205</v>
      </c>
      <c r="K4" s="53" t="s">
        <v>190</v>
      </c>
      <c r="L4" s="53" t="s">
        <v>206</v>
      </c>
      <c r="M4" s="53" t="s">
        <v>207</v>
      </c>
    </row>
    <row r="5" spans="1:13" x14ac:dyDescent="0.2">
      <c r="A5" s="54" t="s">
        <v>155</v>
      </c>
      <c r="B5" s="50"/>
      <c r="C5" s="50"/>
      <c r="D5" s="50"/>
      <c r="E5" s="50"/>
      <c r="F5" s="50"/>
      <c r="G5" s="50"/>
      <c r="I5" s="58" t="s">
        <v>198</v>
      </c>
      <c r="J5" s="53" t="s">
        <v>205</v>
      </c>
      <c r="K5" s="58" t="s">
        <v>199</v>
      </c>
      <c r="L5" s="53"/>
      <c r="M5" s="58">
        <v>7</v>
      </c>
    </row>
    <row r="6" spans="1:13" x14ac:dyDescent="0.2">
      <c r="A6" s="50" t="s">
        <v>195</v>
      </c>
      <c r="B6" s="51">
        <f>Valuation!B33</f>
        <v>52.250388992122943</v>
      </c>
      <c r="C6" s="51">
        <f>Valuation!C33</f>
        <v>119.58715790450674</v>
      </c>
      <c r="D6" s="51">
        <f>Valuation!D33</f>
        <v>190.20833243579486</v>
      </c>
      <c r="E6" s="51">
        <f>Valuation!E33</f>
        <v>302.53423830756003</v>
      </c>
      <c r="F6" s="51">
        <f>Valuation!F33</f>
        <v>481.19324835167572</v>
      </c>
      <c r="G6" s="51">
        <f>Valuation!G33</f>
        <v>765.35781058884311</v>
      </c>
      <c r="I6" s="53">
        <f>K9</f>
        <v>6.0869565217391299</v>
      </c>
      <c r="J6" s="53" t="s">
        <v>205</v>
      </c>
      <c r="K6" s="53">
        <f>M6-I6</f>
        <v>0.91304347826087007</v>
      </c>
      <c r="L6" s="53"/>
      <c r="M6" s="58">
        <v>7</v>
      </c>
    </row>
    <row r="7" spans="1:13" x14ac:dyDescent="0.2">
      <c r="A7" s="50" t="s">
        <v>194</v>
      </c>
      <c r="B7" s="51"/>
      <c r="C7" s="51"/>
      <c r="D7" s="51"/>
      <c r="E7" s="51">
        <f>Valuation!E44</f>
        <v>9.1257370392411037</v>
      </c>
      <c r="F7" s="51">
        <f>Valuation!F44</f>
        <v>9.0717894321671757</v>
      </c>
      <c r="G7" s="51">
        <f>Valuation!G44</f>
        <v>9.0181607411760218</v>
      </c>
    </row>
    <row r="8" spans="1:13" x14ac:dyDescent="0.2">
      <c r="A8" s="50" t="s">
        <v>193</v>
      </c>
      <c r="B8" s="51"/>
      <c r="C8" s="51"/>
      <c r="D8" s="51"/>
      <c r="E8" s="51">
        <f>Valuation!E46</f>
        <v>8.9751358195088731</v>
      </c>
      <c r="F8" s="51">
        <f>Valuation!F46</f>
        <v>8.9284053289939287</v>
      </c>
      <c r="G8" s="51">
        <f>Valuation!G46</f>
        <v>8.8819510899345993</v>
      </c>
    </row>
    <row r="9" spans="1:13" x14ac:dyDescent="0.2">
      <c r="A9" s="128"/>
      <c r="B9" s="75"/>
      <c r="C9" s="75"/>
      <c r="D9" s="75"/>
      <c r="E9" s="75"/>
      <c r="F9" s="75"/>
      <c r="G9" s="75"/>
      <c r="J9" s="47" t="s">
        <v>200</v>
      </c>
      <c r="K9" s="48">
        <f>(2.5/2.875)*7</f>
        <v>6.0869565217391299</v>
      </c>
      <c r="L9" s="47">
        <f>(2.22/(2.22+0.333))*7</f>
        <v>6.0869565217391299</v>
      </c>
    </row>
    <row r="10" spans="1:13" x14ac:dyDescent="0.2">
      <c r="A10" s="50" t="s">
        <v>196</v>
      </c>
      <c r="B10" s="51"/>
      <c r="C10" s="51"/>
      <c r="D10" s="51"/>
      <c r="E10" s="51">
        <f>Valuation!E34</f>
        <v>538.81435475346586</v>
      </c>
      <c r="F10" s="51">
        <f>Valuation!F34</f>
        <v>1714.0131382997481</v>
      </c>
      <c r="G10" s="51">
        <f>Valuation!G34</f>
        <v>3998.4398009950241</v>
      </c>
    </row>
    <row r="11" spans="1:13" x14ac:dyDescent="0.2">
      <c r="A11" s="50" t="s">
        <v>194</v>
      </c>
      <c r="B11" s="51"/>
      <c r="C11" s="51"/>
      <c r="D11" s="51"/>
      <c r="E11" s="51">
        <f>Valuation!E52</f>
        <v>16.252964100710273</v>
      </c>
      <c r="F11" s="51">
        <f>Valuation!F52</f>
        <v>32.313766512491434</v>
      </c>
      <c r="G11" s="51">
        <f>Valuation!G52</f>
        <v>47.113353179928509</v>
      </c>
    </row>
    <row r="12" spans="1:13" x14ac:dyDescent="0.2">
      <c r="A12" s="50" t="s">
        <v>193</v>
      </c>
      <c r="B12" s="51"/>
      <c r="C12" s="51"/>
      <c r="D12" s="51"/>
      <c r="E12" s="51">
        <f>Valuation!E54</f>
        <v>15.148881693675705</v>
      </c>
      <c r="F12" s="51">
        <f>Valuation!F54</f>
        <v>29.061068266430027</v>
      </c>
      <c r="G12" s="51">
        <f>Valuation!G54</f>
        <v>41.880764670017008</v>
      </c>
    </row>
    <row r="13" spans="1:13" x14ac:dyDescent="0.2">
      <c r="A13" s="128"/>
      <c r="B13" s="128"/>
      <c r="C13" s="128"/>
      <c r="D13" s="128"/>
      <c r="E13" s="128"/>
      <c r="F13" s="128"/>
      <c r="G13" s="128"/>
    </row>
    <row r="14" spans="1:13" x14ac:dyDescent="0.2">
      <c r="A14" s="50" t="s">
        <v>197</v>
      </c>
      <c r="B14" s="50"/>
      <c r="C14" s="50"/>
      <c r="D14" s="50"/>
      <c r="E14" s="50"/>
      <c r="F14" s="50"/>
      <c r="G14" s="51">
        <f>Valuation!$C$80</f>
        <v>139.76970979337096</v>
      </c>
    </row>
    <row r="15" spans="1:13" x14ac:dyDescent="0.2">
      <c r="A15" s="50" t="s">
        <v>194</v>
      </c>
      <c r="B15" s="50"/>
      <c r="C15" s="50"/>
      <c r="D15" s="50"/>
      <c r="E15" s="50"/>
      <c r="F15" s="50"/>
      <c r="G15" s="51">
        <f>Valuation!$C$79</f>
        <v>12.028636330902399</v>
      </c>
    </row>
    <row r="16" spans="1:13" x14ac:dyDescent="0.2">
      <c r="A16" s="50" t="s">
        <v>193</v>
      </c>
      <c r="B16" s="50"/>
      <c r="C16" s="50"/>
      <c r="D16" s="50"/>
      <c r="E16" s="50"/>
      <c r="F16" s="50"/>
      <c r="G16" s="51">
        <f>Valuation!$C$81</f>
        <v>10.793106127053814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F5" sqref="F5"/>
    </sheetView>
  </sheetViews>
  <sheetFormatPr defaultRowHeight="15.75" x14ac:dyDescent="0.2"/>
  <cols>
    <col min="1" max="1" width="19.5703125" style="104" customWidth="1"/>
    <col min="2" max="2" width="18.140625" style="104" customWidth="1"/>
    <col min="4" max="4" width="22.42578125" style="104" customWidth="1"/>
    <col min="5" max="5" width="18.140625" style="104" customWidth="1"/>
  </cols>
  <sheetData>
    <row r="1" spans="1:6" x14ac:dyDescent="0.2">
      <c r="A1" s="103"/>
      <c r="D1" s="103"/>
    </row>
    <row r="2" spans="1:6" x14ac:dyDescent="0.2">
      <c r="A2" s="105" t="s">
        <v>188</v>
      </c>
      <c r="D2" s="105" t="s">
        <v>201</v>
      </c>
    </row>
    <row r="3" spans="1:6" x14ac:dyDescent="0.2">
      <c r="A3" s="106" t="s">
        <v>160</v>
      </c>
      <c r="B3" s="106">
        <v>2220000</v>
      </c>
      <c r="D3" s="106" t="s">
        <v>160</v>
      </c>
      <c r="E3" s="106">
        <v>2000000</v>
      </c>
    </row>
    <row r="4" spans="1:6" x14ac:dyDescent="0.2">
      <c r="A4" s="106" t="s">
        <v>161</v>
      </c>
      <c r="B4" s="106">
        <f>B3*0.15</f>
        <v>333000</v>
      </c>
      <c r="D4" s="106" t="s">
        <v>161</v>
      </c>
      <c r="E4" s="106">
        <f>E3*0.7</f>
        <v>1400000</v>
      </c>
    </row>
    <row r="5" spans="1:6" x14ac:dyDescent="0.25">
      <c r="A5" s="129" t="s">
        <v>211</v>
      </c>
      <c r="B5" s="130">
        <v>6.56</v>
      </c>
      <c r="C5" s="131"/>
      <c r="D5" s="129" t="s">
        <v>211</v>
      </c>
      <c r="E5" s="130">
        <v>5.93</v>
      </c>
      <c r="F5" s="187" t="s">
        <v>210</v>
      </c>
    </row>
    <row r="6" spans="1:6" x14ac:dyDescent="0.2">
      <c r="A6" s="107" t="s">
        <v>139</v>
      </c>
      <c r="B6" s="108">
        <v>7</v>
      </c>
      <c r="D6" s="107" t="s">
        <v>139</v>
      </c>
      <c r="E6" s="108">
        <v>10</v>
      </c>
    </row>
    <row r="7" spans="1:6" x14ac:dyDescent="0.2">
      <c r="A7" s="107" t="s">
        <v>162</v>
      </c>
      <c r="B7" s="109">
        <v>7.0999999999999994E-2</v>
      </c>
      <c r="D7" s="107" t="s">
        <v>162</v>
      </c>
      <c r="E7" s="109">
        <v>7.0999999999999994E-2</v>
      </c>
    </row>
    <row r="8" spans="1:6" x14ac:dyDescent="0.2">
      <c r="A8" s="107" t="s">
        <v>163</v>
      </c>
      <c r="B8" s="110">
        <v>5</v>
      </c>
      <c r="D8" s="107" t="s">
        <v>163</v>
      </c>
      <c r="E8" s="110">
        <v>10</v>
      </c>
    </row>
    <row r="9" spans="1:6" x14ac:dyDescent="0.2">
      <c r="A9" s="107" t="s">
        <v>164</v>
      </c>
      <c r="B9" s="109">
        <v>0.42499999999999999</v>
      </c>
      <c r="D9" s="107" t="s">
        <v>164</v>
      </c>
      <c r="E9" s="109">
        <v>0.42499999999999999</v>
      </c>
    </row>
    <row r="10" spans="1:6" x14ac:dyDescent="0.2">
      <c r="A10" s="107" t="s">
        <v>165</v>
      </c>
      <c r="B10" s="109"/>
      <c r="D10" s="107" t="s">
        <v>165</v>
      </c>
      <c r="E10" s="109"/>
    </row>
    <row r="12" spans="1:6" x14ac:dyDescent="0.2">
      <c r="A12" s="111"/>
      <c r="B12" s="111"/>
      <c r="D12" s="111"/>
      <c r="E12" s="111"/>
    </row>
    <row r="13" spans="1:6" hidden="1" x14ac:dyDescent="0.2">
      <c r="A13" s="112" t="s">
        <v>166</v>
      </c>
      <c r="D13" s="112" t="s">
        <v>166</v>
      </c>
    </row>
    <row r="14" spans="1:6" hidden="1" x14ac:dyDescent="0.2"/>
    <row r="15" spans="1:6" hidden="1" x14ac:dyDescent="0.2"/>
    <row r="16" spans="1:6" ht="18.75" hidden="1" x14ac:dyDescent="0.2">
      <c r="A16" s="104" t="s">
        <v>167</v>
      </c>
      <c r="B16" s="113">
        <f>((((LN($B$5/$B$6))+(($B$7+(POWER($B$9,2)/2))*($B$8/12))))/($B$9*SQRT(($B$8/12))))</f>
        <v>8.3619827092929512E-3</v>
      </c>
      <c r="D16" s="104" t="s">
        <v>167</v>
      </c>
      <c r="E16" s="113">
        <f>((((LN($B$5/$B$6))+(($B$7+(POWER($B$9,2)/2))*($B$8/12))))/($B$9*SQRT(($B$8/12))))</f>
        <v>8.3619827092929512E-3</v>
      </c>
    </row>
    <row r="17" spans="1:5" ht="18.75" hidden="1" x14ac:dyDescent="0.2">
      <c r="A17" s="104" t="s">
        <v>168</v>
      </c>
      <c r="B17" s="114">
        <f>$B$16-$B$9*SQRT($B$8/12)</f>
        <v>-0.26597433764706574</v>
      </c>
      <c r="D17" s="104" t="s">
        <v>168</v>
      </c>
      <c r="E17" s="114">
        <f>$B$16-$B$9*SQRT($B$8/12)</f>
        <v>-0.26597433764706574</v>
      </c>
    </row>
    <row r="18" spans="1:5" ht="18.75" hidden="1" x14ac:dyDescent="0.2">
      <c r="A18" s="104" t="s">
        <v>169</v>
      </c>
      <c r="B18" s="113">
        <f>NORMSDIST(B16)</f>
        <v>0.50333590957467944</v>
      </c>
      <c r="D18" s="104" t="s">
        <v>169</v>
      </c>
      <c r="E18" s="113">
        <f>NORMSDIST(E16)</f>
        <v>0.50333590957467944</v>
      </c>
    </row>
    <row r="19" spans="1:5" ht="18.75" hidden="1" x14ac:dyDescent="0.2">
      <c r="A19" s="104" t="s">
        <v>170</v>
      </c>
      <c r="B19" s="113">
        <f>NORMSDIST(B17)</f>
        <v>0.39512948648177681</v>
      </c>
      <c r="D19" s="104" t="s">
        <v>170</v>
      </c>
      <c r="E19" s="113">
        <f>NORMSDIST(E17)</f>
        <v>0.39512948648177681</v>
      </c>
    </row>
    <row r="20" spans="1:5" hidden="1" x14ac:dyDescent="0.2"/>
    <row r="21" spans="1:5" hidden="1" x14ac:dyDescent="0.2">
      <c r="A21" s="104" t="s">
        <v>171</v>
      </c>
      <c r="B21" s="115">
        <f>($B$5*$B$18)-(($B$6*EXP(-$B$7*($B$8/12))*$B$19))</f>
        <v>0.61660341583829803</v>
      </c>
      <c r="D21" s="104" t="s">
        <v>171</v>
      </c>
      <c r="E21" s="115">
        <f>($B$5*$B$18)-(($B$6*EXP(-$B$7*($B$8/12))*$B$19))</f>
        <v>0.61660341583829803</v>
      </c>
    </row>
    <row r="22" spans="1:5" hidden="1" x14ac:dyDescent="0.2">
      <c r="A22" s="104" t="s">
        <v>172</v>
      </c>
      <c r="B22" s="115">
        <f>($B$6*EXP(-$B$7*($B$8/12)))+$B$21-$B$5</f>
        <v>0.852553206579727</v>
      </c>
      <c r="D22" s="104" t="s">
        <v>172</v>
      </c>
      <c r="E22" s="115">
        <f>($B$6*EXP(-$B$7*($B$8/12)))+$B$21-$B$5</f>
        <v>0.852553206579727</v>
      </c>
    </row>
    <row r="23" spans="1:5" hidden="1" x14ac:dyDescent="0.2"/>
    <row r="24" spans="1:5" hidden="1" x14ac:dyDescent="0.2"/>
    <row r="26" spans="1:5" x14ac:dyDescent="0.2">
      <c r="A26" s="116" t="s">
        <v>173</v>
      </c>
      <c r="B26" s="116"/>
      <c r="D26" s="116" t="s">
        <v>173</v>
      </c>
      <c r="E26" s="116"/>
    </row>
    <row r="28" spans="1:5" x14ac:dyDescent="0.2">
      <c r="A28" s="107" t="s">
        <v>174</v>
      </c>
      <c r="B28" s="117">
        <f>LN(B5/B6)</f>
        <v>-6.4919546099315731E-2</v>
      </c>
      <c r="D28" s="107" t="s">
        <v>174</v>
      </c>
      <c r="E28" s="117">
        <f>LN(E5/E6)</f>
        <v>-0.5225608799844117</v>
      </c>
    </row>
    <row r="29" spans="1:5" x14ac:dyDescent="0.2">
      <c r="A29" s="107" t="s">
        <v>175</v>
      </c>
      <c r="B29" s="117">
        <f>(B7-B10)+((B9^2)/2)</f>
        <v>0.16131249999999997</v>
      </c>
      <c r="D29" s="107" t="s">
        <v>175</v>
      </c>
      <c r="E29" s="117">
        <f>(E7-E10)+((E9^2)/2)</f>
        <v>0.16131249999999997</v>
      </c>
    </row>
    <row r="30" spans="1:5" x14ac:dyDescent="0.2">
      <c r="A30" s="107" t="s">
        <v>176</v>
      </c>
      <c r="B30" s="117">
        <f>B8</f>
        <v>5</v>
      </c>
      <c r="D30" s="107" t="s">
        <v>176</v>
      </c>
      <c r="E30" s="117">
        <f>E8</f>
        <v>10</v>
      </c>
    </row>
    <row r="31" spans="1:5" x14ac:dyDescent="0.2">
      <c r="A31" s="107" t="s">
        <v>177</v>
      </c>
      <c r="B31" s="117">
        <f>B9*SQRT(B30)</f>
        <v>0.95032889043741064</v>
      </c>
      <c r="D31" s="107" t="s">
        <v>177</v>
      </c>
      <c r="E31" s="117">
        <f>E9*SQRT(E30)</f>
        <v>1.3439680055715613</v>
      </c>
    </row>
    <row r="32" spans="1:5" x14ac:dyDescent="0.2">
      <c r="A32" s="107" t="s">
        <v>178</v>
      </c>
      <c r="B32" s="117">
        <f>(B28+(B29*B30))/B31</f>
        <v>0.7804066164497282</v>
      </c>
      <c r="D32" s="107" t="s">
        <v>178</v>
      </c>
      <c r="E32" s="117">
        <f>(E28+(E29*E30))/E31</f>
        <v>0.81145095381328969</v>
      </c>
    </row>
    <row r="33" spans="1:5" x14ac:dyDescent="0.2">
      <c r="B33" s="118"/>
      <c r="E33" s="118"/>
    </row>
    <row r="34" spans="1:5" x14ac:dyDescent="0.2">
      <c r="A34" s="116" t="s">
        <v>179</v>
      </c>
      <c r="B34" s="119">
        <f>B32-B31</f>
        <v>-0.16992227398768245</v>
      </c>
      <c r="D34" s="116" t="s">
        <v>179</v>
      </c>
      <c r="E34" s="119">
        <f>E32-E31</f>
        <v>-0.53251705175827158</v>
      </c>
    </row>
    <row r="35" spans="1:5" x14ac:dyDescent="0.2">
      <c r="B35" s="118"/>
      <c r="E35" s="118"/>
    </row>
    <row r="36" spans="1:5" x14ac:dyDescent="0.2">
      <c r="A36" s="107" t="s">
        <v>180</v>
      </c>
      <c r="B36" s="120">
        <f>NORMSDIST(B32)</f>
        <v>0.78242421270212381</v>
      </c>
      <c r="D36" s="107" t="s">
        <v>180</v>
      </c>
      <c r="E36" s="120">
        <f>NORMSDIST(E32)</f>
        <v>0.79144662605486049</v>
      </c>
    </row>
    <row r="37" spans="1:5" x14ac:dyDescent="0.2">
      <c r="A37" s="107" t="s">
        <v>181</v>
      </c>
      <c r="B37" s="120">
        <f>NORMSDIST(B34)</f>
        <v>0.43253563187282956</v>
      </c>
      <c r="D37" s="107" t="s">
        <v>181</v>
      </c>
      <c r="E37" s="120">
        <f>NORMSDIST(E34)</f>
        <v>0.29718396748666998</v>
      </c>
    </row>
    <row r="39" spans="1:5" x14ac:dyDescent="0.2">
      <c r="A39" s="116" t="s">
        <v>182</v>
      </c>
      <c r="B39" s="116"/>
      <c r="D39" s="116" t="s">
        <v>182</v>
      </c>
      <c r="E39" s="116"/>
    </row>
    <row r="40" spans="1:5" x14ac:dyDescent="0.2">
      <c r="A40" s="107" t="s">
        <v>183</v>
      </c>
      <c r="B40" s="120">
        <f>(B5*(EXP(-B10*B8)))*B36</f>
        <v>5.1327028353259321</v>
      </c>
      <c r="D40" s="107" t="s">
        <v>183</v>
      </c>
      <c r="E40" s="120">
        <f>(E5*(EXP(-E10*E8)))*E36</f>
        <v>4.6932784925053221</v>
      </c>
    </row>
    <row r="41" spans="1:5" x14ac:dyDescent="0.2">
      <c r="A41" s="107" t="s">
        <v>184</v>
      </c>
      <c r="B41" s="120">
        <f>1/(EXP(B7*B30))</f>
        <v>0.70117344320857233</v>
      </c>
      <c r="D41" s="107" t="s">
        <v>184</v>
      </c>
      <c r="E41" s="120">
        <f>1/(EXP(E7*E30))</f>
        <v>0.4916441974609651</v>
      </c>
    </row>
    <row r="42" spans="1:5" x14ac:dyDescent="0.2">
      <c r="A42" s="107" t="s">
        <v>185</v>
      </c>
      <c r="B42" s="120">
        <f>B6*B41</f>
        <v>4.9082141024600059</v>
      </c>
      <c r="D42" s="107" t="s">
        <v>185</v>
      </c>
      <c r="E42" s="120">
        <f>E6*E41</f>
        <v>4.9164419746096506</v>
      </c>
    </row>
    <row r="43" spans="1:5" x14ac:dyDescent="0.2">
      <c r="A43" s="107" t="s">
        <v>186</v>
      </c>
      <c r="B43" s="120">
        <f>B37</f>
        <v>0.43253563187282956</v>
      </c>
      <c r="D43" s="107" t="s">
        <v>186</v>
      </c>
      <c r="E43" s="120">
        <f>E37</f>
        <v>0.29718396748666998</v>
      </c>
    </row>
    <row r="44" spans="1:5" x14ac:dyDescent="0.2">
      <c r="A44" s="107" t="s">
        <v>187</v>
      </c>
      <c r="B44" s="120">
        <f>B42*B43</f>
        <v>2.1229774881746715</v>
      </c>
      <c r="D44" s="107" t="s">
        <v>187</v>
      </c>
      <c r="E44" s="120">
        <f>E42*E43</f>
        <v>1.461087731932494</v>
      </c>
    </row>
    <row r="45" spans="1:5" x14ac:dyDescent="0.2">
      <c r="A45" s="121" t="s">
        <v>182</v>
      </c>
      <c r="B45" s="122">
        <f>B40-B44</f>
        <v>3.0097253471512606</v>
      </c>
      <c r="D45" s="121" t="s">
        <v>182</v>
      </c>
      <c r="E45" s="122">
        <f>E40-E44</f>
        <v>3.2321907605728279</v>
      </c>
    </row>
    <row r="46" spans="1:5" ht="16.5" thickBot="1" x14ac:dyDescent="0.25"/>
    <row r="47" spans="1:5" x14ac:dyDescent="0.2">
      <c r="A47" s="123" t="s">
        <v>189</v>
      </c>
      <c r="B47" s="124">
        <f>('Dilution effect'!C11-'Dilution effect'!C6)/'Dilution effect'!C11</f>
        <v>0.9736298322144622</v>
      </c>
      <c r="D47" s="123" t="s">
        <v>189</v>
      </c>
      <c r="E47" s="124">
        <f>('Dilution effect'!K11-'Dilution effect'!K8)/'Dilution effect'!K11</f>
        <v>0.91577417827498531</v>
      </c>
    </row>
    <row r="48" spans="1:5" ht="16.5" thickBot="1" x14ac:dyDescent="0.25">
      <c r="A48" s="125" t="s">
        <v>190</v>
      </c>
      <c r="B48" s="126">
        <f>B45*B47</f>
        <v>2.9303583847584957</v>
      </c>
      <c r="D48" s="125" t="s">
        <v>190</v>
      </c>
      <c r="E48" s="126">
        <f>E45*E47</f>
        <v>2.9599568377915815</v>
      </c>
    </row>
    <row r="49" spans="1:5" ht="16.5" thickBot="1" x14ac:dyDescent="0.25">
      <c r="A49" s="125" t="s">
        <v>192</v>
      </c>
      <c r="B49" s="126">
        <f>B48*0.15</f>
        <v>0.43955375771377436</v>
      </c>
      <c r="D49" s="125" t="s">
        <v>191</v>
      </c>
      <c r="E49" s="126">
        <f>E48*0.7</f>
        <v>2.0719697864541069</v>
      </c>
    </row>
    <row r="50" spans="1:5" x14ac:dyDescent="0.2">
      <c r="E50" s="118"/>
    </row>
    <row r="51" spans="1:5" x14ac:dyDescent="0.2">
      <c r="B51" s="127">
        <f>B5+B49</f>
        <v>6.9995537577137741</v>
      </c>
      <c r="E51" s="127">
        <f>E5+E49</f>
        <v>8.0019697864541062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N4" sqref="N4"/>
    </sheetView>
  </sheetViews>
  <sheetFormatPr defaultRowHeight="15.75" x14ac:dyDescent="0.2"/>
  <cols>
    <col min="1" max="1" width="26" style="48" customWidth="1"/>
    <col min="2" max="2" width="25.42578125" style="48" customWidth="1"/>
    <col min="3" max="3" width="17.5703125" style="48" bestFit="1" customWidth="1"/>
    <col min="4" max="4" width="18.42578125" style="48" customWidth="1"/>
    <col min="5" max="5" width="14.28515625" style="48" customWidth="1"/>
    <col min="6" max="6" width="19.7109375" style="48" customWidth="1"/>
    <col min="7" max="7" width="13.42578125" style="48" bestFit="1" customWidth="1"/>
    <col min="8" max="8" width="17.140625" style="48" bestFit="1" customWidth="1"/>
    <col min="9" max="9" width="14.7109375" style="48" bestFit="1" customWidth="1"/>
    <col min="10" max="14" width="20.28515625" style="48" customWidth="1"/>
    <col min="15" max="15" width="14.7109375" customWidth="1"/>
    <col min="16" max="16" width="20.28515625" customWidth="1"/>
    <col min="17" max="19" width="20.28515625" style="48" customWidth="1"/>
    <col min="20" max="20" width="11.42578125" style="48" bestFit="1" customWidth="1"/>
    <col min="21" max="16384" width="9.140625" style="48"/>
  </cols>
  <sheetData>
    <row r="1" spans="1:20" ht="12.75" customHeight="1" x14ac:dyDescent="0.2">
      <c r="A1" s="154" t="s">
        <v>149</v>
      </c>
      <c r="B1" s="154"/>
      <c r="C1" s="154"/>
      <c r="D1" s="154"/>
      <c r="E1" s="69"/>
      <c r="F1" s="69"/>
      <c r="G1" s="56"/>
    </row>
    <row r="2" spans="1:20" x14ac:dyDescent="0.2">
      <c r="A2" s="155"/>
      <c r="B2" s="156"/>
      <c r="C2" s="157" t="s">
        <v>154</v>
      </c>
      <c r="D2" s="157"/>
      <c r="E2" s="157"/>
      <c r="F2" s="157"/>
      <c r="G2" s="157" t="s">
        <v>208</v>
      </c>
      <c r="H2" s="157"/>
      <c r="I2" s="157"/>
      <c r="J2" s="157"/>
      <c r="K2" s="157" t="s">
        <v>209</v>
      </c>
      <c r="L2" s="157"/>
      <c r="M2" s="157"/>
      <c r="N2" s="157"/>
      <c r="Q2" s="55"/>
      <c r="R2" s="55"/>
      <c r="S2" s="55"/>
    </row>
    <row r="3" spans="1:20" s="58" customFormat="1" ht="31.5" x14ac:dyDescent="0.2">
      <c r="A3" s="57" t="s">
        <v>1</v>
      </c>
      <c r="B3" s="71" t="s">
        <v>2</v>
      </c>
      <c r="C3" s="57" t="s">
        <v>3</v>
      </c>
      <c r="D3" s="57" t="s">
        <v>9</v>
      </c>
      <c r="E3" s="57" t="s">
        <v>150</v>
      </c>
      <c r="F3" s="57" t="s">
        <v>151</v>
      </c>
      <c r="G3" s="57" t="s">
        <v>3</v>
      </c>
      <c r="H3" s="57" t="s">
        <v>9</v>
      </c>
      <c r="I3" s="71" t="s">
        <v>150</v>
      </c>
      <c r="J3" s="71" t="s">
        <v>151</v>
      </c>
      <c r="K3" s="57" t="s">
        <v>3</v>
      </c>
      <c r="L3" s="57" t="s">
        <v>9</v>
      </c>
      <c r="M3" s="71" t="s">
        <v>150</v>
      </c>
      <c r="N3" s="71" t="s">
        <v>151</v>
      </c>
      <c r="O3"/>
      <c r="P3"/>
      <c r="Q3" s="66"/>
      <c r="R3" s="66"/>
      <c r="S3" s="66"/>
    </row>
    <row r="4" spans="1:20" ht="18.75" x14ac:dyDescent="0.2">
      <c r="A4" s="56" t="s">
        <v>140</v>
      </c>
      <c r="B4" s="74" t="s">
        <v>4</v>
      </c>
      <c r="C4" s="59">
        <v>7931060</v>
      </c>
      <c r="D4" s="65">
        <f>C4/$C$11</f>
        <v>0.62805820695846171</v>
      </c>
      <c r="E4" s="59">
        <f>C4*7</f>
        <v>55517420</v>
      </c>
      <c r="F4" s="65">
        <f>E4/$E$11</f>
        <v>0.62805820695846171</v>
      </c>
      <c r="G4" s="59">
        <v>8086099</v>
      </c>
      <c r="H4" s="65">
        <f>G4/$G$11</f>
        <v>0.53121200539674829</v>
      </c>
      <c r="I4" s="72">
        <f>G4*8</f>
        <v>64688792</v>
      </c>
      <c r="J4" s="67">
        <f>I4/$I$11</f>
        <v>0.53121200539674829</v>
      </c>
      <c r="K4" s="59">
        <v>8086099</v>
      </c>
      <c r="L4" s="65">
        <f>K4/$G$11</f>
        <v>0.53121200539674829</v>
      </c>
      <c r="M4" s="72">
        <f>K4*8</f>
        <v>64688792</v>
      </c>
      <c r="N4" s="67">
        <f>M4/$M$11</f>
        <v>0.53121200539674829</v>
      </c>
      <c r="Q4" s="67"/>
      <c r="R4" s="67"/>
      <c r="S4" s="67"/>
      <c r="T4" s="64">
        <f>G4+157677</f>
        <v>8243776</v>
      </c>
    </row>
    <row r="5" spans="1:20" x14ac:dyDescent="0.2">
      <c r="A5" s="56" t="s">
        <v>145</v>
      </c>
      <c r="B5" s="74" t="s">
        <v>147</v>
      </c>
      <c r="C5" s="59">
        <v>2220000</v>
      </c>
      <c r="D5" s="65">
        <f t="shared" ref="D5:D10" si="0">C5/$C$11</f>
        <v>0.17580111857025227</v>
      </c>
      <c r="E5" s="59">
        <f>C5*7</f>
        <v>15540000</v>
      </c>
      <c r="F5" s="65">
        <f t="shared" ref="F5:F10" si="1">E5/$E$11</f>
        <v>0.17580111857025227</v>
      </c>
      <c r="G5" s="59">
        <v>2220726</v>
      </c>
      <c r="H5" s="65">
        <f>G5/$G$11</f>
        <v>0.14588942231559363</v>
      </c>
      <c r="I5" s="72">
        <f>G5*8</f>
        <v>17765808</v>
      </c>
      <c r="J5" s="67">
        <f>I5/$I$11</f>
        <v>0.14588942231559363</v>
      </c>
      <c r="K5" s="59">
        <v>2220726</v>
      </c>
      <c r="L5" s="65">
        <f>K5/$G$11</f>
        <v>0.14588942231559363</v>
      </c>
      <c r="M5" s="72">
        <f>K5*8</f>
        <v>17765808</v>
      </c>
      <c r="N5" s="67">
        <f t="shared" ref="N5:N10" si="2">M5/$M$11</f>
        <v>0.14588942231559363</v>
      </c>
      <c r="Q5" s="72"/>
      <c r="R5" s="67"/>
      <c r="S5" s="67"/>
      <c r="T5" s="64">
        <f>C10+643600</f>
        <v>2787446</v>
      </c>
    </row>
    <row r="6" spans="1:20" x14ac:dyDescent="0.2">
      <c r="A6" s="56"/>
      <c r="B6" s="74" t="s">
        <v>148</v>
      </c>
      <c r="C6" s="59">
        <f>C5*0.15</f>
        <v>333000</v>
      </c>
      <c r="D6" s="65">
        <f>C6/$C$11</f>
        <v>2.637016778553784E-2</v>
      </c>
      <c r="E6" s="59">
        <f>C6*7</f>
        <v>2331000</v>
      </c>
      <c r="F6" s="65">
        <f t="shared" si="1"/>
        <v>2.637016778553784E-2</v>
      </c>
      <c r="G6" s="59">
        <f>G5*0.15</f>
        <v>333108.89999999997</v>
      </c>
      <c r="H6" s="65">
        <f t="shared" ref="H6:H10" si="3">G6/$G$11</f>
        <v>2.188341334733904E-2</v>
      </c>
      <c r="I6" s="72">
        <f t="shared" ref="I6" si="4">G6*8</f>
        <v>2664871.1999999997</v>
      </c>
      <c r="J6" s="67">
        <f t="shared" ref="J6:J10" si="5">I6/$I$11</f>
        <v>2.188341334733904E-2</v>
      </c>
      <c r="K6" s="59">
        <f>K5*0.15</f>
        <v>333108.89999999997</v>
      </c>
      <c r="L6" s="65">
        <f t="shared" ref="L6:L10" si="6">K6/$G$11</f>
        <v>2.188341334733904E-2</v>
      </c>
      <c r="M6" s="72">
        <f t="shared" ref="M6" si="7">K6*8</f>
        <v>2664871.1999999997</v>
      </c>
      <c r="N6" s="67">
        <f t="shared" si="2"/>
        <v>2.188341334733904E-2</v>
      </c>
      <c r="Q6" s="67"/>
      <c r="R6" s="67"/>
      <c r="S6" s="67"/>
    </row>
    <row r="7" spans="1:20" x14ac:dyDescent="0.2">
      <c r="A7" s="56" t="s">
        <v>146</v>
      </c>
      <c r="B7" s="74" t="s">
        <v>147</v>
      </c>
      <c r="C7" s="59"/>
      <c r="D7" s="65">
        <f t="shared" si="0"/>
        <v>0</v>
      </c>
      <c r="E7" s="65"/>
      <c r="F7" s="65">
        <f t="shared" si="1"/>
        <v>0</v>
      </c>
      <c r="G7" s="59">
        <v>2000000</v>
      </c>
      <c r="H7" s="65">
        <f t="shared" si="3"/>
        <v>0.13138894426020467</v>
      </c>
      <c r="I7" s="72">
        <f>G7*8</f>
        <v>16000000</v>
      </c>
      <c r="J7" s="67">
        <f t="shared" si="5"/>
        <v>0.13138894426020467</v>
      </c>
      <c r="K7" s="59">
        <v>2000000</v>
      </c>
      <c r="L7" s="65">
        <f t="shared" si="6"/>
        <v>0.13138894426020467</v>
      </c>
      <c r="M7" s="72">
        <f>K7*8</f>
        <v>16000000</v>
      </c>
      <c r="N7" s="67">
        <f t="shared" si="2"/>
        <v>0.13138894426020467</v>
      </c>
      <c r="Q7" s="67"/>
      <c r="R7" s="67"/>
      <c r="S7" s="67"/>
    </row>
    <row r="8" spans="1:20" x14ac:dyDescent="0.2">
      <c r="A8" s="56"/>
      <c r="B8" s="74" t="s">
        <v>148</v>
      </c>
      <c r="C8" s="59"/>
      <c r="D8" s="65">
        <f t="shared" si="0"/>
        <v>0</v>
      </c>
      <c r="E8" s="65"/>
      <c r="F8" s="65">
        <f t="shared" si="1"/>
        <v>0</v>
      </c>
      <c r="G8" s="59"/>
      <c r="H8" s="65">
        <f t="shared" si="3"/>
        <v>0</v>
      </c>
      <c r="I8" s="72">
        <f>G8*8</f>
        <v>0</v>
      </c>
      <c r="J8" s="67">
        <f t="shared" si="5"/>
        <v>0</v>
      </c>
      <c r="K8" s="59">
        <v>1400000</v>
      </c>
      <c r="L8" s="65">
        <f t="shared" si="6"/>
        <v>9.1972260982143256E-2</v>
      </c>
      <c r="M8" s="72">
        <v>0</v>
      </c>
      <c r="N8" s="67">
        <f>M8/$M$11</f>
        <v>0</v>
      </c>
      <c r="Q8" s="67"/>
      <c r="R8" s="67"/>
      <c r="S8" s="67"/>
    </row>
    <row r="9" spans="1:20" x14ac:dyDescent="0.2">
      <c r="A9" s="56"/>
      <c r="B9" s="74"/>
      <c r="C9" s="59"/>
      <c r="D9" s="65">
        <f t="shared" si="0"/>
        <v>0</v>
      </c>
      <c r="E9" s="65"/>
      <c r="F9" s="65">
        <f t="shared" si="1"/>
        <v>0</v>
      </c>
      <c r="G9" s="59"/>
      <c r="H9" s="65">
        <f t="shared" si="3"/>
        <v>0</v>
      </c>
      <c r="I9" s="67"/>
      <c r="J9" s="67">
        <f t="shared" si="5"/>
        <v>0</v>
      </c>
      <c r="K9" s="59"/>
      <c r="L9" s="65">
        <f t="shared" si="6"/>
        <v>0</v>
      </c>
      <c r="M9" s="67"/>
      <c r="N9" s="67">
        <f t="shared" si="2"/>
        <v>0</v>
      </c>
      <c r="Q9" s="67"/>
      <c r="R9" s="67"/>
      <c r="S9" s="67"/>
    </row>
    <row r="10" spans="1:20" ht="34.5" x14ac:dyDescent="0.2">
      <c r="A10" s="56" t="s">
        <v>141</v>
      </c>
      <c r="B10" s="74" t="s">
        <v>4</v>
      </c>
      <c r="C10" s="72">
        <v>2143846</v>
      </c>
      <c r="D10" s="65">
        <f t="shared" si="0"/>
        <v>0.16977050668574822</v>
      </c>
      <c r="E10" s="59">
        <f>C10*7</f>
        <v>15006922</v>
      </c>
      <c r="F10" s="65">
        <f t="shared" si="1"/>
        <v>0.16977050668574822</v>
      </c>
      <c r="G10" s="72">
        <v>2582047</v>
      </c>
      <c r="H10" s="65">
        <f t="shared" si="3"/>
        <v>0.16962621468011432</v>
      </c>
      <c r="I10" s="72">
        <f t="shared" ref="I10" si="8">G10*8</f>
        <v>20656376</v>
      </c>
      <c r="J10" s="67">
        <f t="shared" si="5"/>
        <v>0.16962621468011432</v>
      </c>
      <c r="K10" s="72">
        <v>2582047</v>
      </c>
      <c r="L10" s="65">
        <f t="shared" si="6"/>
        <v>0.16962621468011432</v>
      </c>
      <c r="M10" s="72">
        <f t="shared" ref="M10" si="9">K10*8</f>
        <v>20656376</v>
      </c>
      <c r="N10" s="67">
        <f t="shared" si="2"/>
        <v>0.16962621468011432</v>
      </c>
      <c r="Q10" s="67"/>
      <c r="R10" s="67"/>
      <c r="S10" s="67"/>
    </row>
    <row r="11" spans="1:20" s="164" customFormat="1" ht="16.5" thickBot="1" x14ac:dyDescent="0.25">
      <c r="A11" s="158" t="s">
        <v>7</v>
      </c>
      <c r="B11" s="159"/>
      <c r="C11" s="160">
        <f>SUM(C4:C10)</f>
        <v>12627906</v>
      </c>
      <c r="D11" s="161">
        <f>SUM(D4:D10)</f>
        <v>1</v>
      </c>
      <c r="E11" s="160">
        <f>SUM(E4:E10)</f>
        <v>88395342</v>
      </c>
      <c r="F11" s="161">
        <f t="shared" ref="F11:P11" si="10">SUM(F4:F10)</f>
        <v>1</v>
      </c>
      <c r="G11" s="160">
        <f t="shared" si="10"/>
        <v>15221980.9</v>
      </c>
      <c r="H11" s="161">
        <f t="shared" si="10"/>
        <v>0.99999999999999989</v>
      </c>
      <c r="I11" s="160">
        <f t="shared" si="10"/>
        <v>121775847.2</v>
      </c>
      <c r="J11" s="161">
        <f t="shared" si="10"/>
        <v>0.99999999999999989</v>
      </c>
      <c r="K11" s="160">
        <f t="shared" ref="K11:M11" si="11">SUM(K4:K10)</f>
        <v>16621980.9</v>
      </c>
      <c r="L11" s="161">
        <f t="shared" si="11"/>
        <v>1.0919722609821432</v>
      </c>
      <c r="M11" s="160">
        <f t="shared" si="11"/>
        <v>121775847.2</v>
      </c>
      <c r="N11" s="161">
        <f>SUM(N4:N10)</f>
        <v>0.99999999999999989</v>
      </c>
      <c r="O11" s="162"/>
      <c r="P11" s="162"/>
      <c r="Q11" s="163"/>
      <c r="R11" s="163"/>
      <c r="S11" s="163"/>
    </row>
    <row r="12" spans="1:20" ht="16.5" thickTop="1" x14ac:dyDescent="0.2">
      <c r="A12" s="62"/>
      <c r="B12" s="63"/>
      <c r="C12" s="60"/>
      <c r="D12" s="61"/>
      <c r="E12" s="61"/>
      <c r="F12" s="61"/>
      <c r="G12" s="60"/>
      <c r="H12" s="61"/>
      <c r="I12" s="73"/>
      <c r="J12" s="73"/>
      <c r="K12" s="73"/>
      <c r="L12" s="73"/>
      <c r="M12" s="73"/>
      <c r="N12" s="73"/>
      <c r="Q12" s="68"/>
      <c r="R12" s="68"/>
      <c r="S12" s="68"/>
    </row>
    <row r="13" spans="1:20" x14ac:dyDescent="0.2">
      <c r="A13" s="47"/>
      <c r="C13" s="64"/>
      <c r="D13" s="52"/>
      <c r="E13" s="52"/>
      <c r="F13" s="52"/>
      <c r="G13" s="64"/>
      <c r="H13" s="52"/>
      <c r="I13" s="52"/>
      <c r="J13" s="52"/>
      <c r="K13" s="52"/>
      <c r="L13" s="52"/>
      <c r="M13" s="52"/>
      <c r="N13" s="52"/>
      <c r="Q13" s="52"/>
      <c r="R13" s="52"/>
      <c r="S13" s="52"/>
    </row>
    <row r="14" spans="1:20" x14ac:dyDescent="0.2">
      <c r="A14" s="152" t="s">
        <v>142</v>
      </c>
      <c r="B14" s="153"/>
      <c r="C14" s="153"/>
      <c r="D14" s="153"/>
      <c r="E14" s="70"/>
      <c r="F14" s="70"/>
      <c r="K14" s="49">
        <f>(K11-K8)/K11</f>
        <v>0.91577417827498531</v>
      </c>
    </row>
    <row r="15" spans="1:20" x14ac:dyDescent="0.2">
      <c r="A15" s="152" t="s">
        <v>143</v>
      </c>
      <c r="B15" s="153"/>
      <c r="C15" s="153"/>
      <c r="D15" s="153"/>
      <c r="E15" s="70"/>
      <c r="F15" s="70"/>
    </row>
    <row r="16" spans="1:20" x14ac:dyDescent="0.2">
      <c r="A16" s="152" t="s">
        <v>144</v>
      </c>
      <c r="B16" s="153"/>
      <c r="C16" s="153"/>
      <c r="D16" s="153"/>
      <c r="E16" s="70"/>
      <c r="F16" s="70"/>
    </row>
  </sheetData>
  <mergeCells count="7">
    <mergeCell ref="A16:D16"/>
    <mergeCell ref="C2:F2"/>
    <mergeCell ref="G2:J2"/>
    <mergeCell ref="K2:N2"/>
    <mergeCell ref="A1:D1"/>
    <mergeCell ref="A14:D14"/>
    <mergeCell ref="A15:D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Copyright</vt:lpstr>
      <vt:lpstr>Exhibit 6</vt:lpstr>
      <vt:lpstr>Exhibit 7</vt:lpstr>
      <vt:lpstr>Exhibit 8</vt:lpstr>
      <vt:lpstr>Exhibit 9</vt:lpstr>
      <vt:lpstr>Valuation</vt:lpstr>
      <vt:lpstr>Summary</vt:lpstr>
      <vt:lpstr>Warrant-B-S</vt:lpstr>
      <vt:lpstr>Dilution effect</vt:lpstr>
    </vt:vector>
  </TitlesOfParts>
  <Manager> </Manager>
  <Company>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</dc:title>
  <dc:subject> </dc:subject>
  <dc:creator>MB Ragupathy</dc:creator>
  <cp:lastModifiedBy>MB Ragupathy</cp:lastModifiedBy>
  <cp:lastPrinted>2010-06-18T09:14:43Z</cp:lastPrinted>
  <dcterms:created xsi:type="dcterms:W3CDTF">2010-04-05T11:50:24Z</dcterms:created>
  <dcterms:modified xsi:type="dcterms:W3CDTF">2020-05-03T11:50:02Z</dcterms:modified>
</cp:coreProperties>
</file>