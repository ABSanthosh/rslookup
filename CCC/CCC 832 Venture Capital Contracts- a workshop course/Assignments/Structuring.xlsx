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612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D40" i="1"/>
  <c r="C40" i="1"/>
  <c r="E39" i="1"/>
  <c r="D39" i="1"/>
  <c r="C39" i="1"/>
  <c r="G32" i="1"/>
  <c r="C15" i="1"/>
  <c r="C14" i="1"/>
  <c r="B14" i="1"/>
  <c r="D12" i="1"/>
  <c r="A5" i="1"/>
  <c r="A4" i="1"/>
  <c r="A3" i="1"/>
  <c r="A2" i="1"/>
  <c r="D14" i="1" l="1"/>
  <c r="E12" i="1"/>
  <c r="B15" i="1"/>
  <c r="B17" i="1"/>
  <c r="C17" i="1"/>
  <c r="E14" i="1" l="1"/>
  <c r="F12" i="1"/>
  <c r="D17" i="1"/>
  <c r="D15" i="1"/>
  <c r="G12" i="1" l="1"/>
  <c r="G14" i="1" s="1"/>
  <c r="F14" i="1"/>
  <c r="E15" i="1"/>
  <c r="E17" i="1"/>
  <c r="F15" i="1" l="1"/>
  <c r="H16" i="1" s="1"/>
  <c r="F17" i="1"/>
  <c r="C21" i="1"/>
  <c r="G17" i="1"/>
  <c r="G15" i="1"/>
  <c r="H15" i="1"/>
  <c r="B3" i="1" s="1"/>
  <c r="H18" i="1" l="1"/>
  <c r="C3" i="1"/>
  <c r="F31" i="1"/>
  <c r="C22" i="1"/>
  <c r="C23" i="1"/>
  <c r="D21" i="1"/>
  <c r="F41" i="1"/>
  <c r="H17" i="1"/>
  <c r="E41" i="1" l="1"/>
  <c r="E38" i="1"/>
  <c r="D38" i="1" s="1"/>
  <c r="E30" i="1"/>
  <c r="C5" i="1"/>
  <c r="E31" i="1"/>
  <c r="E29" i="1"/>
  <c r="D30" i="1" s="1"/>
  <c r="E28" i="1"/>
  <c r="D28" i="1" s="1"/>
  <c r="E27" i="1"/>
  <c r="D29" i="1" s="1"/>
  <c r="B5" i="1"/>
  <c r="C38" i="1"/>
  <c r="B38" i="1" s="1"/>
  <c r="C30" i="1"/>
  <c r="C27" i="1"/>
  <c r="B29" i="1" s="1"/>
  <c r="C29" i="1"/>
  <c r="B30" i="1" s="1"/>
  <c r="C31" i="1"/>
  <c r="C4" i="1"/>
  <c r="C41" i="1"/>
  <c r="B4" i="1"/>
  <c r="C28" i="1"/>
  <c r="B28" i="1" s="1"/>
  <c r="D31" i="1"/>
  <c r="B31" i="1"/>
  <c r="D42" i="1" l="1"/>
  <c r="D43" i="1"/>
  <c r="B42" i="1"/>
  <c r="F42" i="1" s="1"/>
  <c r="B43" i="1"/>
  <c r="B33" i="1"/>
  <c r="B32" i="1"/>
  <c r="D32" i="1"/>
  <c r="D33" i="1"/>
  <c r="F32" i="1" l="1"/>
  <c r="C32" i="1"/>
  <c r="B41" i="1" s="1"/>
  <c r="D41" i="1" s="1"/>
  <c r="E32" i="1"/>
</calcChain>
</file>

<file path=xl/sharedStrings.xml><?xml version="1.0" encoding="utf-8"?>
<sst xmlns="http://schemas.openxmlformats.org/spreadsheetml/2006/main" count="39" uniqueCount="29">
  <si>
    <t>Table-1</t>
  </si>
  <si>
    <t>Period</t>
  </si>
  <si>
    <t xml:space="preserve">Investment </t>
  </si>
  <si>
    <t>Expected growth rate</t>
  </si>
  <si>
    <t>Cash flow</t>
  </si>
  <si>
    <t>Terminal value</t>
  </si>
  <si>
    <t>Net cash flow</t>
  </si>
  <si>
    <t>PV at 10%</t>
  </si>
  <si>
    <t>NPV at 10%</t>
  </si>
  <si>
    <t>Entrepreneur</t>
  </si>
  <si>
    <t>PV at 20%</t>
  </si>
  <si>
    <t>NPV at 20%</t>
  </si>
  <si>
    <t xml:space="preserve">Discount rate </t>
  </si>
  <si>
    <t>PV of cash flows</t>
  </si>
  <si>
    <t>VC's share</t>
  </si>
  <si>
    <t>Entrepreneur's share</t>
  </si>
  <si>
    <t>Table-2:  Common stock</t>
  </si>
  <si>
    <t>(Allocating cash flow &amp; risk equitably)</t>
  </si>
  <si>
    <t>Venture capitalist</t>
  </si>
  <si>
    <t>Total</t>
  </si>
  <si>
    <t>Share of total</t>
  </si>
  <si>
    <t>Annual cash flow - Expected</t>
  </si>
  <si>
    <t>Annual cash flow-good scenario</t>
  </si>
  <si>
    <t>Annual cash flow-bad scenario</t>
  </si>
  <si>
    <t>PV of cash received</t>
  </si>
  <si>
    <t>Standard deviation</t>
  </si>
  <si>
    <t>Expected return</t>
  </si>
  <si>
    <t>Table-2:  Preferred stock</t>
  </si>
  <si>
    <t>(Allocating cash flow &amp; risk preferentially…!)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</si>
</sst>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w Cen MT"/>
      <family val="2"/>
    </font>
    <font>
      <b/>
      <sz val="12"/>
      <color theme="1"/>
      <name val="Tw Cen MT"/>
      <family val="2"/>
    </font>
    <font>
      <sz val="12"/>
      <color rgb="FFFF0000"/>
      <name val="Tw Cen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9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3"/>
  <sheetViews>
    <sheetView tabSelected="1" workbookViewId="0"/>
  </sheetViews>
  <sheetFormatPr defaultRowHeight="15.75" x14ac:dyDescent="0.25"/>
  <cols>
    <col min="1" max="1" width="29.7109375" style="1" bestFit="1" customWidth="1"/>
    <col min="2" max="2" width="12" style="1" bestFit="1" customWidth="1"/>
    <col min="3" max="3" width="9.7109375" style="1" bestFit="1" customWidth="1"/>
    <col min="4" max="9" width="9.140625" style="1"/>
    <col min="10" max="10" width="27.85546875" customWidth="1"/>
    <col min="11" max="11" width="9.7109375" customWidth="1"/>
    <col min="12" max="17" width="9.140625" customWidth="1"/>
    <col min="18" max="18" width="21.140625" bestFit="1" customWidth="1"/>
    <col min="30" max="16384" width="9.140625" style="1"/>
  </cols>
  <sheetData>
    <row r="2" spans="1:9" x14ac:dyDescent="0.25">
      <c r="A2" s="1" t="str">
        <f t="shared" ref="A2:C5" si="0">A20</f>
        <v xml:space="preserve">Discount rate </v>
      </c>
      <c r="B2" s="2">
        <v>0.1</v>
      </c>
      <c r="C2" s="2">
        <v>0.2</v>
      </c>
    </row>
    <row r="3" spans="1:9" x14ac:dyDescent="0.25">
      <c r="A3" s="1" t="str">
        <f t="shared" si="0"/>
        <v>PV of cash flows</v>
      </c>
      <c r="B3" s="3">
        <f>H15</f>
        <v>2516.3147077633785</v>
      </c>
      <c r="C3" s="4">
        <f t="shared" si="0"/>
        <v>1203.5163919795325</v>
      </c>
    </row>
    <row r="4" spans="1:9" x14ac:dyDescent="0.25">
      <c r="A4" s="1" t="str">
        <f t="shared" si="0"/>
        <v>VC's share</v>
      </c>
      <c r="B4" s="2">
        <f t="shared" ref="B4:B5" si="1">C22</f>
        <v>0.83089852923000851</v>
      </c>
      <c r="C4" s="2">
        <f t="shared" si="0"/>
        <v>0.83089852923000851</v>
      </c>
    </row>
    <row r="5" spans="1:9" x14ac:dyDescent="0.25">
      <c r="A5" s="1" t="str">
        <f t="shared" si="0"/>
        <v>Entrepreneur's share</v>
      </c>
      <c r="B5" s="2">
        <f t="shared" si="1"/>
        <v>0.16910147076999146</v>
      </c>
      <c r="C5" s="2">
        <f t="shared" si="0"/>
        <v>0.16910147076999146</v>
      </c>
      <c r="G5" s="5"/>
      <c r="H5" s="5"/>
      <c r="I5" s="5"/>
    </row>
    <row r="7" spans="1:9" x14ac:dyDescent="0.25">
      <c r="A7" s="1" t="s">
        <v>0</v>
      </c>
    </row>
    <row r="9" spans="1:9" x14ac:dyDescent="0.25">
      <c r="A9" s="6" t="s">
        <v>1</v>
      </c>
      <c r="B9" s="6">
        <v>0</v>
      </c>
      <c r="C9" s="6">
        <v>1</v>
      </c>
      <c r="D9" s="6">
        <v>2</v>
      </c>
      <c r="E9" s="6">
        <v>3</v>
      </c>
      <c r="F9" s="6">
        <v>4</v>
      </c>
      <c r="G9" s="6">
        <v>5</v>
      </c>
      <c r="H9" s="6"/>
    </row>
    <row r="10" spans="1:9" x14ac:dyDescent="0.25">
      <c r="A10" s="7" t="s">
        <v>2</v>
      </c>
      <c r="B10" s="4">
        <v>-1000</v>
      </c>
      <c r="C10" s="4"/>
      <c r="D10" s="4"/>
      <c r="E10" s="4"/>
      <c r="F10" s="4"/>
      <c r="G10" s="4"/>
      <c r="H10" s="4"/>
    </row>
    <row r="11" spans="1:9" x14ac:dyDescent="0.25">
      <c r="A11" s="7" t="s">
        <v>3</v>
      </c>
      <c r="B11" s="2">
        <v>0</v>
      </c>
      <c r="C11" s="4"/>
      <c r="D11" s="4"/>
      <c r="E11" s="4"/>
      <c r="F11" s="4"/>
      <c r="G11" s="4"/>
      <c r="H11" s="4"/>
    </row>
    <row r="12" spans="1:9" x14ac:dyDescent="0.25">
      <c r="A12" s="7" t="s">
        <v>4</v>
      </c>
      <c r="B12" s="4"/>
      <c r="C12" s="4">
        <v>500</v>
      </c>
      <c r="D12" s="4">
        <f>C12*(1+$B$11)</f>
        <v>500</v>
      </c>
      <c r="E12" s="4">
        <f t="shared" ref="E12:G12" si="2">D12*(1+$B$11)</f>
        <v>500</v>
      </c>
      <c r="F12" s="4">
        <f t="shared" si="2"/>
        <v>500</v>
      </c>
      <c r="G12" s="4">
        <f t="shared" si="2"/>
        <v>500</v>
      </c>
      <c r="H12" s="4"/>
    </row>
    <row r="13" spans="1:9" x14ac:dyDescent="0.25">
      <c r="A13" s="7" t="s">
        <v>5</v>
      </c>
      <c r="B13" s="4"/>
      <c r="C13" s="4"/>
      <c r="D13" s="4"/>
      <c r="E13" s="4"/>
      <c r="F13" s="4"/>
      <c r="G13" s="4">
        <v>1000</v>
      </c>
      <c r="H13" s="4"/>
    </row>
    <row r="14" spans="1:9" x14ac:dyDescent="0.25">
      <c r="A14" s="7" t="s">
        <v>6</v>
      </c>
      <c r="B14" s="4">
        <f t="shared" ref="B14:G14" si="3">SUM(B10:B13)</f>
        <v>-1000</v>
      </c>
      <c r="C14" s="4">
        <f t="shared" si="3"/>
        <v>500</v>
      </c>
      <c r="D14" s="4">
        <f t="shared" si="3"/>
        <v>500</v>
      </c>
      <c r="E14" s="4">
        <f t="shared" si="3"/>
        <v>500</v>
      </c>
      <c r="F14" s="4">
        <f t="shared" si="3"/>
        <v>500</v>
      </c>
      <c r="G14" s="4">
        <f t="shared" si="3"/>
        <v>1500</v>
      </c>
      <c r="H14" s="4"/>
    </row>
    <row r="15" spans="1:9" x14ac:dyDescent="0.25">
      <c r="A15" s="7" t="s">
        <v>7</v>
      </c>
      <c r="B15" s="4">
        <f>$B$14</f>
        <v>-1000</v>
      </c>
      <c r="C15" s="4">
        <f>C14/(1+$B$2)^C9</f>
        <v>454.5454545454545</v>
      </c>
      <c r="D15" s="4">
        <f t="shared" ref="D15:G15" si="4">D14/(1+$B$2)^D9</f>
        <v>413.22314049586771</v>
      </c>
      <c r="E15" s="4">
        <f t="shared" si="4"/>
        <v>375.65740045078877</v>
      </c>
      <c r="F15" s="4">
        <f t="shared" si="4"/>
        <v>341.50672768253526</v>
      </c>
      <c r="G15" s="4">
        <f>G14/(1+$B$2)^G9</f>
        <v>931.38198458873239</v>
      </c>
      <c r="H15" s="4">
        <f>SUM(C15:G15)</f>
        <v>2516.3147077633785</v>
      </c>
    </row>
    <row r="16" spans="1:9" x14ac:dyDescent="0.25">
      <c r="A16" s="7" t="s">
        <v>8</v>
      </c>
      <c r="B16" s="4"/>
      <c r="C16" s="4"/>
      <c r="D16" s="4"/>
      <c r="E16" s="4"/>
      <c r="F16" s="4"/>
      <c r="G16" s="4"/>
      <c r="H16" s="4">
        <f>SUM(B15:G15)</f>
        <v>1516.3147077633787</v>
      </c>
    </row>
    <row r="17" spans="1:8" x14ac:dyDescent="0.25">
      <c r="A17" s="7" t="s">
        <v>10</v>
      </c>
      <c r="B17" s="4">
        <f>$B$14</f>
        <v>-1000</v>
      </c>
      <c r="C17" s="4">
        <f>C14/(1+$C$2)^C9</f>
        <v>416.66666666666669</v>
      </c>
      <c r="D17" s="4">
        <f t="shared" ref="D17:G17" si="5">D14/(1+$C$2)^D9</f>
        <v>347.22222222222223</v>
      </c>
      <c r="E17" s="4">
        <f t="shared" si="5"/>
        <v>289.35185185185185</v>
      </c>
      <c r="F17" s="4">
        <f t="shared" si="5"/>
        <v>241.12654320987656</v>
      </c>
      <c r="G17" s="4">
        <f t="shared" si="5"/>
        <v>602.81635802469134</v>
      </c>
      <c r="H17" s="4">
        <f>SUM(C17:G17)</f>
        <v>1897.183641975309</v>
      </c>
    </row>
    <row r="18" spans="1:8" x14ac:dyDescent="0.25">
      <c r="A18" s="7" t="s">
        <v>11</v>
      </c>
      <c r="B18" s="4"/>
      <c r="C18" s="4"/>
      <c r="D18" s="4"/>
      <c r="E18" s="4"/>
      <c r="F18" s="4"/>
      <c r="G18" s="4"/>
      <c r="H18" s="4">
        <f>SUM(B17:G17)</f>
        <v>897.18364197530877</v>
      </c>
    </row>
    <row r="20" spans="1:8" x14ac:dyDescent="0.25">
      <c r="A20" s="1" t="s">
        <v>12</v>
      </c>
      <c r="B20" s="2">
        <v>0.4</v>
      </c>
    </row>
    <row r="21" spans="1:8" x14ac:dyDescent="0.25">
      <c r="A21" s="1" t="s">
        <v>13</v>
      </c>
      <c r="C21" s="4">
        <f>NPV(B20,C14:G14)</f>
        <v>1203.5163919795325</v>
      </c>
      <c r="D21" s="5">
        <f>C21-1000</f>
        <v>203.5163919795325</v>
      </c>
    </row>
    <row r="22" spans="1:8" x14ac:dyDescent="0.25">
      <c r="A22" s="1" t="s">
        <v>14</v>
      </c>
      <c r="C22" s="2">
        <f>1000/C21</f>
        <v>0.83089852923000851</v>
      </c>
    </row>
    <row r="23" spans="1:8" x14ac:dyDescent="0.25">
      <c r="A23" s="1" t="s">
        <v>15</v>
      </c>
      <c r="C23" s="2">
        <f>(C21-1000)/C21</f>
        <v>0.16910147076999146</v>
      </c>
    </row>
    <row r="25" spans="1:8" x14ac:dyDescent="0.25">
      <c r="A25" s="8" t="s">
        <v>16</v>
      </c>
      <c r="B25" s="9" t="s">
        <v>17</v>
      </c>
      <c r="C25" s="7"/>
      <c r="D25" s="7"/>
      <c r="E25" s="7"/>
      <c r="F25" s="7"/>
      <c r="G25" s="7"/>
    </row>
    <row r="26" spans="1:8" x14ac:dyDescent="0.25">
      <c r="A26" s="8"/>
      <c r="B26" s="10" t="s">
        <v>18</v>
      </c>
      <c r="C26" s="10"/>
      <c r="D26" s="10" t="s">
        <v>9</v>
      </c>
      <c r="E26" s="10"/>
      <c r="F26" s="10" t="s">
        <v>19</v>
      </c>
      <c r="G26" s="10"/>
    </row>
    <row r="27" spans="1:8" x14ac:dyDescent="0.25">
      <c r="A27" s="7" t="s">
        <v>20</v>
      </c>
      <c r="B27" s="7"/>
      <c r="C27" s="2">
        <f>$C$22</f>
        <v>0.83089852923000851</v>
      </c>
      <c r="D27" s="7"/>
      <c r="E27" s="2">
        <f t="shared" ref="E27:E31" si="6">$C$23</f>
        <v>0.16910147076999146</v>
      </c>
      <c r="F27" s="7"/>
      <c r="G27" s="2">
        <v>1</v>
      </c>
    </row>
    <row r="28" spans="1:8" x14ac:dyDescent="0.25">
      <c r="A28" s="7" t="s">
        <v>21</v>
      </c>
      <c r="B28" s="4">
        <f>F28*C28</f>
        <v>415.44926461500427</v>
      </c>
      <c r="C28" s="2">
        <f t="shared" ref="C28:C31" si="7">$C$22</f>
        <v>0.83089852923000851</v>
      </c>
      <c r="D28" s="4">
        <f>F28*E28</f>
        <v>84.550735384995733</v>
      </c>
      <c r="E28" s="2">
        <f t="shared" si="6"/>
        <v>0.16910147076999146</v>
      </c>
      <c r="F28" s="4">
        <v>500</v>
      </c>
      <c r="G28" s="2">
        <v>1</v>
      </c>
    </row>
    <row r="29" spans="1:8" x14ac:dyDescent="0.25">
      <c r="A29" s="7" t="s">
        <v>22</v>
      </c>
      <c r="B29" s="4">
        <f>F29*C27</f>
        <v>456.99419107650471</v>
      </c>
      <c r="C29" s="2">
        <f t="shared" si="7"/>
        <v>0.83089852923000851</v>
      </c>
      <c r="D29" s="4">
        <f>F29*E27</f>
        <v>93.005808923495309</v>
      </c>
      <c r="E29" s="2">
        <f t="shared" si="6"/>
        <v>0.16910147076999146</v>
      </c>
      <c r="F29" s="4">
        <v>550</v>
      </c>
      <c r="G29" s="2">
        <v>1</v>
      </c>
    </row>
    <row r="30" spans="1:8" x14ac:dyDescent="0.25">
      <c r="A30" s="7" t="s">
        <v>23</v>
      </c>
      <c r="B30" s="4">
        <f>F30*C29</f>
        <v>373.90433815350383</v>
      </c>
      <c r="C30" s="2">
        <f t="shared" si="7"/>
        <v>0.83089852923000851</v>
      </c>
      <c r="D30" s="4">
        <f>F30*E29</f>
        <v>76.095661846496156</v>
      </c>
      <c r="E30" s="2">
        <f t="shared" si="6"/>
        <v>0.16910147076999146</v>
      </c>
      <c r="F30" s="4">
        <v>450</v>
      </c>
      <c r="G30" s="2">
        <v>1</v>
      </c>
    </row>
    <row r="31" spans="1:8" x14ac:dyDescent="0.25">
      <c r="A31" s="7" t="s">
        <v>24</v>
      </c>
      <c r="B31" s="4">
        <f>F31*C22</f>
        <v>1000</v>
      </c>
      <c r="C31" s="2">
        <f t="shared" si="7"/>
        <v>0.83089852923000851</v>
      </c>
      <c r="D31" s="4">
        <f>F31*C23</f>
        <v>203.5163919795325</v>
      </c>
      <c r="E31" s="2">
        <f t="shared" si="6"/>
        <v>0.16910147076999146</v>
      </c>
      <c r="F31" s="4">
        <f>C21</f>
        <v>1203.5163919795325</v>
      </c>
      <c r="G31" s="2"/>
    </row>
    <row r="32" spans="1:8" x14ac:dyDescent="0.25">
      <c r="A32" s="7" t="s">
        <v>25</v>
      </c>
      <c r="B32" s="11">
        <f>STDEV(B28:B30)</f>
        <v>41.544926461500438</v>
      </c>
      <c r="C32" s="2">
        <f>B32/F32</f>
        <v>0.83089852923000851</v>
      </c>
      <c r="D32" s="11">
        <f>STDEV(D28:D30)</f>
        <v>8.4550735384995761</v>
      </c>
      <c r="E32" s="2">
        <f>D32/F32</f>
        <v>0.16910147076999146</v>
      </c>
      <c r="F32" s="11">
        <f>B32+D32</f>
        <v>50.000000000000014</v>
      </c>
      <c r="G32" s="11">
        <f>STDEV(G28:G30)</f>
        <v>0</v>
      </c>
    </row>
    <row r="33" spans="1:7" x14ac:dyDescent="0.25">
      <c r="A33" s="7" t="s">
        <v>26</v>
      </c>
      <c r="B33" s="11">
        <f>AVERAGE(B28:B30)</f>
        <v>415.44926461500427</v>
      </c>
      <c r="C33" s="2"/>
      <c r="D33" s="11">
        <f>AVERAGE(D28:D30)</f>
        <v>84.550735384995733</v>
      </c>
      <c r="E33" s="2"/>
      <c r="F33" s="11"/>
      <c r="G33" s="11"/>
    </row>
    <row r="35" spans="1:7" x14ac:dyDescent="0.25">
      <c r="A35" s="8" t="s">
        <v>27</v>
      </c>
      <c r="B35" s="9" t="s">
        <v>28</v>
      </c>
      <c r="C35" s="7"/>
      <c r="D35" s="7"/>
      <c r="E35" s="7"/>
      <c r="F35" s="7"/>
      <c r="G35" s="7"/>
    </row>
    <row r="36" spans="1:7" ht="15" customHeight="1" x14ac:dyDescent="0.25">
      <c r="A36" s="8"/>
      <c r="B36" s="10" t="s">
        <v>18</v>
      </c>
      <c r="C36" s="10"/>
      <c r="D36" s="10" t="s">
        <v>9</v>
      </c>
      <c r="E36" s="10"/>
      <c r="F36" s="10" t="s">
        <v>19</v>
      </c>
      <c r="G36" s="10"/>
    </row>
    <row r="37" spans="1:7" ht="15" customHeight="1" x14ac:dyDescent="0.25">
      <c r="A37" s="7" t="s">
        <v>20</v>
      </c>
      <c r="B37" s="7"/>
      <c r="C37" s="2">
        <v>0.83</v>
      </c>
      <c r="D37" s="7"/>
      <c r="E37" s="2">
        <v>0.17</v>
      </c>
      <c r="F37" s="7"/>
      <c r="G37" s="2">
        <v>1</v>
      </c>
    </row>
    <row r="38" spans="1:7" ht="15" customHeight="1" x14ac:dyDescent="0.25">
      <c r="A38" s="7" t="s">
        <v>21</v>
      </c>
      <c r="B38" s="4">
        <f>F38*C38</f>
        <v>415.44926461500427</v>
      </c>
      <c r="C38" s="2">
        <f t="shared" ref="C38" si="8">$C$22</f>
        <v>0.83089852923000851</v>
      </c>
      <c r="D38" s="4">
        <f>F38*E38</f>
        <v>84.550735384995733</v>
      </c>
      <c r="E38" s="2">
        <f t="shared" ref="E38" si="9">$C$23</f>
        <v>0.16910147076999146</v>
      </c>
      <c r="F38" s="4">
        <v>500</v>
      </c>
      <c r="G38" s="2">
        <v>1</v>
      </c>
    </row>
    <row r="39" spans="1:7" x14ac:dyDescent="0.25">
      <c r="A39" s="7" t="s">
        <v>22</v>
      </c>
      <c r="B39" s="4">
        <v>415</v>
      </c>
      <c r="C39" s="2">
        <f>B39/F39</f>
        <v>0.75454545454545452</v>
      </c>
      <c r="D39" s="4">
        <f>F39-B39</f>
        <v>135</v>
      </c>
      <c r="E39" s="2">
        <f>D39/F39</f>
        <v>0.24545454545454545</v>
      </c>
      <c r="F39" s="4">
        <v>550</v>
      </c>
      <c r="G39" s="2">
        <v>1</v>
      </c>
    </row>
    <row r="40" spans="1:7" x14ac:dyDescent="0.25">
      <c r="A40" s="7" t="s">
        <v>23</v>
      </c>
      <c r="B40" s="4">
        <v>415</v>
      </c>
      <c r="C40" s="2">
        <f>B40/F40</f>
        <v>0.92222222222222228</v>
      </c>
      <c r="D40" s="4">
        <f>F40-B40</f>
        <v>35</v>
      </c>
      <c r="E40" s="2">
        <f>D40/F40</f>
        <v>7.7777777777777779E-2</v>
      </c>
      <c r="F40" s="4">
        <v>450</v>
      </c>
      <c r="G40" s="2">
        <v>1</v>
      </c>
    </row>
    <row r="41" spans="1:7" x14ac:dyDescent="0.25">
      <c r="A41" s="7" t="s">
        <v>24</v>
      </c>
      <c r="B41" s="4">
        <f>F41*C32</f>
        <v>1000</v>
      </c>
      <c r="C41" s="2">
        <f t="shared" ref="C41" si="10">$C$22</f>
        <v>0.83089852923000851</v>
      </c>
      <c r="D41" s="4">
        <f>F41-B41</f>
        <v>203.5163919795325</v>
      </c>
      <c r="E41" s="2">
        <f t="shared" ref="E41" si="11">$C$23</f>
        <v>0.16910147076999146</v>
      </c>
      <c r="F41" s="4">
        <f>C21</f>
        <v>1203.5163919795325</v>
      </c>
      <c r="G41" s="2"/>
    </row>
    <row r="42" spans="1:7" x14ac:dyDescent="0.25">
      <c r="A42" s="7" t="s">
        <v>25</v>
      </c>
      <c r="B42" s="11">
        <f>STDEV(B38:B40)</f>
        <v>0.25938304641008736</v>
      </c>
      <c r="C42" s="11"/>
      <c r="D42" s="11">
        <f>STDEV(D38:D40)</f>
        <v>50.000672791121161</v>
      </c>
      <c r="E42" s="11"/>
      <c r="F42" s="11">
        <f>B42+D42</f>
        <v>50.260055837531247</v>
      </c>
      <c r="G42" s="11"/>
    </row>
    <row r="43" spans="1:7" x14ac:dyDescent="0.25">
      <c r="A43" s="7" t="s">
        <v>26</v>
      </c>
      <c r="B43" s="11">
        <f>AVERAGE(B38:B40)</f>
        <v>415.14975487166811</v>
      </c>
      <c r="C43" s="11"/>
      <c r="D43" s="11">
        <f>AVERAGE(D38:D40)</f>
        <v>84.850245128331906</v>
      </c>
      <c r="E43" s="11"/>
      <c r="F43" s="11"/>
      <c r="G43" s="11"/>
    </row>
  </sheetData>
  <mergeCells count="6">
    <mergeCell ref="B26:C26"/>
    <mergeCell ref="D26:E26"/>
    <mergeCell ref="F26:G26"/>
    <mergeCell ref="B36:C36"/>
    <mergeCell ref="D36:E36"/>
    <mergeCell ref="F36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 Ragupathy</dc:creator>
  <cp:lastModifiedBy>MB Ragupathy</cp:lastModifiedBy>
  <dcterms:created xsi:type="dcterms:W3CDTF">2020-04-06T14:00:53Z</dcterms:created>
  <dcterms:modified xsi:type="dcterms:W3CDTF">2020-04-06T14:01:30Z</dcterms:modified>
</cp:coreProperties>
</file>