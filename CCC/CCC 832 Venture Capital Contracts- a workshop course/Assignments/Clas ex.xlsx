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r612\Desktop\"/>
    </mc:Choice>
  </mc:AlternateContent>
  <bookViews>
    <workbookView xWindow="0" yWindow="0" windowWidth="20490" windowHeight="7620" activeTab="1"/>
  </bookViews>
  <sheets>
    <sheet name="DCF in class" sheetId="2" r:id="rId1"/>
    <sheet name="Val ex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" l="1"/>
  <c r="B10" i="2"/>
  <c r="C9" i="2"/>
  <c r="D9" i="2" s="1"/>
  <c r="E9" i="2" l="1"/>
  <c r="D10" i="2"/>
  <c r="F9" i="2" l="1"/>
  <c r="E10" i="2"/>
  <c r="F10" i="2" l="1"/>
  <c r="G10" i="2" s="1"/>
  <c r="G12" i="2" s="1"/>
  <c r="H9" i="2"/>
  <c r="F11" i="2" s="1"/>
  <c r="G11" i="2" s="1"/>
  <c r="G9" i="2"/>
  <c r="C27" i="1" l="1"/>
  <c r="B27" i="1" l="1"/>
</calcChain>
</file>

<file path=xl/sharedStrings.xml><?xml version="1.0" encoding="utf-8"?>
<sst xmlns="http://schemas.openxmlformats.org/spreadsheetml/2006/main" count="51" uniqueCount="41">
  <si>
    <t>The venture capital method - valuation problem set [HBS/9-396--90]</t>
  </si>
  <si>
    <t>Single round investment</t>
  </si>
  <si>
    <t>Fact summary</t>
  </si>
  <si>
    <t>Single round</t>
  </si>
  <si>
    <t>Required IRR (%)</t>
  </si>
  <si>
    <t>Investment ($)</t>
  </si>
  <si>
    <t>Term (Yrs.)</t>
  </si>
  <si>
    <t>Year 5 net income ($)</t>
  </si>
  <si>
    <t>PE ratio (Year 5)</t>
  </si>
  <si>
    <t># of shares outstanding before investment</t>
  </si>
  <si>
    <t>Terminal value of the firm ($)</t>
  </si>
  <si>
    <t>PV of terminal value ($)</t>
  </si>
  <si>
    <t>Required future value of  investment ($)</t>
  </si>
  <si>
    <t>Final ownership required</t>
  </si>
  <si>
    <t>Retention percentage</t>
  </si>
  <si>
    <t>Ownership to be acquired</t>
  </si>
  <si>
    <t># of shares to be acquired</t>
  </si>
  <si>
    <t>New share price ($)</t>
  </si>
  <si>
    <r>
      <t>Post-money value of the firm @ t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($)</t>
    </r>
  </si>
  <si>
    <t>Pre-money value of the firm ($)</t>
  </si>
  <si>
    <t>Carried interest ($)</t>
  </si>
  <si>
    <t>Share value at exit, for given discount rate</t>
  </si>
  <si>
    <t>Firm value at the end of each round</t>
  </si>
  <si>
    <t>Share of each round investor at exit</t>
  </si>
  <si>
    <t>RoI</t>
  </si>
  <si>
    <t>Carried interest - Investor</t>
  </si>
  <si>
    <t>TutorVista</t>
  </si>
  <si>
    <t>IT &amp; ITES</t>
  </si>
  <si>
    <t>Tejas Networks</t>
  </si>
  <si>
    <t>Carried interest - Promoter</t>
  </si>
  <si>
    <t>Discount rate</t>
  </si>
  <si>
    <t>(Cost of capital)</t>
  </si>
  <si>
    <r>
      <t>Growth rate (g</t>
    </r>
    <r>
      <rPr>
        <vertAlign val="subscript"/>
        <sz val="12"/>
        <color theme="1"/>
        <rFont val="Tw Cen MT"/>
        <family val="2"/>
      </rPr>
      <t>h</t>
    </r>
    <r>
      <rPr>
        <sz val="12"/>
        <color theme="1"/>
        <rFont val="Tw Cen MT"/>
        <family val="2"/>
      </rPr>
      <t>)</t>
    </r>
  </si>
  <si>
    <r>
      <t>Growth rate (g</t>
    </r>
    <r>
      <rPr>
        <vertAlign val="subscript"/>
        <sz val="12"/>
        <color theme="1"/>
        <rFont val="Tw Cen MT"/>
        <family val="2"/>
      </rPr>
      <t>n</t>
    </r>
    <r>
      <rPr>
        <sz val="12"/>
        <color theme="1"/>
        <rFont val="Tw Cen MT"/>
        <family val="2"/>
      </rPr>
      <t>)</t>
    </r>
  </si>
  <si>
    <t>Year</t>
  </si>
  <si>
    <t>Sum</t>
  </si>
  <si>
    <t>Cash flow</t>
  </si>
  <si>
    <t>Present value of CF</t>
  </si>
  <si>
    <t>Terminal value</t>
  </si>
  <si>
    <t>Value of the firm</t>
  </si>
  <si>
    <t>Please fill-in the blank cells in column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</si>
</sst>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2"/>
      <color theme="1"/>
      <name val="Tw Cen MT"/>
      <family val="2"/>
    </font>
    <font>
      <vertAlign val="subscript"/>
      <sz val="12"/>
      <color theme="1"/>
      <name val="Tw Cen MT"/>
      <family val="2"/>
    </font>
    <font>
      <b/>
      <sz val="12"/>
      <color theme="1"/>
      <name val="Tw Cen M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" xfId="0" applyBorder="1"/>
    <xf numFmtId="10" fontId="0" fillId="0" borderId="2" xfId="0" applyNumberFormat="1" applyBorder="1"/>
    <xf numFmtId="0" fontId="0" fillId="0" borderId="0" xfId="0" applyBorder="1"/>
    <xf numFmtId="3" fontId="0" fillId="0" borderId="0" xfId="0" applyNumberFormat="1" applyBorder="1"/>
    <xf numFmtId="0" fontId="0" fillId="0" borderId="3" xfId="0" applyBorder="1"/>
    <xf numFmtId="3" fontId="0" fillId="0" borderId="3" xfId="0" applyNumberFormat="1" applyBorder="1"/>
    <xf numFmtId="3" fontId="0" fillId="0" borderId="2" xfId="0" applyNumberFormat="1" applyBorder="1"/>
    <xf numFmtId="3" fontId="0" fillId="0" borderId="0" xfId="0" applyNumberFormat="1"/>
    <xf numFmtId="0" fontId="0" fillId="0" borderId="0" xfId="0" applyFill="1" applyBorder="1"/>
    <xf numFmtId="10" fontId="0" fillId="0" borderId="0" xfId="0" applyNumberFormat="1" applyBorder="1"/>
    <xf numFmtId="10" fontId="0" fillId="0" borderId="0" xfId="0" applyNumberFormat="1"/>
    <xf numFmtId="10" fontId="0" fillId="0" borderId="3" xfId="0" applyNumberFormat="1" applyBorder="1"/>
    <xf numFmtId="4" fontId="0" fillId="0" borderId="3" xfId="0" applyNumberFormat="1" applyBorder="1"/>
    <xf numFmtId="4" fontId="0" fillId="0" borderId="0" xfId="0" applyNumberFormat="1"/>
    <xf numFmtId="0" fontId="1" fillId="0" borderId="0" xfId="0" applyFont="1"/>
    <xf numFmtId="3" fontId="1" fillId="0" borderId="0" xfId="0" applyNumberFormat="1" applyFont="1"/>
    <xf numFmtId="2" fontId="0" fillId="0" borderId="2" xfId="0" applyNumberFormat="1" applyBorder="1"/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4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" fontId="4" fillId="0" borderId="4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4" fontId="6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workbookViewId="0">
      <selection activeCell="A12" sqref="A12"/>
    </sheetView>
  </sheetViews>
  <sheetFormatPr defaultRowHeight="15.75" x14ac:dyDescent="0.25"/>
  <cols>
    <col min="1" max="1" width="22.140625" style="22" customWidth="1"/>
    <col min="2" max="16384" width="9.140625" style="22"/>
  </cols>
  <sheetData>
    <row r="2" spans="1:8" x14ac:dyDescent="0.25">
      <c r="A2" s="22" t="s">
        <v>30</v>
      </c>
      <c r="B2" s="23">
        <v>0.12</v>
      </c>
      <c r="C2" s="22" t="s">
        <v>31</v>
      </c>
    </row>
    <row r="3" spans="1:8" ht="18.75" x14ac:dyDescent="0.25">
      <c r="A3" s="22" t="s">
        <v>32</v>
      </c>
      <c r="B3" s="23">
        <v>-0.25</v>
      </c>
    </row>
    <row r="4" spans="1:8" ht="18.75" x14ac:dyDescent="0.25">
      <c r="A4" s="22" t="s">
        <v>33</v>
      </c>
      <c r="B4" s="23">
        <v>0.04</v>
      </c>
    </row>
    <row r="7" spans="1:8" x14ac:dyDescent="0.25">
      <c r="A7" s="24"/>
      <c r="B7" s="25" t="s">
        <v>34</v>
      </c>
      <c r="C7" s="25"/>
      <c r="D7" s="25"/>
      <c r="E7" s="25"/>
      <c r="F7" s="25"/>
      <c r="G7" s="24"/>
    </row>
    <row r="8" spans="1:8" x14ac:dyDescent="0.25">
      <c r="A8" s="24"/>
      <c r="B8" s="26">
        <v>1</v>
      </c>
      <c r="C8" s="26">
        <v>2</v>
      </c>
      <c r="D8" s="26">
        <v>3</v>
      </c>
      <c r="E8" s="26">
        <v>4</v>
      </c>
      <c r="F8" s="26">
        <v>5</v>
      </c>
      <c r="G8" s="26" t="s">
        <v>35</v>
      </c>
      <c r="H8" s="22">
        <v>6</v>
      </c>
    </row>
    <row r="9" spans="1:8" x14ac:dyDescent="0.25">
      <c r="A9" s="24" t="s">
        <v>36</v>
      </c>
      <c r="B9" s="27">
        <v>-2</v>
      </c>
      <c r="C9" s="27">
        <f>B9*(1+B3)</f>
        <v>-1.5</v>
      </c>
      <c r="D9" s="27">
        <f>C9*(1+B3)</f>
        <v>-1.125</v>
      </c>
      <c r="E9" s="27">
        <f>D9*(1+B3)</f>
        <v>-0.84375</v>
      </c>
      <c r="F9" s="27">
        <f>E9*(1+B3)</f>
        <v>-0.6328125</v>
      </c>
      <c r="G9" s="27">
        <f>SUM(B9:F9)</f>
        <v>-6.1015625</v>
      </c>
      <c r="H9" s="22">
        <f>F9*(1+B4)</f>
        <v>-0.65812500000000007</v>
      </c>
    </row>
    <row r="10" spans="1:8" x14ac:dyDescent="0.25">
      <c r="A10" s="24" t="s">
        <v>37</v>
      </c>
      <c r="B10" s="27">
        <f>B9/(1+$B$2)^B8</f>
        <v>-1.7857142857142856</v>
      </c>
      <c r="C10" s="27">
        <f t="shared" ref="C10:F10" si="0">C9/(1+$B$2)^C8</f>
        <v>-1.1957908163265305</v>
      </c>
      <c r="D10" s="27">
        <f t="shared" si="0"/>
        <v>-0.80075277879008722</v>
      </c>
      <c r="E10" s="27">
        <f t="shared" si="0"/>
        <v>-0.53621837865407629</v>
      </c>
      <c r="F10" s="27">
        <f t="shared" si="0"/>
        <v>-0.35907480713442608</v>
      </c>
      <c r="G10" s="27">
        <f>SUM(B10:F10)</f>
        <v>-4.6775510666194062</v>
      </c>
    </row>
    <row r="11" spans="1:8" x14ac:dyDescent="0.25">
      <c r="A11" s="24" t="s">
        <v>38</v>
      </c>
      <c r="B11" s="27"/>
      <c r="C11" s="27"/>
      <c r="D11" s="27"/>
      <c r="E11" s="27"/>
      <c r="F11" s="27">
        <f>H9</f>
        <v>-0.65812500000000007</v>
      </c>
      <c r="G11" s="27">
        <f>F11/(B2-B4)</f>
        <v>-8.2265625000000018</v>
      </c>
    </row>
    <row r="12" spans="1:8" x14ac:dyDescent="0.25">
      <c r="A12" s="28" t="s">
        <v>39</v>
      </c>
      <c r="B12" s="28"/>
      <c r="C12" s="28"/>
      <c r="D12" s="28"/>
      <c r="E12" s="28"/>
      <c r="F12" s="28"/>
      <c r="G12" s="29">
        <f>SUM(G10:G11)</f>
        <v>-12.904113566619408</v>
      </c>
    </row>
  </sheetData>
  <mergeCells count="1">
    <mergeCell ref="B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topLeftCell="A2" workbookViewId="0">
      <selection activeCell="A4" sqref="A4"/>
    </sheetView>
  </sheetViews>
  <sheetFormatPr defaultRowHeight="15" x14ac:dyDescent="0.25"/>
  <cols>
    <col min="1" max="1" width="39.7109375" customWidth="1"/>
    <col min="2" max="3" width="14.28515625" customWidth="1"/>
    <col min="5" max="5" width="12" bestFit="1" customWidth="1"/>
    <col min="6" max="7" width="13.42578125" customWidth="1"/>
    <col min="8" max="8" width="12.140625" customWidth="1"/>
    <col min="9" max="9" width="14.28515625" customWidth="1"/>
    <col min="10" max="10" width="14.28515625" bestFit="1" customWidth="1"/>
    <col min="11" max="11" width="12.7109375" bestFit="1" customWidth="1"/>
  </cols>
  <sheetData>
    <row r="1" spans="1:7" hidden="1" x14ac:dyDescent="0.25">
      <c r="A1" s="1" t="s">
        <v>0</v>
      </c>
    </row>
    <row r="4" spans="1:7" x14ac:dyDescent="0.25">
      <c r="A4" s="19" t="s">
        <v>40</v>
      </c>
    </row>
    <row r="6" spans="1:7" x14ac:dyDescent="0.25">
      <c r="A6" s="2" t="s">
        <v>1</v>
      </c>
      <c r="B6" s="2"/>
      <c r="C6" s="3"/>
    </row>
    <row r="7" spans="1:7" x14ac:dyDescent="0.25">
      <c r="A7" s="4" t="s">
        <v>2</v>
      </c>
      <c r="B7" s="4" t="s">
        <v>3</v>
      </c>
      <c r="C7" s="4" t="s">
        <v>3</v>
      </c>
    </row>
    <row r="8" spans="1:7" x14ac:dyDescent="0.25">
      <c r="A8" s="5" t="s">
        <v>4</v>
      </c>
      <c r="B8" s="6">
        <v>0.5</v>
      </c>
      <c r="C8" s="6">
        <v>0.3</v>
      </c>
    </row>
    <row r="9" spans="1:7" x14ac:dyDescent="0.25">
      <c r="A9" s="7" t="s">
        <v>5</v>
      </c>
      <c r="B9" s="8">
        <v>5000000</v>
      </c>
      <c r="C9" s="8">
        <v>5000000</v>
      </c>
    </row>
    <row r="10" spans="1:7" x14ac:dyDescent="0.25">
      <c r="A10" s="7" t="s">
        <v>6</v>
      </c>
      <c r="B10" s="7">
        <v>5</v>
      </c>
      <c r="C10" s="7">
        <v>5</v>
      </c>
    </row>
    <row r="11" spans="1:7" x14ac:dyDescent="0.25">
      <c r="A11" s="7" t="s">
        <v>7</v>
      </c>
      <c r="B11" s="8">
        <v>5000000</v>
      </c>
      <c r="C11" s="8">
        <v>5000000</v>
      </c>
      <c r="E11" s="8"/>
    </row>
    <row r="12" spans="1:7" x14ac:dyDescent="0.25">
      <c r="A12" s="7" t="s">
        <v>8</v>
      </c>
      <c r="B12" s="7">
        <v>20</v>
      </c>
      <c r="C12" s="7">
        <v>20</v>
      </c>
    </row>
    <row r="13" spans="1:7" x14ac:dyDescent="0.25">
      <c r="A13" s="9" t="s">
        <v>9</v>
      </c>
      <c r="B13" s="10">
        <v>1000000</v>
      </c>
      <c r="C13" s="10">
        <v>1000000</v>
      </c>
    </row>
    <row r="15" spans="1:7" x14ac:dyDescent="0.25">
      <c r="A15" s="5" t="s">
        <v>10</v>
      </c>
      <c r="B15" s="11">
        <v>100000000</v>
      </c>
      <c r="C15" s="11"/>
      <c r="E15" s="8"/>
      <c r="F15" s="12"/>
      <c r="G15" s="12"/>
    </row>
    <row r="16" spans="1:7" x14ac:dyDescent="0.25">
      <c r="A16" s="13" t="s">
        <v>11</v>
      </c>
      <c r="B16" s="8">
        <v>13168724.279835392</v>
      </c>
      <c r="C16" s="8"/>
      <c r="F16" s="12"/>
      <c r="G16" s="12"/>
    </row>
    <row r="17" spans="1:4" x14ac:dyDescent="0.25">
      <c r="A17" s="7" t="s">
        <v>12</v>
      </c>
      <c r="B17" s="8">
        <v>37968750</v>
      </c>
      <c r="C17" s="8"/>
    </row>
    <row r="18" spans="1:4" x14ac:dyDescent="0.25">
      <c r="A18" s="7" t="s">
        <v>13</v>
      </c>
      <c r="B18" s="14">
        <v>0.37968750000000001</v>
      </c>
      <c r="C18" s="14"/>
      <c r="D18" s="15"/>
    </row>
    <row r="19" spans="1:4" x14ac:dyDescent="0.25">
      <c r="A19" s="7" t="s">
        <v>14</v>
      </c>
      <c r="B19" s="14">
        <v>0.37968750000000001</v>
      </c>
      <c r="C19" s="14"/>
    </row>
    <row r="20" spans="1:4" x14ac:dyDescent="0.25">
      <c r="A20" s="9" t="s">
        <v>15</v>
      </c>
      <c r="B20" s="16">
        <v>0.37968750000000001</v>
      </c>
      <c r="C20" s="16"/>
    </row>
    <row r="21" spans="1:4" x14ac:dyDescent="0.25">
      <c r="B21" s="15"/>
      <c r="C21" s="15"/>
    </row>
    <row r="22" spans="1:4" x14ac:dyDescent="0.25">
      <c r="A22" s="5" t="s">
        <v>16</v>
      </c>
      <c r="B22" s="11">
        <v>612090.68010075565</v>
      </c>
      <c r="C22" s="11"/>
    </row>
    <row r="23" spans="1:4" x14ac:dyDescent="0.25">
      <c r="A23" s="9" t="s">
        <v>17</v>
      </c>
      <c r="B23" s="17">
        <v>8.1687242798353914</v>
      </c>
      <c r="C23" s="17"/>
    </row>
    <row r="24" spans="1:4" x14ac:dyDescent="0.25">
      <c r="B24" s="18"/>
      <c r="C24" s="18"/>
    </row>
    <row r="25" spans="1:4" ht="18" x14ac:dyDescent="0.35">
      <c r="A25" s="5" t="s">
        <v>18</v>
      </c>
      <c r="B25" s="11">
        <v>13168724.27983539</v>
      </c>
      <c r="C25" s="11"/>
    </row>
    <row r="26" spans="1:4" x14ac:dyDescent="0.25">
      <c r="A26" s="9" t="s">
        <v>19</v>
      </c>
      <c r="B26" s="10">
        <v>8168724.2798353899</v>
      </c>
      <c r="C26" s="10"/>
    </row>
    <row r="27" spans="1:4" hidden="1" x14ac:dyDescent="0.25">
      <c r="A27" s="19" t="s">
        <v>20</v>
      </c>
      <c r="B27" s="20">
        <f>B25*B18</f>
        <v>5000000</v>
      </c>
      <c r="C27" s="20">
        <f>C25*C18</f>
        <v>0</v>
      </c>
    </row>
    <row r="29" spans="1:4" x14ac:dyDescent="0.25">
      <c r="A29" s="5" t="s">
        <v>21</v>
      </c>
      <c r="B29" s="21">
        <v>62.03125</v>
      </c>
      <c r="C29" s="21"/>
    </row>
    <row r="30" spans="1:4" x14ac:dyDescent="0.25">
      <c r="A30" s="7" t="s">
        <v>22</v>
      </c>
      <c r="B30" s="8">
        <v>13168724.279835392</v>
      </c>
      <c r="C30" s="8"/>
    </row>
    <row r="31" spans="1:4" x14ac:dyDescent="0.25">
      <c r="A31" s="7" t="s">
        <v>23</v>
      </c>
      <c r="B31" s="7"/>
      <c r="C31" s="7"/>
    </row>
    <row r="32" spans="1:4" x14ac:dyDescent="0.25">
      <c r="A32" s="9" t="s">
        <v>24</v>
      </c>
      <c r="B32" s="16">
        <v>6.59375</v>
      </c>
      <c r="C32" s="16"/>
    </row>
    <row r="34" spans="1:3" x14ac:dyDescent="0.25">
      <c r="A34" t="s">
        <v>25</v>
      </c>
      <c r="B34" s="8">
        <v>5000000</v>
      </c>
      <c r="C34" s="8"/>
    </row>
    <row r="35" spans="1:3" hidden="1" x14ac:dyDescent="0.25"/>
    <row r="36" spans="1:3" hidden="1" x14ac:dyDescent="0.25">
      <c r="A36" t="s">
        <v>26</v>
      </c>
      <c r="B36" t="s">
        <v>27</v>
      </c>
    </row>
    <row r="37" spans="1:3" hidden="1" x14ac:dyDescent="0.25">
      <c r="A37" t="s">
        <v>26</v>
      </c>
      <c r="B37" t="s">
        <v>27</v>
      </c>
    </row>
    <row r="38" spans="1:3" hidden="1" x14ac:dyDescent="0.25">
      <c r="A38" t="s">
        <v>26</v>
      </c>
      <c r="B38" t="s">
        <v>27</v>
      </c>
    </row>
    <row r="39" spans="1:3" hidden="1" x14ac:dyDescent="0.25"/>
    <row r="40" spans="1:3" hidden="1" x14ac:dyDescent="0.25"/>
    <row r="41" spans="1:3" hidden="1" x14ac:dyDescent="0.25">
      <c r="A41" t="s">
        <v>28</v>
      </c>
      <c r="B41" t="s">
        <v>27</v>
      </c>
    </row>
    <row r="42" spans="1:3" hidden="1" x14ac:dyDescent="0.25">
      <c r="A42" t="s">
        <v>28</v>
      </c>
      <c r="B42" t="s">
        <v>27</v>
      </c>
    </row>
    <row r="43" spans="1:3" hidden="1" x14ac:dyDescent="0.25">
      <c r="A43" t="s">
        <v>28</v>
      </c>
      <c r="B43" t="s">
        <v>27</v>
      </c>
    </row>
    <row r="44" spans="1:3" x14ac:dyDescent="0.25">
      <c r="A44" t="s">
        <v>29</v>
      </c>
      <c r="B44" s="8">
        <v>8168724.2798353918</v>
      </c>
      <c r="C44" s="8"/>
    </row>
  </sheetData>
  <mergeCells count="1">
    <mergeCell ref="A6:B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DCF in class</vt:lpstr>
      <vt:lpstr>Val 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 Ragupathy</dc:creator>
  <cp:lastModifiedBy>MB Ragupathy</cp:lastModifiedBy>
  <dcterms:created xsi:type="dcterms:W3CDTF">2020-04-05T03:56:18Z</dcterms:created>
  <dcterms:modified xsi:type="dcterms:W3CDTF">2020-04-05T04:04:25Z</dcterms:modified>
</cp:coreProperties>
</file>