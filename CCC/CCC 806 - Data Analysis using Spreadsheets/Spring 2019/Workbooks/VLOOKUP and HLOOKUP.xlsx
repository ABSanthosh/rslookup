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231"/>
  <workbookPr filterPrivacy="1" defaultThemeVersion="124226"/>
  <xr:revisionPtr revIDLastSave="0" documentId="13_ncr:1_{24B29B01-8C7C-40B0-945F-D0889CB44B50}" xr6:coauthVersionLast="40" xr6:coauthVersionMax="40" xr10:uidLastSave="{00000000-0000-0000-0000-000000000000}"/>
  <bookViews>
    <workbookView xWindow="-96" yWindow="-96" windowWidth="23232" windowHeight="12552" activeTab="5" xr2:uid="{00000000-000D-0000-FFFF-FFFF00000000}"/>
  </bookViews>
  <sheets>
    <sheet name="Assumption Sheet" sheetId="7" r:id="rId1"/>
    <sheet name="VL_exact" sheetId="5" r:id="rId2"/>
    <sheet name="V Exact" sheetId="4" r:id="rId3"/>
    <sheet name="BB" sheetId="1" r:id="rId4"/>
    <sheet name="ERP" sheetId="2" r:id="rId5"/>
    <sheet name="VLOOKUP_T" sheetId="6" r:id="rId6"/>
    <sheet name="VL_combi" sheetId="8" r:id="rId7"/>
    <sheet name="V_search" sheetId="9" r:id="rId8"/>
    <sheet name="L(1)" sheetId="10" r:id="rId9"/>
    <sheet name="L(3)" sheetId="11" r:id="rId10"/>
    <sheet name="Indian Income Tax" sheetId="12" r:id="rId11"/>
  </sheets>
  <externalReferences>
    <externalReference r:id="rId12"/>
    <externalReference r:id="rId13"/>
    <externalReference r:id="rId14"/>
    <externalReference r:id="rId15"/>
    <externalReference r:id="rId16"/>
  </externalReferences>
  <definedNames>
    <definedName name="AnswerProductTable">'[1]V Exact (an)'!$A$12:$D$19</definedName>
    <definedName name="Bats" localSheetId="0">[2]VL_exact!$A$4:$D$13</definedName>
    <definedName name="Bats" localSheetId="6">[2]VL_exact!$A$4:$D$13</definedName>
    <definedName name="Bats" localSheetId="5">[2]VL_exact!$A$4:$D$13</definedName>
    <definedName name="Bats">VL_exact!$A$15:$D$24</definedName>
    <definedName name="Bats1">[2]VL_exact!$A$4:$D$13</definedName>
    <definedName name="BoomLookup">'[3]VLOOKUP(2)'!$A$42:$D$47</definedName>
    <definedName name="CLT">VLOOKUP_T!$A$15:$C$18</definedName>
    <definedName name="Commission">VLOOKUP_T!$A$2:$B$5</definedName>
    <definedName name="CommLookupTable">'[3]Assumption Sheet'!$A$9:$B$12</definedName>
    <definedName name="Cricketbats">VL_exact!$A$14:$D$24</definedName>
    <definedName name="GradeTable">'[4]V(2)'!$A$8:$F$12</definedName>
    <definedName name="RateIncreaseData">[3]Assumptions!$A$3:$E$8</definedName>
    <definedName name="s">'[5]Y(203)-SUMIF'!$C$14:$C$24</definedName>
    <definedName name="Shipping3Tables">'[4]I(3)'!$C$11:$F$15,'[4]I(3)'!$C$20:$F$24,'[4]I(3)'!$C$29:$F$33</definedName>
    <definedName name="sr">'[5]Y(203)-SUMIF'!$B$14:$B$24</definedName>
    <definedName name="Table1">[4]Table1!$A$3:$B$7</definedName>
    <definedName name="Table2">[4]Table2!$A$3:$B$7</definedName>
    <definedName name="Table3">[4]Table3!$A$3:$B$7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6" i="8" l="1"/>
  <c r="B37" i="8"/>
  <c r="B35" i="8"/>
  <c r="B30" i="8"/>
  <c r="B31" i="8"/>
  <c r="B29" i="8"/>
  <c r="B23" i="8"/>
  <c r="B24" i="8"/>
  <c r="B22" i="8"/>
  <c r="C22" i="10" l="1"/>
  <c r="D18" i="12"/>
  <c r="B22" i="12"/>
  <c r="B21" i="12"/>
  <c r="B20" i="12"/>
  <c r="B19" i="12"/>
  <c r="B18" i="12"/>
  <c r="C12" i="12"/>
  <c r="B14" i="9"/>
  <c r="B15" i="9"/>
  <c r="B16" i="9"/>
  <c r="B13" i="9"/>
  <c r="B16" i="8"/>
  <c r="B17" i="8"/>
  <c r="B15" i="8"/>
  <c r="B10" i="8"/>
  <c r="B11" i="8"/>
  <c r="B9" i="8"/>
  <c r="J42" i="6"/>
  <c r="H42" i="6"/>
  <c r="I42" i="6"/>
  <c r="G42" i="6"/>
  <c r="G2" i="1"/>
  <c r="G3" i="1"/>
  <c r="G4" i="1"/>
  <c r="G5" i="1"/>
  <c r="G6" i="1"/>
  <c r="G7" i="1"/>
  <c r="G8" i="1"/>
  <c r="G9" i="1"/>
  <c r="G10" i="1"/>
  <c r="G11" i="1"/>
  <c r="G12" i="1"/>
  <c r="G13" i="1"/>
  <c r="H17" i="6" l="1"/>
  <c r="H18" i="6"/>
  <c r="H19" i="6"/>
  <c r="H20" i="6"/>
  <c r="H21" i="6"/>
  <c r="H22" i="6"/>
  <c r="H23" i="6"/>
  <c r="H24" i="6"/>
  <c r="H25" i="6"/>
  <c r="H16" i="6"/>
  <c r="G17" i="6"/>
  <c r="G18" i="6"/>
  <c r="G19" i="6"/>
  <c r="G20" i="6"/>
  <c r="G21" i="6"/>
  <c r="G22" i="6"/>
  <c r="G23" i="6"/>
  <c r="G24" i="6"/>
  <c r="G25" i="6"/>
  <c r="F17" i="6"/>
  <c r="F18" i="6"/>
  <c r="F19" i="6"/>
  <c r="F20" i="6"/>
  <c r="F21" i="6"/>
  <c r="F22" i="6"/>
  <c r="F23" i="6"/>
  <c r="F24" i="6"/>
  <c r="F25" i="6"/>
  <c r="F16" i="6"/>
  <c r="G16" i="6" s="1"/>
  <c r="H4" i="6"/>
  <c r="H5" i="6"/>
  <c r="H6" i="6"/>
  <c r="H7" i="6"/>
  <c r="H8" i="6"/>
  <c r="H9" i="6"/>
  <c r="H10" i="6"/>
  <c r="H11" i="6"/>
  <c r="H12" i="6"/>
  <c r="H3" i="6"/>
  <c r="G4" i="6"/>
  <c r="G5" i="6"/>
  <c r="G6" i="6"/>
  <c r="G7" i="6"/>
  <c r="G8" i="6"/>
  <c r="G9" i="6"/>
  <c r="G10" i="6"/>
  <c r="G11" i="6"/>
  <c r="G12" i="6"/>
  <c r="G3" i="6"/>
  <c r="F4" i="6"/>
  <c r="F5" i="6"/>
  <c r="F6" i="6"/>
  <c r="F7" i="6"/>
  <c r="F8" i="6"/>
  <c r="F9" i="6"/>
  <c r="F10" i="6"/>
  <c r="F11" i="6"/>
  <c r="F12" i="6"/>
  <c r="F3" i="6"/>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2" i="2"/>
  <c r="B32" i="5"/>
  <c r="B40" i="5"/>
  <c r="A18" i="12" l="1"/>
  <c r="C11" i="12"/>
  <c r="C9" i="12"/>
  <c r="B31" i="10"/>
  <c r="D15" i="10"/>
  <c r="D16" i="10" s="1"/>
  <c r="A8" i="10"/>
  <c r="A7" i="10"/>
  <c r="A6" i="10"/>
  <c r="A5" i="10"/>
  <c r="A4" i="10"/>
  <c r="A3" i="10"/>
  <c r="A2" i="10"/>
  <c r="A1" i="10"/>
  <c r="B12" i="9"/>
  <c r="D17" i="10" l="1"/>
  <c r="D18" i="10" s="1"/>
  <c r="D19" i="10" s="1"/>
  <c r="C18" i="6"/>
  <c r="C17" i="6"/>
  <c r="C16" i="6"/>
  <c r="F53" i="5"/>
  <c r="C48" i="5"/>
  <c r="D48" i="5" s="1"/>
  <c r="C53" i="5"/>
  <c r="D53" i="5" s="1"/>
  <c r="C52" i="5"/>
  <c r="D52" i="5" s="1"/>
  <c r="C51" i="5"/>
  <c r="D51" i="5" s="1"/>
  <c r="C50" i="5"/>
  <c r="D50" i="5" s="1"/>
  <c r="C49" i="5"/>
  <c r="D49" i="5" s="1"/>
  <c r="C44" i="5"/>
  <c r="B36" i="5"/>
  <c r="B28" i="5"/>
  <c r="D28" i="5" s="1"/>
  <c r="B26" i="10" l="1" a="1"/>
  <c r="D54" i="5"/>
  <c r="G53" i="5"/>
  <c r="I28" i="10" l="1"/>
  <c r="E28" i="10"/>
  <c r="I27" i="10"/>
  <c r="E27" i="10"/>
  <c r="I26" i="10"/>
  <c r="E26" i="10"/>
  <c r="H28" i="10"/>
  <c r="D28" i="10"/>
  <c r="H27" i="10"/>
  <c r="D27" i="10"/>
  <c r="H26" i="10"/>
  <c r="D26" i="10"/>
  <c r="G28" i="10"/>
  <c r="C28" i="10"/>
  <c r="G27" i="10"/>
  <c r="C27" i="10"/>
  <c r="G26" i="10"/>
  <c r="C26" i="10"/>
  <c r="F28" i="10"/>
  <c r="B28" i="10"/>
  <c r="F27" i="10"/>
  <c r="B27" i="10"/>
  <c r="F26" i="10"/>
  <c r="B26" i="10"/>
  <c r="F28" i="4"/>
  <c r="B24" i="4"/>
  <c r="D24" i="4" s="1"/>
</calcChain>
</file>

<file path=xl/sharedStrings.xml><?xml version="1.0" encoding="utf-8"?>
<sst xmlns="http://schemas.openxmlformats.org/spreadsheetml/2006/main" count="761" uniqueCount="412">
  <si>
    <t>Last Name</t>
  </si>
  <si>
    <t>First Name</t>
  </si>
  <si>
    <t>Username</t>
  </si>
  <si>
    <t>Student ID</t>
  </si>
  <si>
    <t>Last Access</t>
  </si>
  <si>
    <t>.</t>
  </si>
  <si>
    <t>Praveen Raj V</t>
  </si>
  <si>
    <t>pr450</t>
  </si>
  <si>
    <t>AGARWAL</t>
  </si>
  <si>
    <t>BHAVYA</t>
  </si>
  <si>
    <t>ba751</t>
  </si>
  <si>
    <t>Arora</t>
  </si>
  <si>
    <t>Kabir</t>
  </si>
  <si>
    <t>ka682</t>
  </si>
  <si>
    <t>Shaurya</t>
  </si>
  <si>
    <t>sa194</t>
  </si>
  <si>
    <t>Chauhan</t>
  </si>
  <si>
    <t>Devansh</t>
  </si>
  <si>
    <t>dc472</t>
  </si>
  <si>
    <t>Muskaan</t>
  </si>
  <si>
    <t>mc762</t>
  </si>
  <si>
    <t>Chhabra</t>
  </si>
  <si>
    <t>Urja</t>
  </si>
  <si>
    <t>uc464</t>
  </si>
  <si>
    <t>Dave</t>
  </si>
  <si>
    <t>Arpit</t>
  </si>
  <si>
    <t>ad933</t>
  </si>
  <si>
    <t>DWIVEDI</t>
  </si>
  <si>
    <t>ADITYA</t>
  </si>
  <si>
    <t>ad792</t>
  </si>
  <si>
    <t>Gottumukkala</t>
  </si>
  <si>
    <t>Subhash</t>
  </si>
  <si>
    <t>sg127</t>
  </si>
  <si>
    <t>Gupta</t>
  </si>
  <si>
    <t>Abhinav</t>
  </si>
  <si>
    <t>ag569</t>
  </si>
  <si>
    <t>Mukul</t>
  </si>
  <si>
    <t>mg424</t>
  </si>
  <si>
    <t>Saurabh</t>
  </si>
  <si>
    <t>sg184</t>
  </si>
  <si>
    <t>Vedansh</t>
  </si>
  <si>
    <t>vg452</t>
  </si>
  <si>
    <t>Handa</t>
  </si>
  <si>
    <t>Bhavini</t>
  </si>
  <si>
    <t>bh934</t>
  </si>
  <si>
    <t>J</t>
  </si>
  <si>
    <t>ABHIJIT</t>
  </si>
  <si>
    <t>aj448</t>
  </si>
  <si>
    <t>Jain</t>
  </si>
  <si>
    <t>Akshat</t>
  </si>
  <si>
    <t>aj648</t>
  </si>
  <si>
    <t>Jalota</t>
  </si>
  <si>
    <t>Sargam</t>
  </si>
  <si>
    <t>sj871</t>
  </si>
  <si>
    <t>Jay</t>
  </si>
  <si>
    <t>Ritwik</t>
  </si>
  <si>
    <t>rj327</t>
  </si>
  <si>
    <t>Joshi</t>
  </si>
  <si>
    <t>Akshara</t>
  </si>
  <si>
    <t>aj897</t>
  </si>
  <si>
    <t>Kanhe</t>
  </si>
  <si>
    <t>Paritosh</t>
  </si>
  <si>
    <t>pn596</t>
  </si>
  <si>
    <t>Kapoor</t>
  </si>
  <si>
    <t>Garima</t>
  </si>
  <si>
    <t>gk846</t>
  </si>
  <si>
    <t>KATIYAR</t>
  </si>
  <si>
    <t>VARUN</t>
  </si>
  <si>
    <t>vk129</t>
  </si>
  <si>
    <t>Kilaparthi</t>
  </si>
  <si>
    <t>Venkata Sai</t>
  </si>
  <si>
    <t>vk677</t>
  </si>
  <si>
    <t>Koshta</t>
  </si>
  <si>
    <t>Sachin</t>
  </si>
  <si>
    <t>sk905</t>
  </si>
  <si>
    <t>LALWANI</t>
  </si>
  <si>
    <t>AAKRITI</t>
  </si>
  <si>
    <t>al952</t>
  </si>
  <si>
    <t>Lohan</t>
  </si>
  <si>
    <t>Gautam</t>
  </si>
  <si>
    <t>gl667</t>
  </si>
  <si>
    <t>Mahajan</t>
  </si>
  <si>
    <t>Priyasha</t>
  </si>
  <si>
    <t>pm517</t>
  </si>
  <si>
    <t>Mehra</t>
  </si>
  <si>
    <t>Danish</t>
  </si>
  <si>
    <t>dm729</t>
  </si>
  <si>
    <t>Mettapalli</t>
  </si>
  <si>
    <t>Joe</t>
  </si>
  <si>
    <t>jm163</t>
  </si>
  <si>
    <t>N/A</t>
  </si>
  <si>
    <t>Dhruv</t>
  </si>
  <si>
    <t>dn947</t>
  </si>
  <si>
    <t>Parvathaneni</t>
  </si>
  <si>
    <t>Anuroop</t>
  </si>
  <si>
    <t>ap244</t>
  </si>
  <si>
    <t>Rai</t>
  </si>
  <si>
    <t>Manas</t>
  </si>
  <si>
    <t>mr729</t>
  </si>
  <si>
    <t>RAJPUT</t>
  </si>
  <si>
    <t>VISHAL</t>
  </si>
  <si>
    <t>vr492</t>
  </si>
  <si>
    <t>Ramachandran</t>
  </si>
  <si>
    <t>Vignesh</t>
  </si>
  <si>
    <t>vr468</t>
  </si>
  <si>
    <t>Reddy</t>
  </si>
  <si>
    <t>Jale</t>
  </si>
  <si>
    <t>jr158</t>
  </si>
  <si>
    <t>S</t>
  </si>
  <si>
    <t>Mohith</t>
  </si>
  <si>
    <t>ms207</t>
  </si>
  <si>
    <t>Santhakumar</t>
  </si>
  <si>
    <t>Nivedhithaa</t>
  </si>
  <si>
    <t>ns465</t>
  </si>
  <si>
    <t>Sethi</t>
  </si>
  <si>
    <t>Rishabh</t>
  </si>
  <si>
    <t>rs984</t>
  </si>
  <si>
    <t>Singh</t>
  </si>
  <si>
    <t>Pratyush</t>
  </si>
  <si>
    <t>ps825</t>
  </si>
  <si>
    <t>SINGHAL</t>
  </si>
  <si>
    <t>HRITIK</t>
  </si>
  <si>
    <t>hs270</t>
  </si>
  <si>
    <t>SRIVASTAVA</t>
  </si>
  <si>
    <t>ANIRUKTA</t>
  </si>
  <si>
    <t>as392</t>
  </si>
  <si>
    <t>VUNNAVA</t>
  </si>
  <si>
    <t>BALAJI</t>
  </si>
  <si>
    <t>bv808</t>
  </si>
  <si>
    <t>Final</t>
  </si>
  <si>
    <t>Notify</t>
  </si>
  <si>
    <t>Campus ID</t>
  </si>
  <si>
    <t>Name</t>
  </si>
  <si>
    <t>Grade Basis</t>
  </si>
  <si>
    <t>Units</t>
  </si>
  <si>
    <t>Program and Plan</t>
  </si>
  <si>
    <t>Level</t>
  </si>
  <si>
    <t>.,Akshara</t>
  </si>
  <si>
    <t>Graded</t>
  </si>
  <si>
    <t>Bachelor of Science (Research) - Mathematics</t>
  </si>
  <si>
    <t>3rd Year</t>
  </si>
  <si>
    <t>AGGARWAL,BHAVYA</t>
  </si>
  <si>
    <t>Bachelor of Technology - Electrical &amp; Electronics Engg</t>
  </si>
  <si>
    <t>Arora,Kabir Kanha</t>
  </si>
  <si>
    <t>Bachelor of Technology - Computer Science &amp; Engineering</t>
  </si>
  <si>
    <t>2nd Year</t>
  </si>
  <si>
    <t>Arora,Shaurya</t>
  </si>
  <si>
    <t>Bachelor of Management Studies - Bachelor of Management Studies</t>
  </si>
  <si>
    <t>Chauhan,Devansh</t>
  </si>
  <si>
    <t>4th Year</t>
  </si>
  <si>
    <t>Chauhan,Muskaan</t>
  </si>
  <si>
    <t>Bachelor of Science (Research) - Economics</t>
  </si>
  <si>
    <t>Chhabra,Urja</t>
  </si>
  <si>
    <t>DWIVEDI,ADITYA</t>
  </si>
  <si>
    <t>Bachelor of Technology - Electronics and Comm Engg</t>
  </si>
  <si>
    <t>Dave,Arpit</t>
  </si>
  <si>
    <t>Gottumukkala,Subhash</t>
  </si>
  <si>
    <t>Bachelor of Technology - Civil Engineering</t>
  </si>
  <si>
    <t>Gupta,Abhinav</t>
  </si>
  <si>
    <t>Gupta,Mukul</t>
  </si>
  <si>
    <t>Gupta,Saurabh</t>
  </si>
  <si>
    <t>Gupta,Vedansh</t>
  </si>
  <si>
    <t>Handa,Bhavini</t>
  </si>
  <si>
    <t>J,ABHIJIT</t>
  </si>
  <si>
    <t>Jain,Akshat</t>
  </si>
  <si>
    <t>Bachelor of Technology - Mechanical Engineering</t>
  </si>
  <si>
    <t>Jalota,Sargam</t>
  </si>
  <si>
    <t>Jay,Ritwik</t>
  </si>
  <si>
    <t>Bachelor of Science (Research) - Physics</t>
  </si>
  <si>
    <t>KATIYAR,VARUN</t>
  </si>
  <si>
    <t>Kanhe,Paritosh</t>
  </si>
  <si>
    <t>Kapoor,Garima</t>
  </si>
  <si>
    <t>Kilaparthi,Venkata Sai Teja</t>
  </si>
  <si>
    <t>Koshta,Sachin</t>
  </si>
  <si>
    <t>LALWANI,AAKRITI</t>
  </si>
  <si>
    <t>Lohan,Gautam</t>
  </si>
  <si>
    <t>Mahajan,Priyasha</t>
  </si>
  <si>
    <t>Mehra,Danish</t>
  </si>
  <si>
    <t>Mettapalli,Joe</t>
  </si>
  <si>
    <t>N/A,Dhruv</t>
  </si>
  <si>
    <t>Parvathaneni,Anuroop</t>
  </si>
  <si>
    <t>RAJPUT,VISHAL</t>
  </si>
  <si>
    <t>Rai,Manas</t>
  </si>
  <si>
    <t>Bachelor of Technology - Electronics and Comm Engg/Communication</t>
  </si>
  <si>
    <t>Ramachandran,Vignesh</t>
  </si>
  <si>
    <t>Reddy,Jale Gnana Sai</t>
  </si>
  <si>
    <t>S,Mohith</t>
  </si>
  <si>
    <t>SINGHAL,HRITIK</t>
  </si>
  <si>
    <t>SRIVASTAVA,ANIRUKTA</t>
  </si>
  <si>
    <t>Santhakumar,Nivedhithaa</t>
  </si>
  <si>
    <t>Sethi,Rishabh</t>
  </si>
  <si>
    <t>Singh,Pratyush</t>
  </si>
  <si>
    <t>V,Praveen Raj</t>
  </si>
  <si>
    <t>VUNNAVA,BALAJI</t>
  </si>
  <si>
    <t>Marks</t>
  </si>
  <si>
    <t>VLOOKUP Delivers a value to a cell</t>
  </si>
  <si>
    <t>VlookUP is not case sensitive</t>
  </si>
  <si>
    <r>
      <rPr>
        <b/>
        <sz val="11"/>
        <color theme="1"/>
        <rFont val="Calibri"/>
        <family val="2"/>
        <scheme val="minor"/>
      </rPr>
      <t xml:space="preserve">Exact Match: </t>
    </r>
    <r>
      <rPr>
        <sz val="11"/>
        <color theme="1"/>
        <rFont val="Calibri"/>
        <family val="2"/>
        <scheme val="minor"/>
      </rPr>
      <t>means VLOOKUP starts at first item in first column and looks through column at each item until it finds an exact match.</t>
    </r>
  </si>
  <si>
    <t>If there are duplicates, it only finds the first one.</t>
  </si>
  <si>
    <t>If it can't find a match, it returns an #N/A error.</t>
  </si>
  <si>
    <t>1st column is where VLOOKUP "looks" to figure out what row in the table has the value it wants</t>
  </si>
  <si>
    <t>Tell VLOOKUP what value it should look up = 1st argument</t>
  </si>
  <si>
    <t>Tell VLOOKUP where the table is = 2nd argument</t>
  </si>
  <si>
    <t>Tell VLOOKUP what column holds the value you want to return to the cell = 3rd argument</t>
  </si>
  <si>
    <t>Tell VLOOKUP whether you are doing exact ( 0 ) or approximate (leave argument blank) match = 4th argument</t>
  </si>
  <si>
    <t>Boomerang</t>
  </si>
  <si>
    <t>Part Number</t>
  </si>
  <si>
    <t>Flight Range (meters)</t>
  </si>
  <si>
    <t>Price</t>
  </si>
  <si>
    <t>Bellen</t>
  </si>
  <si>
    <t>1000-165-B100</t>
  </si>
  <si>
    <t>Carlota</t>
  </si>
  <si>
    <t>1001-540-C101</t>
  </si>
  <si>
    <t>Majestic Beaut</t>
  </si>
  <si>
    <t>1002-394-M102</t>
  </si>
  <si>
    <t>Quad</t>
  </si>
  <si>
    <t>1003-307-Q103</t>
  </si>
  <si>
    <t>Sunshine</t>
  </si>
  <si>
    <t>1004-848-S104</t>
  </si>
  <si>
    <t>Sunset</t>
  </si>
  <si>
    <t>1005-155-S105</t>
  </si>
  <si>
    <t>Tri-Fly</t>
  </si>
  <si>
    <t>1006-552-T106</t>
  </si>
  <si>
    <t>Outdoor Tri-Fly</t>
  </si>
  <si>
    <t>1007-634-O107</t>
  </si>
  <si>
    <r>
      <rPr>
        <b/>
        <sz val="11"/>
        <color theme="1"/>
        <rFont val="Calibri"/>
        <family val="2"/>
        <scheme val="minor"/>
      </rPr>
      <t xml:space="preserve">Exact Match: </t>
    </r>
    <r>
      <rPr>
        <sz val="11"/>
        <color theme="1"/>
        <rFont val="Calibri"/>
        <family val="2"/>
        <scheme val="minor"/>
      </rPr>
      <t>Linear search (top to bottom). If there are duplicates, it only finds the first one. If it can't find a match, it returns an #N?A error.</t>
    </r>
  </si>
  <si>
    <t>Total</t>
  </si>
  <si>
    <t>VLOOKUP #N/A and IFERROR or IF</t>
  </si>
  <si>
    <t>VLOOKUP and Data Validation</t>
  </si>
  <si>
    <t>Alt, D, L = Data Validation</t>
  </si>
  <si>
    <t>Range</t>
  </si>
  <si>
    <t>VLOOKUP with Named Range</t>
  </si>
  <si>
    <t>Name Box = left side of formula bar</t>
  </si>
  <si>
    <t>Ctrl + F3 = Name Manager</t>
  </si>
  <si>
    <t>F2 and Edit Mode:</t>
  </si>
  <si>
    <t>Edit    = Arrow Keys move through formula</t>
  </si>
  <si>
    <t>VLOOKUP as Formula Element</t>
  </si>
  <si>
    <t>Enter = Arrow Keys can put cell references in formula</t>
  </si>
  <si>
    <t>Point = Arrow Keys are putting cell references in formula (dancing ants are dancing).</t>
  </si>
  <si>
    <t>Invoive Example:</t>
  </si>
  <si>
    <t>Product</t>
  </si>
  <si>
    <t>Subtotal</t>
  </si>
  <si>
    <t>HLOOKUP</t>
  </si>
  <si>
    <t>H = Horizontal</t>
  </si>
  <si>
    <t>Description</t>
  </si>
  <si>
    <t>Outdoor Tri=Fly</t>
  </si>
  <si>
    <t>Top 10 cricketing bats in the world</t>
  </si>
  <si>
    <t>Cricket Bats</t>
  </si>
  <si>
    <t>Hitting Range (meters)</t>
  </si>
  <si>
    <t>Kookaburra Kahuna</t>
  </si>
  <si>
    <t>Adidas Incurza</t>
  </si>
  <si>
    <t>Gray-Nicolls Viper</t>
  </si>
  <si>
    <t>GM Icon</t>
  </si>
  <si>
    <t>SG Cobra select</t>
  </si>
  <si>
    <t>Puma Ballistic</t>
  </si>
  <si>
    <t>SS Ton GLADIATOR</t>
  </si>
  <si>
    <t>Kookaburra Angry Beast</t>
  </si>
  <si>
    <t>Reebok Blast</t>
  </si>
  <si>
    <t>1009-987-B098</t>
  </si>
  <si>
    <t>Spartan CG Authority</t>
  </si>
  <si>
    <t>1007-567-C987</t>
  </si>
  <si>
    <t>Reebok Blats</t>
  </si>
  <si>
    <t>Example 1: Lookup Exact Value</t>
  </si>
  <si>
    <t>SalesRep</t>
  </si>
  <si>
    <t>Commission Rate</t>
  </si>
  <si>
    <t>Sales</t>
  </si>
  <si>
    <t>Commission</t>
  </si>
  <si>
    <t>1 Formula Commission</t>
  </si>
  <si>
    <t>Example 2: Lookup Approximate Value</t>
  </si>
  <si>
    <t>Category</t>
  </si>
  <si>
    <t>Example 3: Lookup Approximate Value from a Different Sheet</t>
  </si>
  <si>
    <t>Example 4: Data Validation and Lookup Exact Value from Multiple Columns</t>
  </si>
  <si>
    <t>Cost</t>
  </si>
  <si>
    <t>Boom 1</t>
  </si>
  <si>
    <t>Boom 5</t>
  </si>
  <si>
    <t>Boom 2</t>
  </si>
  <si>
    <t>Boom 3</t>
  </si>
  <si>
    <t>COLUMNS function tells you how many columns there in a range of cells.</t>
  </si>
  <si>
    <t>Boom 4</t>
  </si>
  <si>
    <t>Boom 6</t>
  </si>
  <si>
    <t>Noddy</t>
  </si>
  <si>
    <t>Raju</t>
  </si>
  <si>
    <t>Bholu</t>
  </si>
  <si>
    <t>Assumptions for 'WorkbookWorksheetR' sheet and 'VLOOKUP(1)' sheet</t>
  </si>
  <si>
    <t>Commission Rates</t>
  </si>
  <si>
    <t>Assumptions for 'VLOOKUP(2)' sheet</t>
  </si>
  <si>
    <t>20 Meter Bat</t>
  </si>
  <si>
    <t>25 Meter Bat</t>
  </si>
  <si>
    <t>30 Meter Bat</t>
  </si>
  <si>
    <t>40 Meter Bat</t>
  </si>
  <si>
    <t>50 Meter Bat</t>
  </si>
  <si>
    <t>60 Meter Bat</t>
  </si>
  <si>
    <t>RIGHT extracts a given number of characters from the right</t>
  </si>
  <si>
    <t>LEFT extracts a given number of characters from the left</t>
  </si>
  <si>
    <t>MID extracts from the midele giben a starting point and the number of charactesr that you want</t>
  </si>
  <si>
    <t>SEARCH tells you the position of a text string within a larger text string</t>
  </si>
  <si>
    <t>Partial Text Lookup: RIGHT</t>
  </si>
  <si>
    <t>Students ID</t>
  </si>
  <si>
    <t>Credits required</t>
  </si>
  <si>
    <t>ID</t>
  </si>
  <si>
    <t>Lakhan-920-M012</t>
  </si>
  <si>
    <t>M012</t>
  </si>
  <si>
    <t>Mallika-234-E032</t>
  </si>
  <si>
    <t>E032</t>
  </si>
  <si>
    <t>Shyam-543-H786</t>
  </si>
  <si>
    <t>H786</t>
  </si>
  <si>
    <t>Partial Text Lookup: LEFT and SEARCH</t>
  </si>
  <si>
    <t>Lakhan</t>
  </si>
  <si>
    <t>Mallika</t>
  </si>
  <si>
    <t>Shyam</t>
  </si>
  <si>
    <t>Partial Text Lookup: MID</t>
  </si>
  <si>
    <t>Extract after 2nd dash:</t>
  </si>
  <si>
    <t>Lakhan-920-M012456</t>
  </si>
  <si>
    <t>Mallika-234-E0327</t>
  </si>
  <si>
    <t>Lakhan-92032-M012</t>
  </si>
  <si>
    <t>Mallika-2334-E032</t>
  </si>
  <si>
    <t>Astrix * means 1 or more characters</t>
  </si>
  <si>
    <t>Ampersand (Shift + 7) is the join symbol</t>
  </si>
  <si>
    <t>Partial Text VLOOKUP (Exact Match) with wildcards</t>
  </si>
  <si>
    <t>Producer</t>
  </si>
  <si>
    <t>Beer</t>
  </si>
  <si>
    <t>Great Beer Inc.</t>
  </si>
  <si>
    <t>Good Beer</t>
  </si>
  <si>
    <t>Red Hook</t>
  </si>
  <si>
    <t>Long Hammer</t>
  </si>
  <si>
    <t>Pyramid Brewery</t>
  </si>
  <si>
    <t>IPA</t>
  </si>
  <si>
    <t>Sierra Nevada Brewing Co.</t>
  </si>
  <si>
    <t>Pale Ale</t>
  </si>
  <si>
    <t>Partial Text</t>
  </si>
  <si>
    <t>Great Beer</t>
  </si>
  <si>
    <t>Pyramid</t>
  </si>
  <si>
    <t>Sierra Nevada</t>
  </si>
  <si>
    <t>LOOKUP function was the first lookup function. It was in VisiCalc in 1979.</t>
  </si>
  <si>
    <t>LOOKUP function can do vertical lookup (array argument has more rows than columns), horizontal lookup (array argument has more columns than rows) or lookup where the lookup column (lookup_vector) and the "values to retrieve column" (result_vector) are in different locations.</t>
  </si>
  <si>
    <t>LOOKUP function must have the lookup_vector (1st column for vertical lookup, 1st row for horizontal lookup, or lookup_vector) sorted in ascending order (smallest to biggest).</t>
  </si>
  <si>
    <t>When doing a vertical lookup, LOOKUP always retrieves a value from the last column. When doing a horizontal lookup, LOOKUP always retrieves a value from the last row.</t>
  </si>
  <si>
    <t>LOOKUP only does "approximate match". What it says in help: "LOOKUP looks up the greatest value that does not exceed a specified value anywhere in a table or range."</t>
  </si>
  <si>
    <t>There are two ways to think about how it works:
1) The LOOKUP finds the biggest value that is greater than or equal to the lookup_value
2) The LOOKUP takes the lookup_value in its memory and looks until it sees a value bigger than the lookup_value, then it jumps back to the previous row/column and uses the data from that row/column</t>
  </si>
  <si>
    <t>If the first value in the lookup_vector (1st column for vertical lookup, 1st row for horizontal lookup, or lookup_vector) is bigger than the lookup_value, then LOOKUP returns #N/A (Not Available).</t>
  </si>
  <si>
    <t>If the last value in the lookup_vector lookup_vector (1st column for vertical lookup, 1st row for horizontal lookup, or lookup_vector) is bigger than the lookup_value, then LOOKUP returns the data from the last row.</t>
  </si>
  <si>
    <t>More rows than columns: LOOKUP does vertical lookup</t>
  </si>
  <si>
    <t>Commission Table</t>
  </si>
  <si>
    <t>Rate</t>
  </si>
  <si>
    <t>Previous Bracket</t>
  </si>
  <si>
    <t>LOOKUP:</t>
  </si>
  <si>
    <t>1) 1st column sorted ascending</t>
  </si>
  <si>
    <t>2) only does approximate lookup</t>
  </si>
  <si>
    <t>3) always returns value from last column / row</t>
  </si>
  <si>
    <t>4) can do V or H Lookup</t>
  </si>
  <si>
    <t>5) can have 2 vectors</t>
  </si>
  <si>
    <t>More columns than rows LOOKUP does horizontal lookup</t>
  </si>
  <si>
    <t>Look To Left</t>
  </si>
  <si>
    <t>Lookup can lookup values in one vector and return a value from a different vector (but unlike the alternative INDEX &amp; MATCH, LOOKUP can only lookup an approximate value and the lookup_vector must be sorted in ascending order)</t>
  </si>
  <si>
    <t>Boom01</t>
  </si>
  <si>
    <t>Flying Range is 10</t>
  </si>
  <si>
    <t>Boom08</t>
  </si>
  <si>
    <t>Flying Range is 110</t>
  </si>
  <si>
    <t>Boom09</t>
  </si>
  <si>
    <t>Flying Range is 160</t>
  </si>
  <si>
    <t>Boom02</t>
  </si>
  <si>
    <t>Flying Range is 20</t>
  </si>
  <si>
    <t>Boom03</t>
  </si>
  <si>
    <t>Flying Range is 50</t>
  </si>
  <si>
    <t>Boom04</t>
  </si>
  <si>
    <t>Flying Range is 60</t>
  </si>
  <si>
    <t>Boom05</t>
  </si>
  <si>
    <t>Flying Range is 70</t>
  </si>
  <si>
    <t>Boom06</t>
  </si>
  <si>
    <t>Flying Range is 80</t>
  </si>
  <si>
    <t>Boom07</t>
  </si>
  <si>
    <t>Flying Range is 85</t>
  </si>
  <si>
    <t>INDEX &amp; MATCH better because you can do exact match</t>
  </si>
  <si>
    <t>Look in 1 vector and retrieve in another</t>
  </si>
  <si>
    <t>Names</t>
  </si>
  <si>
    <t>Hire Date</t>
  </si>
  <si>
    <t>Name1</t>
  </si>
  <si>
    <t>Name2</t>
  </si>
  <si>
    <t>Name3</t>
  </si>
  <si>
    <t>Longer to calculate, can't do exact match (must be sorted)</t>
  </si>
  <si>
    <t>Name4</t>
  </si>
  <si>
    <t>Name5</t>
  </si>
  <si>
    <t>Name6</t>
  </si>
  <si>
    <t>Name7</t>
  </si>
  <si>
    <t>Name8</t>
  </si>
  <si>
    <t>Income Tax Slab</t>
  </si>
  <si>
    <t>Income Tax Rate</t>
  </si>
  <si>
    <t>Income upto Rs. 2,50,000</t>
  </si>
  <si>
    <t>Nil</t>
  </si>
  <si>
    <t>Income between Rs. 2,50,001 - Rs. 500,000</t>
  </si>
  <si>
    <t>10% of Income exceeding Rs. 2,50,000</t>
  </si>
  <si>
    <t>Income between Rs. 500,001 - Rs. 10,00,000</t>
  </si>
  <si>
    <t>20% of Income exceeding Rs. 5,00,000</t>
  </si>
  <si>
    <t>Income above Rs. 10,00,000</t>
  </si>
  <si>
    <t>30% of Income exceeding Rs. 10,00,000</t>
  </si>
  <si>
    <t>Lookup Value</t>
  </si>
  <si>
    <t>Percentage</t>
  </si>
  <si>
    <t>Tax From Previous Bracket</t>
  </si>
  <si>
    <t>Taxable Earnings</t>
  </si>
  <si>
    <t>Total Tax</t>
  </si>
  <si>
    <t>Tax Rate</t>
  </si>
  <si>
    <t>Amount already taxed</t>
  </si>
  <si>
    <t>Amount to tax in this bracket</t>
  </si>
  <si>
    <t>Select name of bat from drop down list to get Hitting range</t>
  </si>
  <si>
    <t>Used IFERROR</t>
  </si>
  <si>
    <t>Paste values and source formatting</t>
  </si>
  <si>
    <t>We have created a template for an invoice</t>
  </si>
  <si>
    <t>VLOOKUP IS MAGICAL</t>
  </si>
  <si>
    <t>Look at 'Assumption Sheet'</t>
  </si>
  <si>
    <t>Can also use find within find instead of the substitute thing.</t>
  </si>
  <si>
    <t>Or search within search.</t>
  </si>
  <si>
    <t>Asterisk is a very powerful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</si>
</sst>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164" formatCode="&quot;$&quot;#,##0,"/>
    <numFmt numFmtId="165" formatCode="d\-mmm\-yyyy"/>
    <numFmt numFmtId="166" formatCode="#\ ???/???"/>
    <numFmt numFmtId="167" formatCode="0.0%"/>
    <numFmt numFmtId="168" formatCode="m/d/yy;@"/>
  </numFmts>
  <fonts count="19" x14ac:knownFonts="1">
    <font>
      <sz val="11"/>
      <color theme="1"/>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u val="doubleAccounting"/>
      <sz val="11"/>
      <color theme="1"/>
      <name val="Calibri"/>
      <family val="2"/>
      <scheme val="minor"/>
    </font>
    <font>
      <sz val="14"/>
      <color theme="1"/>
      <name val="Calibri"/>
      <family val="2"/>
      <scheme val="minor"/>
    </font>
    <font>
      <sz val="10"/>
      <name val="Arial"/>
      <family val="2"/>
    </font>
    <font>
      <sz val="10"/>
      <color indexed="9"/>
      <name val="Arial"/>
      <family val="2"/>
    </font>
    <font>
      <sz val="12"/>
      <name val="Bookman Old Style"/>
      <family val="1"/>
    </font>
    <font>
      <b/>
      <sz val="10"/>
      <name val="Arial"/>
      <family val="2"/>
    </font>
    <font>
      <b/>
      <sz val="16"/>
      <color indexed="53"/>
      <name val="Bell MT"/>
      <family val="1"/>
    </font>
    <font>
      <b/>
      <sz val="11"/>
      <color rgb="FFFF0000"/>
      <name val="Calibri"/>
      <family val="2"/>
      <scheme val="minor"/>
    </font>
    <font>
      <sz val="11"/>
      <color theme="1"/>
      <name val="Calibri"/>
      <family val="2"/>
      <scheme val="minor"/>
    </font>
    <font>
      <b/>
      <sz val="11"/>
      <color theme="0"/>
      <name val="Calibri"/>
      <family val="2"/>
      <scheme val="minor"/>
    </font>
    <font>
      <sz val="11"/>
      <name val="Calibri"/>
      <family val="2"/>
      <scheme val="minor"/>
    </font>
    <font>
      <sz val="12"/>
      <color rgb="FF222222"/>
      <name val="Arial"/>
      <family val="2"/>
    </font>
    <font>
      <i/>
      <sz val="11"/>
      <color rgb="FF7F7F7F"/>
      <name val="Calibri"/>
      <family val="2"/>
      <scheme val="minor"/>
    </font>
    <font>
      <i/>
      <sz val="11"/>
      <color theme="1"/>
      <name val="Calibri"/>
      <family val="2"/>
      <scheme val="minor"/>
    </font>
  </fonts>
  <fills count="21">
    <fill>
      <patternFill patternType="none"/>
    </fill>
    <fill>
      <patternFill patternType="gray125"/>
    </fill>
    <fill>
      <patternFill patternType="solid">
        <fgColor rgb="FFFFFFCC"/>
        <bgColor indexed="64"/>
      </patternFill>
    </fill>
    <fill>
      <patternFill patternType="solid">
        <fgColor rgb="FF002060"/>
        <bgColor indexed="64"/>
      </patternFill>
    </fill>
    <fill>
      <patternFill patternType="solid">
        <fgColor rgb="FFCCFFCC"/>
        <bgColor indexed="64"/>
      </patternFill>
    </fill>
    <fill>
      <patternFill patternType="solid">
        <fgColor theme="8" tint="0.39997558519241921"/>
        <bgColor indexed="64"/>
      </patternFill>
    </fill>
    <fill>
      <patternFill patternType="solid">
        <fgColor indexed="12"/>
        <bgColor indexed="64"/>
      </patternFill>
    </fill>
    <fill>
      <patternFill patternType="solid">
        <fgColor indexed="11"/>
        <bgColor indexed="64"/>
      </patternFill>
    </fill>
    <fill>
      <patternFill patternType="solid">
        <fgColor indexed="10"/>
        <bgColor indexed="64"/>
      </patternFill>
    </fill>
    <fill>
      <patternFill patternType="solid">
        <fgColor indexed="26"/>
      </patternFill>
    </fill>
    <fill>
      <patternFill patternType="solid">
        <fgColor indexed="13"/>
        <bgColor indexed="64"/>
      </patternFill>
    </fill>
    <fill>
      <patternFill patternType="solid">
        <fgColor rgb="FFFF0000"/>
        <bgColor indexed="64"/>
      </patternFill>
    </fill>
    <fill>
      <patternFill patternType="solid">
        <fgColor rgb="FF0000FF"/>
        <bgColor indexed="64"/>
      </patternFill>
    </fill>
    <fill>
      <patternFill patternType="solid">
        <fgColor rgb="FFFFFF99"/>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rgb="FF006600"/>
        <bgColor indexed="64"/>
      </patternFill>
    </fill>
    <fill>
      <patternFill patternType="solid">
        <fgColor rgb="FFCCFFFF"/>
        <bgColor indexed="64"/>
      </patternFill>
    </fill>
    <fill>
      <patternFill patternType="solid">
        <fgColor rgb="FF0066FF"/>
        <bgColor indexed="64"/>
      </patternFill>
    </fill>
    <fill>
      <patternFill patternType="solid">
        <fgColor rgb="FFFFFFFF"/>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indexed="53"/>
      </left>
      <right style="thick">
        <color indexed="53"/>
      </right>
      <top style="thick">
        <color indexed="53"/>
      </top>
      <bottom style="thick">
        <color indexed="53"/>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7">
    <xf numFmtId="0" fontId="0" fillId="0" borderId="0"/>
    <xf numFmtId="0" fontId="7" fillId="0" borderId="8"/>
    <xf numFmtId="0" fontId="8" fillId="6" borderId="8">
      <alignment wrapText="1"/>
    </xf>
    <xf numFmtId="0" fontId="8" fillId="6" borderId="8">
      <alignment horizontal="centerContinuous" wrapText="1"/>
    </xf>
    <xf numFmtId="44" fontId="7" fillId="0" borderId="0" applyFont="0" applyFill="0" applyBorder="0" applyAlignment="0" applyProtection="0"/>
    <xf numFmtId="164" fontId="9" fillId="0" borderId="0"/>
    <xf numFmtId="165" fontId="10" fillId="0" borderId="0" applyFont="0" applyFill="0" applyBorder="0" applyProtection="0">
      <alignment horizontal="center"/>
    </xf>
    <xf numFmtId="0" fontId="7" fillId="0" borderId="0"/>
    <xf numFmtId="0" fontId="7" fillId="0" borderId="0"/>
    <xf numFmtId="166" fontId="11" fillId="7" borderId="12">
      <alignment horizontal="left" indent="2"/>
    </xf>
    <xf numFmtId="0" fontId="7" fillId="8" borderId="8">
      <alignment horizontal="centerContinuous" wrapText="1"/>
    </xf>
    <xf numFmtId="0" fontId="7" fillId="0" borderId="0">
      <alignment wrapText="1"/>
    </xf>
    <xf numFmtId="0" fontId="7" fillId="9" borderId="0" applyNumberFormat="0" applyFont="0" applyBorder="0" applyAlignment="0" applyProtection="0"/>
    <xf numFmtId="0" fontId="7" fillId="10" borderId="8">
      <alignment horizontal="centerContinuous" wrapText="1"/>
    </xf>
    <xf numFmtId="9" fontId="13" fillId="0" borderId="0" applyFont="0" applyFill="0" applyBorder="0" applyAlignment="0" applyProtection="0"/>
    <xf numFmtId="0" fontId="17" fillId="0" borderId="0" applyNumberFormat="0" applyFill="0" applyBorder="0" applyAlignment="0" applyProtection="0"/>
    <xf numFmtId="44" fontId="13" fillId="0" borderId="0" applyFont="0" applyFill="0" applyBorder="0" applyAlignment="0" applyProtection="0"/>
  </cellStyleXfs>
  <cellXfs count="70">
    <xf numFmtId="0" fontId="0" fillId="0" borderId="0" xfId="0"/>
    <xf numFmtId="22" fontId="0" fillId="0" borderId="0" xfId="0" applyNumberFormat="1"/>
    <xf numFmtId="0" fontId="3" fillId="0" borderId="1" xfId="0" applyFont="1" applyBorder="1" applyAlignment="1">
      <alignment horizontal="center" vertical="center" wrapText="1"/>
    </xf>
    <xf numFmtId="0" fontId="0" fillId="0" borderId="1" xfId="0" applyBorder="1" applyAlignment="1">
      <alignment wrapText="1"/>
    </xf>
    <xf numFmtId="0" fontId="4" fillId="0" borderId="1" xfId="0" applyFont="1" applyBorder="1" applyAlignment="1">
      <alignment wrapText="1"/>
    </xf>
    <xf numFmtId="0" fontId="3" fillId="0" borderId="2" xfId="0" applyFont="1" applyBorder="1" applyAlignment="1">
      <alignment horizontal="center" vertical="center" wrapText="1"/>
    </xf>
    <xf numFmtId="0" fontId="0" fillId="2" borderId="3" xfId="0" applyFill="1" applyBorder="1"/>
    <xf numFmtId="0" fontId="0" fillId="2" borderId="0" xfId="0" applyFill="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2" fillId="3" borderId="8" xfId="0" applyFont="1" applyFill="1" applyBorder="1"/>
    <xf numFmtId="8" fontId="0" fillId="0" borderId="0" xfId="0" applyNumberFormat="1"/>
    <xf numFmtId="0" fontId="0" fillId="0" borderId="8" xfId="0" applyBorder="1"/>
    <xf numFmtId="8" fontId="0" fillId="0" borderId="8" xfId="0" applyNumberFormat="1" applyBorder="1"/>
    <xf numFmtId="0" fontId="0" fillId="0" borderId="3" xfId="0" applyBorder="1"/>
    <xf numFmtId="0" fontId="1" fillId="0" borderId="0" xfId="0" applyFont="1"/>
    <xf numFmtId="0" fontId="2" fillId="3" borderId="9" xfId="0" applyFont="1" applyFill="1" applyBorder="1"/>
    <xf numFmtId="0" fontId="0" fillId="4" borderId="8" xfId="0" applyFill="1" applyBorder="1"/>
    <xf numFmtId="0" fontId="5" fillId="4" borderId="8" xfId="0" applyFont="1" applyFill="1" applyBorder="1"/>
    <xf numFmtId="2" fontId="0" fillId="0" borderId="8" xfId="0" applyNumberFormat="1" applyBorder="1"/>
    <xf numFmtId="0" fontId="2" fillId="11" borderId="10" xfId="0" applyFont="1" applyFill="1" applyBorder="1" applyAlignment="1">
      <alignment horizontal="centerContinuous" wrapText="1"/>
    </xf>
    <xf numFmtId="0" fontId="2" fillId="11" borderId="13" xfId="0" applyFont="1" applyFill="1" applyBorder="1" applyAlignment="1">
      <alignment horizontal="centerContinuous" wrapText="1"/>
    </xf>
    <xf numFmtId="0" fontId="2" fillId="11" borderId="11" xfId="0" applyFont="1" applyFill="1" applyBorder="1" applyAlignment="1">
      <alignment horizontal="centerContinuous" wrapText="1"/>
    </xf>
    <xf numFmtId="0" fontId="2" fillId="12" borderId="8" xfId="0" applyFont="1" applyFill="1" applyBorder="1"/>
    <xf numFmtId="0" fontId="2" fillId="12" borderId="8" xfId="0" applyFont="1" applyFill="1" applyBorder="1" applyAlignment="1">
      <alignment wrapText="1"/>
    </xf>
    <xf numFmtId="0" fontId="0" fillId="13" borderId="8" xfId="0" applyFill="1" applyBorder="1"/>
    <xf numFmtId="0" fontId="0" fillId="13" borderId="8" xfId="0" applyFill="1" applyBorder="1" applyAlignment="1">
      <alignment wrapText="1"/>
    </xf>
    <xf numFmtId="0" fontId="2" fillId="11" borderId="8" xfId="0" applyFont="1" applyFill="1" applyBorder="1" applyAlignment="1">
      <alignment horizontal="centerContinuous" wrapText="1"/>
    </xf>
    <xf numFmtId="0" fontId="0" fillId="4" borderId="8" xfId="0" applyFill="1" applyBorder="1" applyAlignment="1">
      <alignment horizontal="left" indent="2"/>
    </xf>
    <xf numFmtId="0" fontId="0" fillId="13" borderId="8" xfId="0" applyFill="1" applyBorder="1" applyAlignment="1">
      <alignment horizontal="centerContinuous" wrapText="1"/>
    </xf>
    <xf numFmtId="0" fontId="12" fillId="0" borderId="0" xfId="0" applyFont="1"/>
    <xf numFmtId="0" fontId="0" fillId="2" borderId="14" xfId="0" applyFill="1" applyBorder="1"/>
    <xf numFmtId="0" fontId="0" fillId="2" borderId="15" xfId="0" applyFill="1" applyBorder="1"/>
    <xf numFmtId="0" fontId="0" fillId="2" borderId="16" xfId="0" applyFill="1" applyBorder="1"/>
    <xf numFmtId="0" fontId="2" fillId="3" borderId="3" xfId="0" applyFont="1" applyFill="1" applyBorder="1"/>
    <xf numFmtId="0" fontId="2" fillId="3" borderId="3" xfId="0" applyFont="1" applyFill="1" applyBorder="1" applyAlignment="1">
      <alignment wrapText="1"/>
    </xf>
    <xf numFmtId="0" fontId="15" fillId="13" borderId="8" xfId="0" applyFont="1" applyFill="1" applyBorder="1" applyAlignment="1">
      <alignment horizontal="centerContinuous" wrapText="1"/>
    </xf>
    <xf numFmtId="0" fontId="2" fillId="14" borderId="8" xfId="0" applyFont="1" applyFill="1" applyBorder="1" applyAlignment="1">
      <alignment horizontal="centerContinuous" wrapText="1"/>
    </xf>
    <xf numFmtId="0" fontId="2" fillId="15" borderId="8" xfId="0" applyFont="1" applyFill="1" applyBorder="1"/>
    <xf numFmtId="0" fontId="2" fillId="3" borderId="8" xfId="0" applyFont="1" applyFill="1" applyBorder="1" applyAlignment="1">
      <alignment horizontal="centerContinuous" wrapText="1"/>
    </xf>
    <xf numFmtId="0" fontId="2" fillId="15" borderId="8" xfId="0" applyFont="1" applyFill="1" applyBorder="1" applyAlignment="1">
      <alignment wrapText="1"/>
    </xf>
    <xf numFmtId="6" fontId="0" fillId="0" borderId="8" xfId="0" applyNumberFormat="1" applyBorder="1"/>
    <xf numFmtId="167" fontId="13" fillId="0" borderId="8" xfId="14" applyNumberFormat="1" applyBorder="1"/>
    <xf numFmtId="0" fontId="15" fillId="16" borderId="8" xfId="0" applyFont="1" applyFill="1" applyBorder="1" applyAlignment="1">
      <alignment horizontal="centerContinuous" wrapText="1"/>
    </xf>
    <xf numFmtId="0" fontId="14" fillId="17" borderId="8" xfId="0" applyFont="1" applyFill="1" applyBorder="1"/>
    <xf numFmtId="0" fontId="0" fillId="18" borderId="8" xfId="0" applyFill="1" applyBorder="1"/>
    <xf numFmtId="0" fontId="2" fillId="19" borderId="8" xfId="0" applyFont="1" applyFill="1" applyBorder="1"/>
    <xf numFmtId="0" fontId="0" fillId="0" borderId="10" xfId="0" applyBorder="1"/>
    <xf numFmtId="0" fontId="2" fillId="3" borderId="0" xfId="0" applyFont="1" applyFill="1"/>
    <xf numFmtId="14" fontId="0" fillId="0" borderId="8" xfId="0" applyNumberFormat="1" applyBorder="1"/>
    <xf numFmtId="0" fontId="2" fillId="3" borderId="17" xfId="0" applyFont="1" applyFill="1" applyBorder="1"/>
    <xf numFmtId="168" fontId="0" fillId="4" borderId="8" xfId="0" applyNumberFormat="1" applyFill="1" applyBorder="1" applyAlignment="1">
      <alignment horizontal="left" indent="2"/>
    </xf>
    <xf numFmtId="14" fontId="0" fillId="0" borderId="0" xfId="0" applyNumberFormat="1"/>
    <xf numFmtId="0" fontId="16" fillId="20" borderId="0" xfId="0" applyFont="1" applyFill="1" applyAlignment="1">
      <alignment horizontal="left" vertical="center" wrapText="1" indent="1"/>
    </xf>
    <xf numFmtId="2" fontId="0" fillId="0" borderId="0" xfId="14" applyNumberFormat="1" applyFont="1"/>
    <xf numFmtId="0" fontId="0" fillId="0" borderId="8" xfId="0" applyBorder="1" applyAlignment="1">
      <alignment wrapText="1"/>
    </xf>
    <xf numFmtId="2" fontId="0" fillId="4" borderId="8" xfId="0" applyNumberFormat="1" applyFill="1" applyBorder="1"/>
    <xf numFmtId="9" fontId="0" fillId="4" borderId="8" xfId="14" applyFont="1" applyFill="1" applyBorder="1"/>
    <xf numFmtId="2" fontId="0" fillId="18" borderId="8" xfId="0" applyNumberFormat="1" applyFill="1" applyBorder="1"/>
    <xf numFmtId="0" fontId="17" fillId="0" borderId="0" xfId="15"/>
    <xf numFmtId="0" fontId="17" fillId="0" borderId="3" xfId="15" applyBorder="1"/>
    <xf numFmtId="0" fontId="18" fillId="0" borderId="0" xfId="0" applyFont="1"/>
    <xf numFmtId="44" fontId="0" fillId="13" borderId="8" xfId="16" applyFont="1" applyFill="1" applyBorder="1" applyAlignment="1">
      <alignment wrapText="1"/>
    </xf>
    <xf numFmtId="44" fontId="0" fillId="4" borderId="8" xfId="16" applyFont="1" applyFill="1" applyBorder="1"/>
    <xf numFmtId="2" fontId="0" fillId="16" borderId="8" xfId="0" applyNumberFormat="1" applyFill="1" applyBorder="1"/>
    <xf numFmtId="0" fontId="6" fillId="5" borderId="10" xfId="0" applyFont="1" applyFill="1" applyBorder="1" applyAlignment="1">
      <alignment horizontal="center"/>
    </xf>
    <xf numFmtId="0" fontId="6" fillId="5" borderId="11" xfId="0" applyFont="1" applyFill="1" applyBorder="1" applyAlignment="1">
      <alignment horizontal="center"/>
    </xf>
    <xf numFmtId="0" fontId="0" fillId="0" borderId="0" xfId="0" applyAlignment="1">
      <alignment horizontal="center"/>
    </xf>
  </cellXfs>
  <cellStyles count="17">
    <cellStyle name="b" xfId="1" xr:uid="{00000000-0005-0000-0000-000000000000}"/>
    <cellStyle name="blue" xfId="2" xr:uid="{00000000-0005-0000-0000-000001000000}"/>
    <cellStyle name="bluecenteraccrossselection" xfId="3" xr:uid="{00000000-0005-0000-0000-000002000000}"/>
    <cellStyle name="Currency" xfId="16" builtinId="4"/>
    <cellStyle name="Currency 2" xfId="4" xr:uid="{00000000-0005-0000-0000-000003000000}"/>
    <cellStyle name="Currency Round to thousands" xfId="5" xr:uid="{00000000-0005-0000-0000-000004000000}"/>
    <cellStyle name="Explanatory Text" xfId="15" builtinId="53"/>
    <cellStyle name="Four-Digit Year" xfId="6" xr:uid="{00000000-0005-0000-0000-000005000000}"/>
    <cellStyle name="Normal" xfId="0" builtinId="0"/>
    <cellStyle name="Normal 2" xfId="7" xr:uid="{00000000-0005-0000-0000-000007000000}"/>
    <cellStyle name="Normal 3" xfId="8" xr:uid="{00000000-0005-0000-0000-000008000000}"/>
    <cellStyle name="Percent" xfId="14" builtinId="5"/>
    <cellStyle name="Rad" xfId="9" xr:uid="{00000000-0005-0000-0000-00000A000000}"/>
    <cellStyle name="redcenteraccrossselection" xfId="10" xr:uid="{00000000-0005-0000-0000-00000B000000}"/>
    <cellStyle name="Wrap Text" xfId="11" xr:uid="{00000000-0005-0000-0000-00000C000000}"/>
    <cellStyle name="Yellow" xfId="12" xr:uid="{00000000-0005-0000-0000-00000D000000}"/>
    <cellStyle name="yellowcenteraccrossselection" xfId="13" xr:uid="{00000000-0005-0000-0000-00000E000000}"/>
  </cellStyles>
  <dxfs count="2">
    <dxf>
      <font>
        <color theme="0"/>
      </font>
      <fill>
        <patternFill>
          <bgColor rgb="FFFF0000"/>
        </patternFill>
      </fill>
    </dxf>
    <dxf>
      <font>
        <color theme="0"/>
      </font>
      <fill>
        <patternFill>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13/Busn214-Week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urses/Spreadsheet%20Modelling/2017/Sheets_Class/Vlookup_T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07/Week2Busn214Finish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07/Week8Busn214Finish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07/Week2Busn2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Examples"/>
      <sheetName val="V Exact"/>
      <sheetName val="V Exact (an)"/>
      <sheetName val="V Aproximate"/>
      <sheetName val="V Aproximate (an)"/>
      <sheetName val="V Partial"/>
      <sheetName val="V Partial (an)"/>
      <sheetName val="Retrieve Record"/>
      <sheetName val="Retrieve Record (an)"/>
      <sheetName val="INDEX &amp; MATCH"/>
      <sheetName val="INDEX &amp; MATCH (an)"/>
      <sheetName val="3 Tables"/>
      <sheetName val="3 Tables (an)"/>
      <sheetName val="V and IFNA"/>
      <sheetName val="V and IFNA (an)"/>
      <sheetName val="Stats"/>
      <sheetName val="Stats (an)"/>
      <sheetName val="GS"/>
      <sheetName val="GS (an)"/>
      <sheetName val="HW(1)"/>
      <sheetName val="HW(1an)"/>
      <sheetName val="HW(2)"/>
      <sheetName val="HW(2an)"/>
      <sheetName val="HW(3)"/>
      <sheetName val="HW(3an)"/>
      <sheetName val="HW(4)"/>
      <sheetName val="HW(4an)"/>
      <sheetName val="HW(5)"/>
      <sheetName val="HW(5an)"/>
      <sheetName val="HW(6)"/>
      <sheetName val="HW(6an)"/>
      <sheetName val="HW(7)"/>
      <sheetName val="HW(7an)"/>
      <sheetName val="HW(8)"/>
      <sheetName val="HW(8an)"/>
      <sheetName val="HW(9)"/>
      <sheetName val="HW(9an)"/>
      <sheetName val="HW(10)"/>
      <sheetName val="HW(10an)"/>
      <sheetName val="HW(11)"/>
      <sheetName val="HW(11an)"/>
      <sheetName val="HW(12)"/>
      <sheetName val="HW(12an)"/>
      <sheetName val="HW(13)"/>
      <sheetName val="HW(13an)"/>
    </sheetNames>
    <sheetDataSet>
      <sheetData sheetId="0" refreshError="1"/>
      <sheetData sheetId="1" refreshError="1"/>
      <sheetData sheetId="2" refreshError="1"/>
      <sheetData sheetId="3">
        <row r="12">
          <cell r="A12" t="str">
            <v>Bellen</v>
          </cell>
          <cell r="B12" t="str">
            <v>1000-165-B100</v>
          </cell>
          <cell r="C12">
            <v>25</v>
          </cell>
          <cell r="D12">
            <v>26.95</v>
          </cell>
        </row>
        <row r="13">
          <cell r="A13" t="str">
            <v>Carlota</v>
          </cell>
          <cell r="B13" t="str">
            <v>1001-540-C101</v>
          </cell>
          <cell r="C13">
            <v>20</v>
          </cell>
          <cell r="D13">
            <v>28.95</v>
          </cell>
        </row>
        <row r="14">
          <cell r="A14" t="str">
            <v>Majestic Beaut</v>
          </cell>
          <cell r="B14" t="str">
            <v>1002-394-M102</v>
          </cell>
          <cell r="C14">
            <v>35</v>
          </cell>
          <cell r="D14">
            <v>31.95</v>
          </cell>
        </row>
        <row r="15">
          <cell r="A15" t="str">
            <v>Quad</v>
          </cell>
          <cell r="B15" t="str">
            <v>1003-307-Q103</v>
          </cell>
          <cell r="C15">
            <v>20</v>
          </cell>
          <cell r="D15">
            <v>35.950000000000003</v>
          </cell>
        </row>
        <row r="16">
          <cell r="A16" t="str">
            <v>Sunshine</v>
          </cell>
          <cell r="B16" t="str">
            <v>1004-848-S104</v>
          </cell>
          <cell r="C16">
            <v>30</v>
          </cell>
          <cell r="D16">
            <v>18.95</v>
          </cell>
        </row>
        <row r="17">
          <cell r="A17" t="str">
            <v>Sunset</v>
          </cell>
          <cell r="B17" t="str">
            <v>1005-155-S105</v>
          </cell>
          <cell r="C17">
            <v>40</v>
          </cell>
          <cell r="D17">
            <v>20.95</v>
          </cell>
        </row>
        <row r="18">
          <cell r="A18" t="str">
            <v>Tri-Fly</v>
          </cell>
          <cell r="B18" t="str">
            <v>1006-552-T106</v>
          </cell>
          <cell r="C18">
            <v>1</v>
          </cell>
          <cell r="D18">
            <v>4.95</v>
          </cell>
        </row>
        <row r="19">
          <cell r="A19" t="str">
            <v>Outdoor Tri-Fly</v>
          </cell>
          <cell r="B19" t="str">
            <v>1007-634-O107</v>
          </cell>
          <cell r="C19">
            <v>5</v>
          </cell>
          <cell r="D19">
            <v>8.9499999999999993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 Sheet"/>
      <sheetName val="VLOOKUP(1)"/>
      <sheetName val="VLOOKUP(2)"/>
      <sheetName val="VL_exact"/>
      <sheetName val="Vl_True"/>
      <sheetName val="VL_combi"/>
      <sheetName val="V(9)"/>
      <sheetName val="L(1)"/>
      <sheetName val="L(3)"/>
      <sheetName val="Indian Income Tax"/>
    </sheetNames>
    <sheetDataSet>
      <sheetData sheetId="0"/>
      <sheetData sheetId="1"/>
      <sheetData sheetId="2"/>
      <sheetData sheetId="3">
        <row r="4">
          <cell r="A4" t="str">
            <v>Kookaburra Kahuna</v>
          </cell>
          <cell r="B4" t="str">
            <v>1000-165-B100</v>
          </cell>
          <cell r="C4">
            <v>40</v>
          </cell>
          <cell r="D4">
            <v>25000</v>
          </cell>
        </row>
        <row r="5">
          <cell r="A5" t="str">
            <v>Adidas Incurza</v>
          </cell>
          <cell r="B5" t="str">
            <v>1001-540-C101</v>
          </cell>
          <cell r="C5">
            <v>35</v>
          </cell>
          <cell r="D5">
            <v>23000</v>
          </cell>
        </row>
        <row r="6">
          <cell r="A6" t="str">
            <v>Gray-Nicolls Viper</v>
          </cell>
          <cell r="B6" t="str">
            <v>1002-394-M102</v>
          </cell>
          <cell r="C6">
            <v>33</v>
          </cell>
          <cell r="D6">
            <v>22700</v>
          </cell>
        </row>
        <row r="7">
          <cell r="A7" t="str">
            <v>GM Icon</v>
          </cell>
          <cell r="B7" t="str">
            <v>1003-307-Q103</v>
          </cell>
          <cell r="C7">
            <v>32</v>
          </cell>
          <cell r="D7">
            <v>21900</v>
          </cell>
        </row>
        <row r="8">
          <cell r="A8" t="str">
            <v>SG Cobra select</v>
          </cell>
          <cell r="B8" t="str">
            <v>1004-848-S104</v>
          </cell>
          <cell r="C8">
            <v>31</v>
          </cell>
          <cell r="D8">
            <v>20987</v>
          </cell>
        </row>
        <row r="9">
          <cell r="A9" t="str">
            <v>Puma Ballistic</v>
          </cell>
          <cell r="B9" t="str">
            <v>1005-155-S105</v>
          </cell>
          <cell r="C9">
            <v>30</v>
          </cell>
          <cell r="D9">
            <v>19876</v>
          </cell>
        </row>
        <row r="10">
          <cell r="A10" t="str">
            <v>SS Ton GLADIATOR</v>
          </cell>
          <cell r="B10" t="str">
            <v>1006-552-T106</v>
          </cell>
          <cell r="C10">
            <v>29</v>
          </cell>
          <cell r="D10">
            <v>19654</v>
          </cell>
        </row>
        <row r="11">
          <cell r="A11" t="str">
            <v>Kookaburra Angry Beast</v>
          </cell>
          <cell r="B11" t="str">
            <v>1007-634-O107</v>
          </cell>
          <cell r="C11">
            <v>28</v>
          </cell>
          <cell r="D11">
            <v>18765</v>
          </cell>
        </row>
        <row r="12">
          <cell r="A12" t="str">
            <v>Reebok Blast</v>
          </cell>
          <cell r="B12" t="str">
            <v>1009-987-B098</v>
          </cell>
          <cell r="C12">
            <v>25</v>
          </cell>
          <cell r="D12">
            <v>16000</v>
          </cell>
        </row>
        <row r="13">
          <cell r="A13" t="str">
            <v>Spartan CG Authority</v>
          </cell>
          <cell r="B13" t="str">
            <v>1007-567-C987</v>
          </cell>
          <cell r="C13">
            <v>20</v>
          </cell>
          <cell r="D13">
            <v>15000</v>
          </cell>
        </row>
      </sheetData>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Assumption Sheet"/>
      <sheetName val="WorksheetWorkbookR"/>
      <sheetName val="VLOOKUP(1)"/>
      <sheetName val="VLOOKUP(2)"/>
      <sheetName val="3-DReference"/>
      <sheetName val="Store(1)"/>
      <sheetName val="Store(2)"/>
      <sheetName val="Store(3)"/>
      <sheetName val="Store(4)"/>
      <sheetName val="Store(5)"/>
      <sheetName val="RawData"/>
      <sheetName val="SUMIF"/>
      <sheetName val="Y(203)-SUMIF"/>
      <sheetName val="Assumptions"/>
      <sheetName val="% Increase"/>
      <sheetName val="LOGIC IS IF"/>
      <sheetName val="Dates"/>
      <sheetName val="Text"/>
      <sheetName val="Concatenate"/>
    </sheetNames>
    <sheetDataSet>
      <sheetData sheetId="0"/>
      <sheetData sheetId="1">
        <row r="9">
          <cell r="A9">
            <v>0</v>
          </cell>
          <cell r="B9">
            <v>0</v>
          </cell>
        </row>
        <row r="10">
          <cell r="A10">
            <v>1500</v>
          </cell>
          <cell r="B10">
            <v>0.05</v>
          </cell>
        </row>
        <row r="11">
          <cell r="A11">
            <v>5000</v>
          </cell>
          <cell r="B11">
            <v>6.5000000000000002E-2</v>
          </cell>
        </row>
        <row r="12">
          <cell r="A12">
            <v>6000</v>
          </cell>
          <cell r="B12">
            <v>7.5499999999999998E-2</v>
          </cell>
        </row>
      </sheetData>
      <sheetData sheetId="2"/>
      <sheetData sheetId="3"/>
      <sheetData sheetId="4">
        <row r="42">
          <cell r="A42" t="str">
            <v>Boom 1</v>
          </cell>
          <cell r="B42" t="str">
            <v>20 Meter Boomerang</v>
          </cell>
          <cell r="C42">
            <v>19</v>
          </cell>
          <cell r="D42">
            <v>14</v>
          </cell>
        </row>
        <row r="43">
          <cell r="A43" t="str">
            <v>Boom 2</v>
          </cell>
          <cell r="B43" t="str">
            <v>25 Meter Boomerang</v>
          </cell>
          <cell r="C43">
            <v>15</v>
          </cell>
          <cell r="D43">
            <v>9</v>
          </cell>
        </row>
        <row r="44">
          <cell r="A44" t="str">
            <v>Boom 3</v>
          </cell>
          <cell r="B44" t="str">
            <v>30 Meter Boomerang</v>
          </cell>
          <cell r="C44">
            <v>12</v>
          </cell>
          <cell r="D44">
            <v>7</v>
          </cell>
        </row>
        <row r="45">
          <cell r="A45" t="str">
            <v>Boom 4</v>
          </cell>
          <cell r="B45" t="str">
            <v>40 Meter Boomerang</v>
          </cell>
          <cell r="C45">
            <v>23</v>
          </cell>
          <cell r="D45">
            <v>12</v>
          </cell>
        </row>
        <row r="46">
          <cell r="A46" t="str">
            <v>Boom 5</v>
          </cell>
          <cell r="B46" t="str">
            <v>50 Meter Boomerang</v>
          </cell>
          <cell r="C46">
            <v>30</v>
          </cell>
          <cell r="D46">
            <v>17</v>
          </cell>
        </row>
        <row r="47">
          <cell r="A47" t="str">
            <v>Boom 6</v>
          </cell>
          <cell r="B47" t="str">
            <v>60 Meter Boomerang</v>
          </cell>
          <cell r="C47">
            <v>25</v>
          </cell>
          <cell r="D47">
            <v>14</v>
          </cell>
        </row>
      </sheetData>
      <sheetData sheetId="5"/>
      <sheetData sheetId="6"/>
      <sheetData sheetId="7"/>
      <sheetData sheetId="8"/>
      <sheetData sheetId="9"/>
      <sheetData sheetId="10"/>
      <sheetData sheetId="11"/>
      <sheetData sheetId="12"/>
      <sheetData sheetId="13"/>
      <sheetData sheetId="14">
        <row r="3">
          <cell r="A3" t="str">
            <v>Carlota</v>
          </cell>
          <cell r="B3">
            <v>0.12</v>
          </cell>
          <cell r="C3">
            <v>0.13999999999999999</v>
          </cell>
          <cell r="D3">
            <v>0.16999999999999998</v>
          </cell>
          <cell r="E3">
            <v>0.19999999999999998</v>
          </cell>
        </row>
        <row r="4">
          <cell r="A4" t="str">
            <v>Yanaki</v>
          </cell>
          <cell r="B4">
            <v>0.1</v>
          </cell>
          <cell r="C4">
            <v>0.13</v>
          </cell>
          <cell r="D4">
            <v>0.16</v>
          </cell>
          <cell r="E4">
            <v>0.18</v>
          </cell>
        </row>
        <row r="5">
          <cell r="A5" t="str">
            <v>Aspen</v>
          </cell>
          <cell r="B5">
            <v>0.04</v>
          </cell>
          <cell r="C5">
            <v>0.06</v>
          </cell>
          <cell r="D5">
            <v>0.09</v>
          </cell>
          <cell r="E5">
            <v>0.11</v>
          </cell>
        </row>
        <row r="6">
          <cell r="A6" t="str">
            <v>Sunset</v>
          </cell>
          <cell r="B6">
            <v>0.03</v>
          </cell>
          <cell r="C6">
            <v>0.05</v>
          </cell>
          <cell r="D6">
            <v>7.0000000000000007E-2</v>
          </cell>
          <cell r="E6">
            <v>0.1</v>
          </cell>
        </row>
        <row r="7">
          <cell r="A7" t="str">
            <v>Delicate Arch</v>
          </cell>
          <cell r="B7">
            <v>0.03</v>
          </cell>
          <cell r="C7">
            <v>0.05</v>
          </cell>
          <cell r="D7">
            <v>0.08</v>
          </cell>
          <cell r="E7">
            <v>0.11</v>
          </cell>
        </row>
        <row r="8">
          <cell r="A8" t="str">
            <v>Bellen</v>
          </cell>
          <cell r="B8">
            <v>0.03</v>
          </cell>
          <cell r="C8">
            <v>0.06</v>
          </cell>
          <cell r="D8">
            <v>0.08</v>
          </cell>
          <cell r="E8">
            <v>0.1</v>
          </cell>
        </row>
      </sheetData>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Details"/>
      <sheetName val="V(1)"/>
      <sheetName val="V(2)"/>
      <sheetName val="V(3)"/>
      <sheetName val="V(4,5)"/>
      <sheetName val="V(6)"/>
      <sheetName val="V(7)"/>
      <sheetName val="Table"/>
      <sheetName val="V(8)"/>
      <sheetName val="V(9)"/>
      <sheetName val="V(10)"/>
      <sheetName val="V(11)"/>
      <sheetName val="H(1)"/>
      <sheetName val="L(1)"/>
      <sheetName val="L(2)"/>
      <sheetName val="L(3)"/>
      <sheetName val="L(4)"/>
      <sheetName val="L(5)"/>
      <sheetName val="L(6)"/>
      <sheetName val="L(7)"/>
      <sheetName val="M(1)"/>
      <sheetName val="M(2)"/>
      <sheetName val="I(1)"/>
      <sheetName val="I(2)"/>
      <sheetName val="I(3)"/>
      <sheetName val="I(4)"/>
      <sheetName val="I(5)"/>
      <sheetName val="I(6)"/>
      <sheetName val="I(7)"/>
      <sheetName val="I(8)"/>
      <sheetName val="I(9)"/>
      <sheetName val="I(10)"/>
      <sheetName val="I(11)"/>
      <sheetName val="I(12)"/>
      <sheetName val="CHOOSE"/>
      <sheetName val="Table1"/>
      <sheetName val="Table2"/>
      <sheetName val="Table3"/>
      <sheetName val="Intersector Operator"/>
      <sheetName val="Sheet1"/>
    </sheetNames>
    <sheetDataSet>
      <sheetData sheetId="0"/>
      <sheetData sheetId="1"/>
      <sheetData sheetId="2">
        <row r="8">
          <cell r="A8" t="str">
            <v>Siuox RadCool</v>
          </cell>
          <cell r="B8">
            <v>94</v>
          </cell>
          <cell r="C8">
            <v>0</v>
          </cell>
          <cell r="D8">
            <v>7</v>
          </cell>
          <cell r="E8">
            <v>4</v>
          </cell>
          <cell r="F8">
            <v>53</v>
          </cell>
        </row>
        <row r="9">
          <cell r="A9" t="str">
            <v>Dina Kim</v>
          </cell>
          <cell r="B9">
            <v>38</v>
          </cell>
          <cell r="C9">
            <v>48</v>
          </cell>
          <cell r="D9">
            <v>52</v>
          </cell>
          <cell r="E9">
            <v>71</v>
          </cell>
          <cell r="F9">
            <v>16</v>
          </cell>
        </row>
        <row r="10">
          <cell r="A10" t="str">
            <v>Dennis Ho</v>
          </cell>
          <cell r="B10">
            <v>67</v>
          </cell>
          <cell r="C10">
            <v>99</v>
          </cell>
          <cell r="D10">
            <v>60</v>
          </cell>
          <cell r="E10">
            <v>54</v>
          </cell>
          <cell r="F10">
            <v>7</v>
          </cell>
        </row>
        <row r="11">
          <cell r="A11" t="str">
            <v>Tu Pham</v>
          </cell>
          <cell r="B11">
            <v>58</v>
          </cell>
          <cell r="C11">
            <v>43</v>
          </cell>
          <cell r="D11">
            <v>77</v>
          </cell>
          <cell r="E11">
            <v>41</v>
          </cell>
          <cell r="F11">
            <v>32</v>
          </cell>
        </row>
        <row r="12">
          <cell r="A12" t="str">
            <v>Fred Tap</v>
          </cell>
          <cell r="B12">
            <v>43</v>
          </cell>
          <cell r="C12">
            <v>93</v>
          </cell>
          <cell r="D12">
            <v>3</v>
          </cell>
          <cell r="E12">
            <v>85</v>
          </cell>
          <cell r="F12">
            <v>60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C11">
            <v>0.125</v>
          </cell>
          <cell r="D11">
            <v>0.13500000000000001</v>
          </cell>
          <cell r="E11">
            <v>1.5249999999999999</v>
          </cell>
          <cell r="F11">
            <v>0.22500000000000001</v>
          </cell>
        </row>
        <row r="12">
          <cell r="C12">
            <v>0.20499999999999999</v>
          </cell>
          <cell r="D12">
            <v>0.14499999999999999</v>
          </cell>
          <cell r="E12">
            <v>2.0249999999999999</v>
          </cell>
          <cell r="F12">
            <v>0.245</v>
          </cell>
        </row>
        <row r="13">
          <cell r="C13">
            <v>0.26500000000000001</v>
          </cell>
          <cell r="D13">
            <v>0.16500000000000001</v>
          </cell>
          <cell r="E13">
            <v>2.125</v>
          </cell>
          <cell r="F13">
            <v>0.22500000000000001</v>
          </cell>
        </row>
        <row r="14">
          <cell r="C14">
            <v>0.30500000000000005</v>
          </cell>
          <cell r="D14">
            <v>0.185</v>
          </cell>
          <cell r="E14">
            <v>2.2749999999999999</v>
          </cell>
          <cell r="F14">
            <v>0.22500000000000001</v>
          </cell>
        </row>
        <row r="15">
          <cell r="C15">
            <v>0.47500000000000003</v>
          </cell>
          <cell r="D15">
            <v>0.42500000000000004</v>
          </cell>
          <cell r="E15">
            <v>3.5249999999999999</v>
          </cell>
          <cell r="F15">
            <v>0.375</v>
          </cell>
        </row>
        <row r="20">
          <cell r="C20">
            <v>0.11499999999999999</v>
          </cell>
          <cell r="D20">
            <v>0.125</v>
          </cell>
          <cell r="E20">
            <v>1.375</v>
          </cell>
          <cell r="F20">
            <v>0.20499999999999999</v>
          </cell>
        </row>
        <row r="21">
          <cell r="C21">
            <v>0.185</v>
          </cell>
          <cell r="D21">
            <v>0.13500000000000001</v>
          </cell>
          <cell r="E21">
            <v>1.825</v>
          </cell>
          <cell r="F21">
            <v>0.215</v>
          </cell>
        </row>
        <row r="22">
          <cell r="C22">
            <v>0.245</v>
          </cell>
          <cell r="D22">
            <v>0.155</v>
          </cell>
          <cell r="E22">
            <v>1.9149999999999998</v>
          </cell>
          <cell r="F22">
            <v>0.20499999999999999</v>
          </cell>
        </row>
        <row r="23">
          <cell r="C23">
            <v>0.27500000000000002</v>
          </cell>
          <cell r="D23">
            <v>0.16500000000000001</v>
          </cell>
          <cell r="E23">
            <v>2.0549999999999997</v>
          </cell>
          <cell r="F23">
            <v>0.20499999999999999</v>
          </cell>
        </row>
        <row r="24">
          <cell r="C24">
            <v>0.435</v>
          </cell>
          <cell r="D24">
            <v>0.38500000000000001</v>
          </cell>
          <cell r="E24">
            <v>3.1749999999999998</v>
          </cell>
          <cell r="F24">
            <v>0.34500000000000003</v>
          </cell>
        </row>
        <row r="29">
          <cell r="C29">
            <v>0.10500000000000001</v>
          </cell>
          <cell r="D29">
            <v>0.11499999999999999</v>
          </cell>
          <cell r="E29">
            <v>1.2449999999999999</v>
          </cell>
          <cell r="F29">
            <v>0.17499999999999999</v>
          </cell>
        </row>
        <row r="30">
          <cell r="C30">
            <v>0.17499999999999999</v>
          </cell>
          <cell r="D30">
            <v>0.125</v>
          </cell>
          <cell r="E30">
            <v>1.645</v>
          </cell>
          <cell r="F30">
            <v>0.16500000000000001</v>
          </cell>
        </row>
        <row r="31">
          <cell r="C31">
            <v>0.215</v>
          </cell>
          <cell r="D31">
            <v>0.13500000000000001</v>
          </cell>
          <cell r="E31">
            <v>1.7249999999999999</v>
          </cell>
          <cell r="F31">
            <v>0.185</v>
          </cell>
        </row>
        <row r="32">
          <cell r="C32">
            <v>0.255</v>
          </cell>
          <cell r="D32">
            <v>0.155</v>
          </cell>
          <cell r="E32">
            <v>1.845</v>
          </cell>
          <cell r="F32">
            <v>0.185</v>
          </cell>
        </row>
        <row r="33">
          <cell r="C33">
            <v>0.38500000000000001</v>
          </cell>
          <cell r="D33">
            <v>0.34500000000000003</v>
          </cell>
          <cell r="E33">
            <v>2.8649999999999998</v>
          </cell>
          <cell r="F33">
            <v>0.30500000000000005</v>
          </cell>
        </row>
      </sheetData>
      <sheetData sheetId="25"/>
      <sheetData sheetId="26"/>
      <sheetData sheetId="27"/>
      <sheetData sheetId="28"/>
      <sheetData sheetId="29"/>
      <sheetData sheetId="30"/>
      <sheetData sheetId="31"/>
      <sheetData sheetId="32"/>
      <sheetData sheetId="33"/>
      <sheetData sheetId="34"/>
      <sheetData sheetId="35">
        <row r="3">
          <cell r="A3">
            <v>0</v>
          </cell>
          <cell r="B3">
            <v>500</v>
          </cell>
        </row>
        <row r="4">
          <cell r="A4">
            <v>1000</v>
          </cell>
          <cell r="B4">
            <v>475</v>
          </cell>
        </row>
        <row r="5">
          <cell r="A5">
            <v>5000</v>
          </cell>
          <cell r="B5">
            <v>400</v>
          </cell>
        </row>
        <row r="6">
          <cell r="A6">
            <v>7500</v>
          </cell>
          <cell r="B6">
            <v>250</v>
          </cell>
        </row>
        <row r="7">
          <cell r="A7">
            <v>10000</v>
          </cell>
          <cell r="B7">
            <v>100</v>
          </cell>
        </row>
      </sheetData>
      <sheetData sheetId="36">
        <row r="3">
          <cell r="A3">
            <v>0</v>
          </cell>
          <cell r="B3">
            <v>600</v>
          </cell>
        </row>
        <row r="4">
          <cell r="A4">
            <v>1000</v>
          </cell>
          <cell r="B4">
            <v>575</v>
          </cell>
        </row>
        <row r="5">
          <cell r="A5">
            <v>5000</v>
          </cell>
          <cell r="B5">
            <v>500</v>
          </cell>
        </row>
        <row r="6">
          <cell r="A6">
            <v>7500</v>
          </cell>
          <cell r="B6">
            <v>350</v>
          </cell>
        </row>
        <row r="7">
          <cell r="A7">
            <v>10000</v>
          </cell>
          <cell r="B7">
            <v>200</v>
          </cell>
        </row>
      </sheetData>
      <sheetData sheetId="37">
        <row r="3">
          <cell r="A3">
            <v>0</v>
          </cell>
          <cell r="B3">
            <v>650</v>
          </cell>
        </row>
        <row r="4">
          <cell r="A4">
            <v>1000</v>
          </cell>
          <cell r="B4">
            <v>625</v>
          </cell>
        </row>
        <row r="5">
          <cell r="A5">
            <v>5000</v>
          </cell>
          <cell r="B5">
            <v>550</v>
          </cell>
        </row>
        <row r="6">
          <cell r="A6">
            <v>7500</v>
          </cell>
          <cell r="B6">
            <v>400</v>
          </cell>
        </row>
        <row r="7">
          <cell r="A7">
            <v>10000</v>
          </cell>
          <cell r="B7">
            <v>250</v>
          </cell>
        </row>
      </sheetData>
      <sheetData sheetId="38"/>
      <sheetData sheetId="3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Assumption Sheet"/>
      <sheetName val="WorksheetWorkbookR"/>
      <sheetName val="VLOOKUP(1)"/>
      <sheetName val="VLOOKUP(2)"/>
      <sheetName val="3-DReference"/>
      <sheetName val="Store(1)"/>
      <sheetName val="Store(2)"/>
      <sheetName val="Store(3)"/>
      <sheetName val="Store(4)"/>
      <sheetName val="Store(5)"/>
      <sheetName val="RawData"/>
      <sheetName val="SUMIF"/>
      <sheetName val="Y(203)-SUMIF"/>
      <sheetName val="Assumptions"/>
      <sheetName val="% Increase"/>
      <sheetName val="LOGIC IS IF"/>
      <sheetName val="Dates"/>
      <sheetName val="Text"/>
      <sheetName val="Concaten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4">
          <cell r="B14" t="str">
            <v>Sioux</v>
          </cell>
          <cell r="C14">
            <v>18</v>
          </cell>
        </row>
        <row r="15">
          <cell r="B15" t="str">
            <v>Shelia</v>
          </cell>
          <cell r="C15">
            <v>14</v>
          </cell>
        </row>
        <row r="16">
          <cell r="C16">
            <v>26</v>
          </cell>
        </row>
        <row r="17">
          <cell r="B17" t="str">
            <v>Chin</v>
          </cell>
          <cell r="C17">
            <v>20</v>
          </cell>
        </row>
        <row r="18">
          <cell r="B18" t="str">
            <v>Pham</v>
          </cell>
          <cell r="C18">
            <v>11</v>
          </cell>
        </row>
        <row r="19">
          <cell r="B19" t="str">
            <v>Sioux</v>
          </cell>
          <cell r="C19">
            <v>22</v>
          </cell>
        </row>
        <row r="20">
          <cell r="B20" t="str">
            <v>Shelia</v>
          </cell>
          <cell r="C20">
            <v>20</v>
          </cell>
        </row>
        <row r="21">
          <cell r="B21" t="str">
            <v>Rob</v>
          </cell>
          <cell r="C21">
            <v>15</v>
          </cell>
        </row>
        <row r="22">
          <cell r="B22" t="str">
            <v>Fred</v>
          </cell>
          <cell r="C22">
            <v>23</v>
          </cell>
        </row>
        <row r="23">
          <cell r="C23">
            <v>14</v>
          </cell>
        </row>
        <row r="24">
          <cell r="B24" t="str">
            <v>Sioux</v>
          </cell>
          <cell r="C24">
            <v>14</v>
          </cell>
        </row>
      </sheetData>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1:B12"/>
  <sheetViews>
    <sheetView zoomScale="115" zoomScaleNormal="115" workbookViewId="0">
      <selection activeCell="A6" sqref="A6"/>
    </sheetView>
  </sheetViews>
  <sheetFormatPr defaultRowHeight="14.4" x14ac:dyDescent="0.55000000000000004"/>
  <cols>
    <col min="1" max="2" width="18" customWidth="1"/>
    <col min="3" max="3" width="1.578125" customWidth="1"/>
    <col min="257" max="258" width="18" customWidth="1"/>
    <col min="259" max="259" width="1.578125" customWidth="1"/>
    <col min="513" max="514" width="18" customWidth="1"/>
    <col min="515" max="515" width="1.578125" customWidth="1"/>
    <col min="769" max="770" width="18" customWidth="1"/>
    <col min="771" max="771" width="1.578125" customWidth="1"/>
    <col min="1025" max="1026" width="18" customWidth="1"/>
    <col min="1027" max="1027" width="1.578125" customWidth="1"/>
    <col min="1281" max="1282" width="18" customWidth="1"/>
    <col min="1283" max="1283" width="1.578125" customWidth="1"/>
    <col min="1537" max="1538" width="18" customWidth="1"/>
    <col min="1539" max="1539" width="1.578125" customWidth="1"/>
    <col min="1793" max="1794" width="18" customWidth="1"/>
    <col min="1795" max="1795" width="1.578125" customWidth="1"/>
    <col min="2049" max="2050" width="18" customWidth="1"/>
    <col min="2051" max="2051" width="1.578125" customWidth="1"/>
    <col min="2305" max="2306" width="18" customWidth="1"/>
    <col min="2307" max="2307" width="1.578125" customWidth="1"/>
    <col min="2561" max="2562" width="18" customWidth="1"/>
    <col min="2563" max="2563" width="1.578125" customWidth="1"/>
    <col min="2817" max="2818" width="18" customWidth="1"/>
    <col min="2819" max="2819" width="1.578125" customWidth="1"/>
    <col min="3073" max="3074" width="18" customWidth="1"/>
    <col min="3075" max="3075" width="1.578125" customWidth="1"/>
    <col min="3329" max="3330" width="18" customWidth="1"/>
    <col min="3331" max="3331" width="1.578125" customWidth="1"/>
    <col min="3585" max="3586" width="18" customWidth="1"/>
    <col min="3587" max="3587" width="1.578125" customWidth="1"/>
    <col min="3841" max="3842" width="18" customWidth="1"/>
    <col min="3843" max="3843" width="1.578125" customWidth="1"/>
    <col min="4097" max="4098" width="18" customWidth="1"/>
    <col min="4099" max="4099" width="1.578125" customWidth="1"/>
    <col min="4353" max="4354" width="18" customWidth="1"/>
    <col min="4355" max="4355" width="1.578125" customWidth="1"/>
    <col min="4609" max="4610" width="18" customWidth="1"/>
    <col min="4611" max="4611" width="1.578125" customWidth="1"/>
    <col min="4865" max="4866" width="18" customWidth="1"/>
    <col min="4867" max="4867" width="1.578125" customWidth="1"/>
    <col min="5121" max="5122" width="18" customWidth="1"/>
    <col min="5123" max="5123" width="1.578125" customWidth="1"/>
    <col min="5377" max="5378" width="18" customWidth="1"/>
    <col min="5379" max="5379" width="1.578125" customWidth="1"/>
    <col min="5633" max="5634" width="18" customWidth="1"/>
    <col min="5635" max="5635" width="1.578125" customWidth="1"/>
    <col min="5889" max="5890" width="18" customWidth="1"/>
    <col min="5891" max="5891" width="1.578125" customWidth="1"/>
    <col min="6145" max="6146" width="18" customWidth="1"/>
    <col min="6147" max="6147" width="1.578125" customWidth="1"/>
    <col min="6401" max="6402" width="18" customWidth="1"/>
    <col min="6403" max="6403" width="1.578125" customWidth="1"/>
    <col min="6657" max="6658" width="18" customWidth="1"/>
    <col min="6659" max="6659" width="1.578125" customWidth="1"/>
    <col min="6913" max="6914" width="18" customWidth="1"/>
    <col min="6915" max="6915" width="1.578125" customWidth="1"/>
    <col min="7169" max="7170" width="18" customWidth="1"/>
    <col min="7171" max="7171" width="1.578125" customWidth="1"/>
    <col min="7425" max="7426" width="18" customWidth="1"/>
    <col min="7427" max="7427" width="1.578125" customWidth="1"/>
    <col min="7681" max="7682" width="18" customWidth="1"/>
    <col min="7683" max="7683" width="1.578125" customWidth="1"/>
    <col min="7937" max="7938" width="18" customWidth="1"/>
    <col min="7939" max="7939" width="1.578125" customWidth="1"/>
    <col min="8193" max="8194" width="18" customWidth="1"/>
    <col min="8195" max="8195" width="1.578125" customWidth="1"/>
    <col min="8449" max="8450" width="18" customWidth="1"/>
    <col min="8451" max="8451" width="1.578125" customWidth="1"/>
    <col min="8705" max="8706" width="18" customWidth="1"/>
    <col min="8707" max="8707" width="1.578125" customWidth="1"/>
    <col min="8961" max="8962" width="18" customWidth="1"/>
    <col min="8963" max="8963" width="1.578125" customWidth="1"/>
    <col min="9217" max="9218" width="18" customWidth="1"/>
    <col min="9219" max="9219" width="1.578125" customWidth="1"/>
    <col min="9473" max="9474" width="18" customWidth="1"/>
    <col min="9475" max="9475" width="1.578125" customWidth="1"/>
    <col min="9729" max="9730" width="18" customWidth="1"/>
    <col min="9731" max="9731" width="1.578125" customWidth="1"/>
    <col min="9985" max="9986" width="18" customWidth="1"/>
    <col min="9987" max="9987" width="1.578125" customWidth="1"/>
    <col min="10241" max="10242" width="18" customWidth="1"/>
    <col min="10243" max="10243" width="1.578125" customWidth="1"/>
    <col min="10497" max="10498" width="18" customWidth="1"/>
    <col min="10499" max="10499" width="1.578125" customWidth="1"/>
    <col min="10753" max="10754" width="18" customWidth="1"/>
    <col min="10755" max="10755" width="1.578125" customWidth="1"/>
    <col min="11009" max="11010" width="18" customWidth="1"/>
    <col min="11011" max="11011" width="1.578125" customWidth="1"/>
    <col min="11265" max="11266" width="18" customWidth="1"/>
    <col min="11267" max="11267" width="1.578125" customWidth="1"/>
    <col min="11521" max="11522" width="18" customWidth="1"/>
    <col min="11523" max="11523" width="1.578125" customWidth="1"/>
    <col min="11777" max="11778" width="18" customWidth="1"/>
    <col min="11779" max="11779" width="1.578125" customWidth="1"/>
    <col min="12033" max="12034" width="18" customWidth="1"/>
    <col min="12035" max="12035" width="1.578125" customWidth="1"/>
    <col min="12289" max="12290" width="18" customWidth="1"/>
    <col min="12291" max="12291" width="1.578125" customWidth="1"/>
    <col min="12545" max="12546" width="18" customWidth="1"/>
    <col min="12547" max="12547" width="1.578125" customWidth="1"/>
    <col min="12801" max="12802" width="18" customWidth="1"/>
    <col min="12803" max="12803" width="1.578125" customWidth="1"/>
    <col min="13057" max="13058" width="18" customWidth="1"/>
    <col min="13059" max="13059" width="1.578125" customWidth="1"/>
    <col min="13313" max="13314" width="18" customWidth="1"/>
    <col min="13315" max="13315" width="1.578125" customWidth="1"/>
    <col min="13569" max="13570" width="18" customWidth="1"/>
    <col min="13571" max="13571" width="1.578125" customWidth="1"/>
    <col min="13825" max="13826" width="18" customWidth="1"/>
    <col min="13827" max="13827" width="1.578125" customWidth="1"/>
    <col min="14081" max="14082" width="18" customWidth="1"/>
    <col min="14083" max="14083" width="1.578125" customWidth="1"/>
    <col min="14337" max="14338" width="18" customWidth="1"/>
    <col min="14339" max="14339" width="1.578125" customWidth="1"/>
    <col min="14593" max="14594" width="18" customWidth="1"/>
    <col min="14595" max="14595" width="1.578125" customWidth="1"/>
    <col min="14849" max="14850" width="18" customWidth="1"/>
    <col min="14851" max="14851" width="1.578125" customWidth="1"/>
    <col min="15105" max="15106" width="18" customWidth="1"/>
    <col min="15107" max="15107" width="1.578125" customWidth="1"/>
    <col min="15361" max="15362" width="18" customWidth="1"/>
    <col min="15363" max="15363" width="1.578125" customWidth="1"/>
    <col min="15617" max="15618" width="18" customWidth="1"/>
    <col min="15619" max="15619" width="1.578125" customWidth="1"/>
    <col min="15873" max="15874" width="18" customWidth="1"/>
    <col min="15875" max="15875" width="1.578125" customWidth="1"/>
    <col min="16129" max="16130" width="18" customWidth="1"/>
    <col min="16131" max="16131" width="1.578125" customWidth="1"/>
  </cols>
  <sheetData>
    <row r="1" spans="1:2" ht="28.8" x14ac:dyDescent="0.55000000000000004">
      <c r="A1" s="31" t="s">
        <v>283</v>
      </c>
      <c r="B1" s="31"/>
    </row>
    <row r="2" spans="1:2" x14ac:dyDescent="0.55000000000000004">
      <c r="A2" s="12" t="s">
        <v>263</v>
      </c>
      <c r="B2" s="12" t="s">
        <v>284</v>
      </c>
    </row>
    <row r="3" spans="1:2" x14ac:dyDescent="0.55000000000000004">
      <c r="A3" s="14" t="s">
        <v>280</v>
      </c>
      <c r="B3" s="14">
        <v>2.5000000000000001E-2</v>
      </c>
    </row>
    <row r="4" spans="1:2" x14ac:dyDescent="0.55000000000000004">
      <c r="A4" s="14" t="s">
        <v>281</v>
      </c>
      <c r="B4" s="14">
        <v>3.0499999999999999E-2</v>
      </c>
    </row>
    <row r="5" spans="1:2" x14ac:dyDescent="0.55000000000000004">
      <c r="A5" s="14" t="s">
        <v>282</v>
      </c>
      <c r="B5" s="14">
        <v>1.95E-2</v>
      </c>
    </row>
    <row r="7" spans="1:2" x14ac:dyDescent="0.55000000000000004">
      <c r="A7" s="31" t="s">
        <v>285</v>
      </c>
      <c r="B7" s="31"/>
    </row>
    <row r="8" spans="1:2" x14ac:dyDescent="0.55000000000000004">
      <c r="A8" s="25" t="s">
        <v>265</v>
      </c>
      <c r="B8" s="25" t="s">
        <v>264</v>
      </c>
    </row>
    <row r="9" spans="1:2" x14ac:dyDescent="0.55000000000000004">
      <c r="A9" s="14">
        <v>0</v>
      </c>
      <c r="B9" s="14">
        <v>0</v>
      </c>
    </row>
    <row r="10" spans="1:2" x14ac:dyDescent="0.55000000000000004">
      <c r="A10" s="14">
        <v>1500</v>
      </c>
      <c r="B10" s="14">
        <v>0.05</v>
      </c>
    </row>
    <row r="11" spans="1:2" x14ac:dyDescent="0.55000000000000004">
      <c r="A11" s="14">
        <v>5000</v>
      </c>
      <c r="B11" s="14">
        <v>6.5000000000000002E-2</v>
      </c>
    </row>
    <row r="12" spans="1:2" x14ac:dyDescent="0.55000000000000004">
      <c r="A12" s="14">
        <v>6000</v>
      </c>
      <c r="B12" s="14">
        <v>7.5499999999999998E-2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4"/>
  <sheetViews>
    <sheetView topLeftCell="A43" workbookViewId="0">
      <selection activeCell="F16" sqref="F16"/>
    </sheetView>
  </sheetViews>
  <sheetFormatPr defaultRowHeight="14.4" x14ac:dyDescent="0.55000000000000004"/>
  <cols>
    <col min="1" max="1" width="23.578125" customWidth="1"/>
    <col min="2" max="2" width="25.83984375" customWidth="1"/>
    <col min="3" max="3" width="20.26171875" bestFit="1" customWidth="1"/>
    <col min="4" max="4" width="20.83984375" customWidth="1"/>
    <col min="5" max="10" width="14.26171875" customWidth="1"/>
    <col min="11" max="11" width="9.83984375" customWidth="1"/>
  </cols>
  <sheetData>
    <row r="1" spans="1:6" x14ac:dyDescent="0.55000000000000004">
      <c r="A1" s="6" t="s">
        <v>195</v>
      </c>
      <c r="B1" s="7"/>
      <c r="C1" s="7"/>
      <c r="D1" s="7"/>
      <c r="E1" s="7"/>
      <c r="F1" s="8"/>
    </row>
    <row r="2" spans="1:6" x14ac:dyDescent="0.55000000000000004">
      <c r="A2" s="6" t="s">
        <v>196</v>
      </c>
      <c r="B2" s="7"/>
      <c r="C2" s="7"/>
      <c r="D2" s="7"/>
      <c r="E2" s="7"/>
      <c r="F2" s="8"/>
    </row>
    <row r="3" spans="1:6" x14ac:dyDescent="0.55000000000000004">
      <c r="A3" s="6" t="s">
        <v>197</v>
      </c>
      <c r="B3" s="7"/>
      <c r="C3" s="7"/>
      <c r="D3" s="7"/>
      <c r="E3" s="7"/>
      <c r="F3" s="8"/>
    </row>
    <row r="4" spans="1:6" x14ac:dyDescent="0.55000000000000004">
      <c r="A4" s="6" t="s">
        <v>198</v>
      </c>
      <c r="B4" s="7"/>
      <c r="C4" s="7"/>
      <c r="D4" s="7"/>
      <c r="E4" s="7"/>
      <c r="F4" s="8"/>
    </row>
    <row r="5" spans="1:6" x14ac:dyDescent="0.55000000000000004">
      <c r="A5" s="6" t="s">
        <v>199</v>
      </c>
      <c r="B5" s="7"/>
      <c r="C5" s="7"/>
      <c r="D5" s="7"/>
      <c r="E5" s="7"/>
      <c r="F5" s="8"/>
    </row>
    <row r="6" spans="1:6" x14ac:dyDescent="0.55000000000000004">
      <c r="A6" s="6" t="s">
        <v>200</v>
      </c>
      <c r="B6" s="7"/>
      <c r="C6" s="7"/>
      <c r="D6" s="7"/>
      <c r="E6" s="7"/>
      <c r="F6" s="8"/>
    </row>
    <row r="7" spans="1:6" x14ac:dyDescent="0.55000000000000004">
      <c r="A7" s="6" t="s">
        <v>201</v>
      </c>
      <c r="B7" s="7"/>
      <c r="C7" s="7"/>
      <c r="D7" s="7"/>
      <c r="E7" s="7"/>
      <c r="F7" s="8"/>
    </row>
    <row r="8" spans="1:6" x14ac:dyDescent="0.55000000000000004">
      <c r="A8" s="6" t="s">
        <v>202</v>
      </c>
      <c r="B8" s="7"/>
      <c r="C8" s="7"/>
      <c r="D8" s="7"/>
      <c r="E8" s="7"/>
      <c r="F8" s="8"/>
    </row>
    <row r="9" spans="1:6" x14ac:dyDescent="0.55000000000000004">
      <c r="A9" s="6" t="s">
        <v>203</v>
      </c>
      <c r="B9" s="7"/>
      <c r="C9" s="7"/>
      <c r="D9" s="7"/>
      <c r="E9" s="7"/>
      <c r="F9" s="8"/>
    </row>
    <row r="10" spans="1:6" x14ac:dyDescent="0.55000000000000004">
      <c r="A10" s="9" t="s">
        <v>204</v>
      </c>
      <c r="B10" s="10"/>
      <c r="C10" s="10"/>
      <c r="D10" s="10"/>
      <c r="E10" s="10"/>
      <c r="F10" s="11"/>
    </row>
    <row r="12" spans="1:6" ht="18.3" x14ac:dyDescent="0.7">
      <c r="A12" s="67" t="s">
        <v>246</v>
      </c>
      <c r="B12" s="68"/>
    </row>
    <row r="14" spans="1:6" x14ac:dyDescent="0.55000000000000004">
      <c r="A14" s="12" t="s">
        <v>247</v>
      </c>
      <c r="B14" s="12" t="s">
        <v>206</v>
      </c>
      <c r="C14" s="12" t="s">
        <v>248</v>
      </c>
      <c r="D14" s="12" t="s">
        <v>208</v>
      </c>
    </row>
    <row r="15" spans="1:6" x14ac:dyDescent="0.55000000000000004">
      <c r="A15" s="14" t="s">
        <v>249</v>
      </c>
      <c r="B15" s="14" t="s">
        <v>210</v>
      </c>
      <c r="C15" s="14">
        <v>40</v>
      </c>
      <c r="D15" s="21">
        <v>25000</v>
      </c>
      <c r="F15" t="s">
        <v>407</v>
      </c>
    </row>
    <row r="16" spans="1:6" x14ac:dyDescent="0.55000000000000004">
      <c r="A16" s="14" t="s">
        <v>250</v>
      </c>
      <c r="B16" s="14" t="s">
        <v>212</v>
      </c>
      <c r="C16" s="14">
        <v>35</v>
      </c>
      <c r="D16" s="21">
        <v>23000</v>
      </c>
    </row>
    <row r="17" spans="1:4" x14ac:dyDescent="0.55000000000000004">
      <c r="A17" s="14" t="s">
        <v>251</v>
      </c>
      <c r="B17" s="14" t="s">
        <v>214</v>
      </c>
      <c r="C17" s="14">
        <v>33</v>
      </c>
      <c r="D17" s="21">
        <v>22700</v>
      </c>
    </row>
    <row r="18" spans="1:4" x14ac:dyDescent="0.55000000000000004">
      <c r="A18" s="14" t="s">
        <v>252</v>
      </c>
      <c r="B18" s="14" t="s">
        <v>216</v>
      </c>
      <c r="C18" s="14">
        <v>32</v>
      </c>
      <c r="D18" s="21">
        <v>21900</v>
      </c>
    </row>
    <row r="19" spans="1:4" x14ac:dyDescent="0.55000000000000004">
      <c r="A19" s="14" t="s">
        <v>253</v>
      </c>
      <c r="B19" s="14" t="s">
        <v>218</v>
      </c>
      <c r="C19" s="14">
        <v>31</v>
      </c>
      <c r="D19" s="21">
        <v>20987</v>
      </c>
    </row>
    <row r="20" spans="1:4" x14ac:dyDescent="0.55000000000000004">
      <c r="A20" s="14" t="s">
        <v>254</v>
      </c>
      <c r="B20" s="14" t="s">
        <v>220</v>
      </c>
      <c r="C20" s="14">
        <v>30</v>
      </c>
      <c r="D20" s="21">
        <v>19876</v>
      </c>
    </row>
    <row r="21" spans="1:4" x14ac:dyDescent="0.55000000000000004">
      <c r="A21" s="14" t="s">
        <v>255</v>
      </c>
      <c r="B21" s="14" t="s">
        <v>222</v>
      </c>
      <c r="C21" s="14">
        <v>29</v>
      </c>
      <c r="D21" s="21">
        <v>19654</v>
      </c>
    </row>
    <row r="22" spans="1:4" x14ac:dyDescent="0.55000000000000004">
      <c r="A22" s="14" t="s">
        <v>256</v>
      </c>
      <c r="B22" s="14" t="s">
        <v>224</v>
      </c>
      <c r="C22" s="14">
        <v>28</v>
      </c>
      <c r="D22" s="21">
        <v>18765</v>
      </c>
    </row>
    <row r="23" spans="1:4" x14ac:dyDescent="0.55000000000000004">
      <c r="A23" s="14" t="s">
        <v>257</v>
      </c>
      <c r="B23" s="14" t="s">
        <v>258</v>
      </c>
      <c r="C23" s="14">
        <v>25</v>
      </c>
      <c r="D23" s="21">
        <v>16000</v>
      </c>
    </row>
    <row r="24" spans="1:4" x14ac:dyDescent="0.55000000000000004">
      <c r="A24" s="14" t="s">
        <v>259</v>
      </c>
      <c r="B24" s="14" t="s">
        <v>260</v>
      </c>
      <c r="C24" s="14">
        <v>20</v>
      </c>
      <c r="D24" s="21">
        <v>15000</v>
      </c>
    </row>
    <row r="26" spans="1:4" x14ac:dyDescent="0.55000000000000004">
      <c r="A26" s="16" t="s">
        <v>225</v>
      </c>
      <c r="B26" s="17"/>
    </row>
    <row r="27" spans="1:4" x14ac:dyDescent="0.55000000000000004">
      <c r="A27" s="12" t="s">
        <v>247</v>
      </c>
      <c r="B27" s="18" t="s">
        <v>208</v>
      </c>
      <c r="C27" s="18" t="s">
        <v>134</v>
      </c>
      <c r="D27" s="18" t="s">
        <v>226</v>
      </c>
    </row>
    <row r="28" spans="1:4" x14ac:dyDescent="0.55000000000000004">
      <c r="A28" s="14" t="s">
        <v>250</v>
      </c>
      <c r="B28" s="19">
        <f>VLOOKUP(A28,A15:D24,4,FALSE)</f>
        <v>23000</v>
      </c>
      <c r="C28" s="14">
        <v>3</v>
      </c>
      <c r="D28" s="19">
        <f>C28*B28</f>
        <v>69000</v>
      </c>
    </row>
    <row r="30" spans="1:4" x14ac:dyDescent="0.55000000000000004">
      <c r="A30" s="17" t="s">
        <v>227</v>
      </c>
    </row>
    <row r="31" spans="1:4" x14ac:dyDescent="0.55000000000000004">
      <c r="A31" s="12" t="s">
        <v>247</v>
      </c>
      <c r="B31" s="18" t="s">
        <v>206</v>
      </c>
    </row>
    <row r="32" spans="1:4" x14ac:dyDescent="0.55000000000000004">
      <c r="A32" s="14" t="s">
        <v>261</v>
      </c>
      <c r="B32" s="19" t="str">
        <f>IFERROR(VLOOKUP(A32,Cricketbats,2,0),"ERROR!!")</f>
        <v>ERROR!!</v>
      </c>
      <c r="C32" s="61" t="s">
        <v>404</v>
      </c>
    </row>
    <row r="34" spans="1:7" x14ac:dyDescent="0.55000000000000004">
      <c r="A34" s="17" t="s">
        <v>228</v>
      </c>
      <c r="B34" s="17"/>
    </row>
    <row r="35" spans="1:7" x14ac:dyDescent="0.55000000000000004">
      <c r="A35" s="12" t="s">
        <v>247</v>
      </c>
      <c r="B35" s="18" t="s">
        <v>230</v>
      </c>
    </row>
    <row r="36" spans="1:7" x14ac:dyDescent="0.55000000000000004">
      <c r="A36" s="14" t="s">
        <v>252</v>
      </c>
      <c r="B36" s="19">
        <f>VLOOKUP(A36,Bats,3,0)</f>
        <v>32</v>
      </c>
      <c r="C36" s="61" t="s">
        <v>403</v>
      </c>
    </row>
    <row r="38" spans="1:7" x14ac:dyDescent="0.55000000000000004">
      <c r="A38" s="17" t="s">
        <v>231</v>
      </c>
      <c r="B38" s="17"/>
    </row>
    <row r="39" spans="1:7" x14ac:dyDescent="0.55000000000000004">
      <c r="A39" s="12" t="s">
        <v>247</v>
      </c>
      <c r="B39" s="18" t="s">
        <v>208</v>
      </c>
    </row>
    <row r="40" spans="1:7" x14ac:dyDescent="0.55000000000000004">
      <c r="A40" s="14" t="s">
        <v>256</v>
      </c>
      <c r="B40" s="19">
        <f>VLOOKUP(A40,Cricketbats,4,0)</f>
        <v>18765</v>
      </c>
      <c r="E40" s="17"/>
    </row>
    <row r="42" spans="1:7" x14ac:dyDescent="0.55000000000000004">
      <c r="A42" s="17" t="s">
        <v>236</v>
      </c>
      <c r="B42" s="17"/>
    </row>
    <row r="43" spans="1:7" x14ac:dyDescent="0.55000000000000004">
      <c r="A43" s="12" t="s">
        <v>247</v>
      </c>
      <c r="B43" s="18" t="s">
        <v>134</v>
      </c>
      <c r="C43" s="18" t="s">
        <v>226</v>
      </c>
    </row>
    <row r="44" spans="1:7" x14ac:dyDescent="0.55000000000000004">
      <c r="A44" s="14" t="s">
        <v>256</v>
      </c>
      <c r="B44" s="14">
        <v>3</v>
      </c>
      <c r="C44" s="19">
        <f>VLOOKUP(A44,Bats,4,FALSE)*B44</f>
        <v>56295</v>
      </c>
      <c r="F44" s="19">
        <v>56295</v>
      </c>
      <c r="G44" s="61" t="s">
        <v>405</v>
      </c>
    </row>
    <row r="46" spans="1:7" x14ac:dyDescent="0.55000000000000004">
      <c r="A46" s="17" t="s">
        <v>239</v>
      </c>
    </row>
    <row r="47" spans="1:7" x14ac:dyDescent="0.55000000000000004">
      <c r="A47" s="12" t="s">
        <v>240</v>
      </c>
      <c r="B47" s="12" t="s">
        <v>134</v>
      </c>
      <c r="C47" s="12" t="s">
        <v>208</v>
      </c>
      <c r="D47" s="12" t="s">
        <v>226</v>
      </c>
    </row>
    <row r="48" spans="1:7" x14ac:dyDescent="0.55000000000000004">
      <c r="A48" s="14" t="s">
        <v>250</v>
      </c>
      <c r="B48" s="14">
        <v>5</v>
      </c>
      <c r="C48" s="19">
        <f>IF(ISNA(VLOOKUP(A48,Bats,4,0)),"",VLOOKUP(A48,Bats,4,0))</f>
        <v>23000</v>
      </c>
      <c r="D48" s="19">
        <f>IFERROR(C48*B48," ")</f>
        <v>115000</v>
      </c>
    </row>
    <row r="49" spans="1:11" x14ac:dyDescent="0.55000000000000004">
      <c r="A49" s="14" t="s">
        <v>252</v>
      </c>
      <c r="B49" s="14">
        <v>2</v>
      </c>
      <c r="C49" s="19">
        <f t="shared" ref="C49:C53" si="0">IF(ISNA(VLOOKUP(A49,Bats,4,0)),"",VLOOKUP(A49,Bats,4,0))</f>
        <v>21900</v>
      </c>
      <c r="D49" s="19">
        <f t="shared" ref="D49:D53" si="1">IFERROR(C49*B49," ")</f>
        <v>43800</v>
      </c>
    </row>
    <row r="50" spans="1:11" x14ac:dyDescent="0.55000000000000004">
      <c r="A50" s="14" t="s">
        <v>253</v>
      </c>
      <c r="B50" s="14">
        <v>3</v>
      </c>
      <c r="C50" s="19">
        <f t="shared" si="0"/>
        <v>20987</v>
      </c>
      <c r="D50" s="19">
        <f t="shared" si="1"/>
        <v>62961</v>
      </c>
      <c r="F50" s="61" t="s">
        <v>406</v>
      </c>
    </row>
    <row r="51" spans="1:11" x14ac:dyDescent="0.55000000000000004">
      <c r="A51" s="14" t="s">
        <v>254</v>
      </c>
      <c r="B51" s="14">
        <v>10</v>
      </c>
      <c r="C51" s="19">
        <f t="shared" si="0"/>
        <v>19876</v>
      </c>
      <c r="D51" s="19">
        <f t="shared" si="1"/>
        <v>198760</v>
      </c>
    </row>
    <row r="52" spans="1:11" x14ac:dyDescent="0.55000000000000004">
      <c r="A52" s="14" t="s">
        <v>255</v>
      </c>
      <c r="B52" s="14">
        <v>1</v>
      </c>
      <c r="C52" s="19">
        <f t="shared" si="0"/>
        <v>19654</v>
      </c>
      <c r="D52" s="19">
        <f t="shared" si="1"/>
        <v>19654</v>
      </c>
    </row>
    <row r="53" spans="1:11" x14ac:dyDescent="0.55000000000000004">
      <c r="A53" s="14"/>
      <c r="B53" s="14"/>
      <c r="C53" s="19" t="str">
        <f t="shared" si="0"/>
        <v/>
      </c>
      <c r="D53" s="19" t="str">
        <f t="shared" si="1"/>
        <v xml:space="preserve"> </v>
      </c>
      <c r="F53" t="str">
        <f>IFERROR(VLOOKUP(A53,Bats,4,FALSE)," ")</f>
        <v xml:space="preserve"> </v>
      </c>
      <c r="G53" t="str">
        <f t="shared" ref="G53" si="2">IFERROR(B53*C53," ")</f>
        <v xml:space="preserve"> </v>
      </c>
    </row>
    <row r="54" spans="1:11" ht="16.2" x14ac:dyDescent="0.85">
      <c r="C54" s="17" t="s">
        <v>241</v>
      </c>
      <c r="D54" s="20">
        <f>SUM(D48:D53)</f>
        <v>440175</v>
      </c>
    </row>
    <row r="55" spans="1:11" x14ac:dyDescent="0.55000000000000004">
      <c r="A55" s="17" t="s">
        <v>242</v>
      </c>
    </row>
    <row r="56" spans="1:11" x14ac:dyDescent="0.55000000000000004">
      <c r="A56" s="17" t="s">
        <v>243</v>
      </c>
    </row>
    <row r="58" spans="1:11" x14ac:dyDescent="0.55000000000000004">
      <c r="A58" s="12" t="s">
        <v>247</v>
      </c>
      <c r="B58" s="14" t="s">
        <v>249</v>
      </c>
      <c r="C58" s="14" t="s">
        <v>250</v>
      </c>
      <c r="D58" s="14" t="s">
        <v>251</v>
      </c>
      <c r="E58" s="14" t="s">
        <v>252</v>
      </c>
      <c r="F58" s="14" t="s">
        <v>253</v>
      </c>
      <c r="G58" s="14" t="s">
        <v>254</v>
      </c>
      <c r="H58" s="14" t="s">
        <v>255</v>
      </c>
      <c r="I58" s="14" t="s">
        <v>256</v>
      </c>
      <c r="J58" s="14" t="s">
        <v>257</v>
      </c>
      <c r="K58" s="14" t="s">
        <v>259</v>
      </c>
    </row>
    <row r="59" spans="1:11" x14ac:dyDescent="0.55000000000000004">
      <c r="A59" s="12" t="s">
        <v>206</v>
      </c>
      <c r="B59" s="14" t="s">
        <v>210</v>
      </c>
      <c r="C59" s="14" t="s">
        <v>212</v>
      </c>
      <c r="D59" s="14" t="s">
        <v>214</v>
      </c>
      <c r="E59" s="14" t="s">
        <v>216</v>
      </c>
      <c r="F59" s="14" t="s">
        <v>218</v>
      </c>
      <c r="G59" s="14" t="s">
        <v>220</v>
      </c>
      <c r="H59" s="14" t="s">
        <v>222</v>
      </c>
      <c r="I59" s="14" t="s">
        <v>224</v>
      </c>
      <c r="J59" s="14" t="s">
        <v>258</v>
      </c>
      <c r="K59" s="14" t="s">
        <v>260</v>
      </c>
    </row>
    <row r="60" spans="1:11" x14ac:dyDescent="0.55000000000000004">
      <c r="A60" s="12" t="s">
        <v>248</v>
      </c>
      <c r="B60" s="14">
        <v>40</v>
      </c>
      <c r="C60" s="14">
        <v>35</v>
      </c>
      <c r="D60" s="14">
        <v>33</v>
      </c>
      <c r="E60" s="14">
        <v>32</v>
      </c>
      <c r="F60" s="14">
        <v>31</v>
      </c>
      <c r="G60" s="14">
        <v>30</v>
      </c>
      <c r="H60" s="14">
        <v>29</v>
      </c>
      <c r="I60" s="14">
        <v>28</v>
      </c>
      <c r="J60" s="14">
        <v>25</v>
      </c>
      <c r="K60" s="14">
        <v>20</v>
      </c>
    </row>
    <row r="61" spans="1:11" x14ac:dyDescent="0.55000000000000004">
      <c r="A61" s="12" t="s">
        <v>208</v>
      </c>
      <c r="B61" s="21">
        <v>25000</v>
      </c>
      <c r="C61" s="21">
        <v>23000</v>
      </c>
      <c r="D61" s="21">
        <v>22700</v>
      </c>
      <c r="E61" s="21">
        <v>21900</v>
      </c>
      <c r="F61" s="21">
        <v>20987</v>
      </c>
      <c r="G61" s="21">
        <v>19876</v>
      </c>
      <c r="H61" s="21">
        <v>19654</v>
      </c>
      <c r="I61" s="21">
        <v>18765</v>
      </c>
      <c r="J61" s="21">
        <v>16000</v>
      </c>
      <c r="K61" s="21">
        <v>15000</v>
      </c>
    </row>
    <row r="63" spans="1:11" x14ac:dyDescent="0.55000000000000004">
      <c r="A63" s="12" t="s">
        <v>247</v>
      </c>
      <c r="B63" s="18" t="s">
        <v>208</v>
      </c>
    </row>
    <row r="64" spans="1:11" x14ac:dyDescent="0.55000000000000004">
      <c r="A64" s="14" t="s">
        <v>256</v>
      </c>
      <c r="B64" s="19"/>
    </row>
  </sheetData>
  <mergeCells count="1">
    <mergeCell ref="A12:B12"/>
  </mergeCells>
  <dataValidations count="2">
    <dataValidation type="list" allowBlank="1" showInputMessage="1" showErrorMessage="1" sqref="A36 A48:A53" xr:uid="{00000000-0002-0000-0100-000000000000}">
      <formula1>$A$15:$A$24</formula1>
    </dataValidation>
    <dataValidation type="list" allowBlank="1" showInputMessage="1" showErrorMessage="1" sqref="A64" xr:uid="{00000000-0002-0000-0100-000001000000}">
      <formula1>$B$58:$K$58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sheetPr>
  <dimension ref="A1:I60"/>
  <sheetViews>
    <sheetView zoomScale="115" zoomScaleNormal="115" workbookViewId="0">
      <selection activeCell="F10" sqref="A1:F10"/>
    </sheetView>
  </sheetViews>
  <sheetFormatPr defaultRowHeight="14.4" x14ac:dyDescent="0.55000000000000004"/>
  <cols>
    <col min="1" max="1" width="23.578125" customWidth="1"/>
    <col min="2" max="2" width="25.83984375" customWidth="1"/>
    <col min="3" max="3" width="20.26171875" bestFit="1" customWidth="1"/>
    <col min="4" max="4" width="20.83984375" customWidth="1"/>
    <col min="5" max="10" width="14.26171875" customWidth="1"/>
  </cols>
  <sheetData>
    <row r="1" spans="1:6" x14ac:dyDescent="0.55000000000000004">
      <c r="A1" s="6" t="s">
        <v>195</v>
      </c>
      <c r="B1" s="7"/>
      <c r="C1" s="7"/>
      <c r="D1" s="7"/>
      <c r="E1" s="7"/>
      <c r="F1" s="8"/>
    </row>
    <row r="2" spans="1:6" x14ac:dyDescent="0.55000000000000004">
      <c r="A2" s="6" t="s">
        <v>196</v>
      </c>
      <c r="B2" s="7"/>
      <c r="C2" s="7"/>
      <c r="D2" s="7"/>
      <c r="E2" s="7"/>
      <c r="F2" s="8"/>
    </row>
    <row r="3" spans="1:6" x14ac:dyDescent="0.55000000000000004">
      <c r="A3" s="6" t="s">
        <v>197</v>
      </c>
      <c r="B3" s="7"/>
      <c r="C3" s="7"/>
      <c r="D3" s="7"/>
      <c r="E3" s="7"/>
      <c r="F3" s="8"/>
    </row>
    <row r="4" spans="1:6" x14ac:dyDescent="0.55000000000000004">
      <c r="A4" s="6" t="s">
        <v>198</v>
      </c>
      <c r="B4" s="7"/>
      <c r="C4" s="7"/>
      <c r="D4" s="7"/>
      <c r="E4" s="7"/>
      <c r="F4" s="8"/>
    </row>
    <row r="5" spans="1:6" x14ac:dyDescent="0.55000000000000004">
      <c r="A5" s="6" t="s">
        <v>199</v>
      </c>
      <c r="B5" s="7"/>
      <c r="C5" s="7"/>
      <c r="D5" s="7"/>
      <c r="E5" s="7"/>
      <c r="F5" s="8"/>
    </row>
    <row r="6" spans="1:6" x14ac:dyDescent="0.55000000000000004">
      <c r="A6" s="6" t="s">
        <v>200</v>
      </c>
      <c r="B6" s="7"/>
      <c r="C6" s="7"/>
      <c r="D6" s="7"/>
      <c r="E6" s="7"/>
      <c r="F6" s="8"/>
    </row>
    <row r="7" spans="1:6" x14ac:dyDescent="0.55000000000000004">
      <c r="A7" s="6" t="s">
        <v>201</v>
      </c>
      <c r="B7" s="7"/>
      <c r="C7" s="7"/>
      <c r="D7" s="7"/>
      <c r="E7" s="7"/>
      <c r="F7" s="8"/>
    </row>
    <row r="8" spans="1:6" x14ac:dyDescent="0.55000000000000004">
      <c r="A8" s="6" t="s">
        <v>202</v>
      </c>
      <c r="B8" s="7"/>
      <c r="C8" s="7"/>
      <c r="D8" s="7"/>
      <c r="E8" s="7"/>
      <c r="F8" s="8"/>
    </row>
    <row r="9" spans="1:6" x14ac:dyDescent="0.55000000000000004">
      <c r="A9" s="6" t="s">
        <v>203</v>
      </c>
      <c r="B9" s="7"/>
      <c r="C9" s="7"/>
      <c r="D9" s="7"/>
      <c r="E9" s="7"/>
      <c r="F9" s="8"/>
    </row>
    <row r="10" spans="1:6" x14ac:dyDescent="0.55000000000000004">
      <c r="A10" s="9" t="s">
        <v>204</v>
      </c>
      <c r="B10" s="10"/>
      <c r="C10" s="10"/>
      <c r="D10" s="10"/>
      <c r="E10" s="10"/>
      <c r="F10" s="11"/>
    </row>
    <row r="12" spans="1:6" x14ac:dyDescent="0.55000000000000004">
      <c r="A12" s="12" t="s">
        <v>205</v>
      </c>
      <c r="B12" s="12" t="s">
        <v>206</v>
      </c>
      <c r="C12" s="12" t="s">
        <v>207</v>
      </c>
      <c r="D12" s="12" t="s">
        <v>208</v>
      </c>
      <c r="F12" s="13"/>
    </row>
    <row r="13" spans="1:6" x14ac:dyDescent="0.55000000000000004">
      <c r="A13" s="14" t="s">
        <v>209</v>
      </c>
      <c r="B13" s="14" t="s">
        <v>210</v>
      </c>
      <c r="C13" s="14">
        <v>25</v>
      </c>
      <c r="D13" s="15">
        <v>26.95</v>
      </c>
      <c r="F13" s="13"/>
    </row>
    <row r="14" spans="1:6" x14ac:dyDescent="0.55000000000000004">
      <c r="A14" s="14" t="s">
        <v>211</v>
      </c>
      <c r="B14" s="14" t="s">
        <v>212</v>
      </c>
      <c r="C14" s="14">
        <v>20</v>
      </c>
      <c r="D14" s="15">
        <v>28.95</v>
      </c>
      <c r="F14" s="13"/>
    </row>
    <row r="15" spans="1:6" x14ac:dyDescent="0.55000000000000004">
      <c r="A15" s="14" t="s">
        <v>213</v>
      </c>
      <c r="B15" s="14" t="s">
        <v>214</v>
      </c>
      <c r="C15" s="14">
        <v>35</v>
      </c>
      <c r="D15" s="15">
        <v>31.95</v>
      </c>
      <c r="F15" s="13"/>
    </row>
    <row r="16" spans="1:6" x14ac:dyDescent="0.55000000000000004">
      <c r="A16" s="14" t="s">
        <v>215</v>
      </c>
      <c r="B16" s="14" t="s">
        <v>216</v>
      </c>
      <c r="C16" s="14">
        <v>20</v>
      </c>
      <c r="D16" s="15">
        <v>35.950000000000003</v>
      </c>
      <c r="F16" s="13"/>
    </row>
    <row r="17" spans="1:6" x14ac:dyDescent="0.55000000000000004">
      <c r="A17" s="14" t="s">
        <v>217</v>
      </c>
      <c r="B17" s="14" t="s">
        <v>218</v>
      </c>
      <c r="C17" s="14">
        <v>30</v>
      </c>
      <c r="D17" s="15">
        <v>18.95</v>
      </c>
      <c r="F17" s="13"/>
    </row>
    <row r="18" spans="1:6" x14ac:dyDescent="0.55000000000000004">
      <c r="A18" s="14" t="s">
        <v>219</v>
      </c>
      <c r="B18" s="14" t="s">
        <v>220</v>
      </c>
      <c r="C18" s="14">
        <v>40</v>
      </c>
      <c r="D18" s="15">
        <v>20.95</v>
      </c>
      <c r="F18" s="13"/>
    </row>
    <row r="19" spans="1:6" x14ac:dyDescent="0.55000000000000004">
      <c r="A19" s="14" t="s">
        <v>221</v>
      </c>
      <c r="B19" s="14" t="s">
        <v>222</v>
      </c>
      <c r="C19" s="14">
        <v>1</v>
      </c>
      <c r="D19" s="15">
        <v>4.95</v>
      </c>
      <c r="F19" s="13"/>
    </row>
    <row r="20" spans="1:6" x14ac:dyDescent="0.55000000000000004">
      <c r="A20" s="14" t="s">
        <v>223</v>
      </c>
      <c r="B20" s="14" t="s">
        <v>224</v>
      </c>
      <c r="C20" s="14">
        <v>5</v>
      </c>
      <c r="D20" s="15">
        <v>8.9499999999999993</v>
      </c>
      <c r="F20" s="13"/>
    </row>
    <row r="22" spans="1:6" x14ac:dyDescent="0.55000000000000004">
      <c r="A22" s="16" t="s">
        <v>225</v>
      </c>
      <c r="B22" s="17"/>
    </row>
    <row r="23" spans="1:6" x14ac:dyDescent="0.55000000000000004">
      <c r="A23" s="18" t="s">
        <v>205</v>
      </c>
      <c r="B23" s="18" t="s">
        <v>208</v>
      </c>
      <c r="C23" s="18" t="s">
        <v>134</v>
      </c>
      <c r="D23" s="18" t="s">
        <v>226</v>
      </c>
    </row>
    <row r="24" spans="1:6" x14ac:dyDescent="0.55000000000000004">
      <c r="A24" s="14" t="s">
        <v>215</v>
      </c>
      <c r="B24" s="19">
        <f>VLOOKUP(A24,A13:D20,4,FALSE)</f>
        <v>35.950000000000003</v>
      </c>
      <c r="C24" s="14">
        <v>3</v>
      </c>
      <c r="D24" s="19">
        <f>B24*C24</f>
        <v>107.85000000000001</v>
      </c>
    </row>
    <row r="26" spans="1:6" x14ac:dyDescent="0.55000000000000004">
      <c r="A26" s="17" t="s">
        <v>227</v>
      </c>
    </row>
    <row r="27" spans="1:6" x14ac:dyDescent="0.55000000000000004">
      <c r="A27" s="18" t="s">
        <v>205</v>
      </c>
      <c r="B27" s="18" t="s">
        <v>206</v>
      </c>
    </row>
    <row r="28" spans="1:6" x14ac:dyDescent="0.55000000000000004">
      <c r="A28" s="14" t="s">
        <v>209</v>
      </c>
      <c r="B28" s="19"/>
      <c r="F28" t="str">
        <f>IF(ISNA(VLOOKUP(A28,A13:D20,2,0)),"Not In List",VLOOKUP(A28,A13:D20,2,0))</f>
        <v>1000-165-B100</v>
      </c>
    </row>
    <row r="30" spans="1:6" x14ac:dyDescent="0.55000000000000004">
      <c r="A30" s="17" t="s">
        <v>228</v>
      </c>
      <c r="B30" s="17"/>
      <c r="C30" t="s">
        <v>229</v>
      </c>
    </row>
    <row r="31" spans="1:6" x14ac:dyDescent="0.55000000000000004">
      <c r="A31" s="18" t="s">
        <v>205</v>
      </c>
      <c r="B31" s="18" t="s">
        <v>230</v>
      </c>
    </row>
    <row r="32" spans="1:6" x14ac:dyDescent="0.55000000000000004">
      <c r="A32" s="14" t="s">
        <v>213</v>
      </c>
      <c r="B32" s="19"/>
    </row>
    <row r="34" spans="1:5" x14ac:dyDescent="0.55000000000000004">
      <c r="A34" s="17" t="s">
        <v>231</v>
      </c>
      <c r="B34" s="17"/>
    </row>
    <row r="35" spans="1:5" x14ac:dyDescent="0.55000000000000004">
      <c r="A35" s="18" t="s">
        <v>205</v>
      </c>
      <c r="B35" s="18" t="s">
        <v>208</v>
      </c>
      <c r="C35" t="s">
        <v>232</v>
      </c>
    </row>
    <row r="36" spans="1:5" x14ac:dyDescent="0.55000000000000004">
      <c r="A36" s="14" t="s">
        <v>211</v>
      </c>
      <c r="B36" s="19"/>
      <c r="C36" t="s">
        <v>233</v>
      </c>
      <c r="E36" s="17" t="s">
        <v>234</v>
      </c>
    </row>
    <row r="37" spans="1:5" x14ac:dyDescent="0.55000000000000004">
      <c r="E37" t="s">
        <v>235</v>
      </c>
    </row>
    <row r="38" spans="1:5" x14ac:dyDescent="0.55000000000000004">
      <c r="A38" s="17" t="s">
        <v>236</v>
      </c>
      <c r="B38" s="17"/>
      <c r="E38" t="s">
        <v>237</v>
      </c>
    </row>
    <row r="39" spans="1:5" x14ac:dyDescent="0.55000000000000004">
      <c r="A39" s="18" t="s">
        <v>205</v>
      </c>
      <c r="B39" s="18" t="s">
        <v>134</v>
      </c>
      <c r="C39" s="18" t="s">
        <v>226</v>
      </c>
      <c r="E39" t="s">
        <v>238</v>
      </c>
    </row>
    <row r="40" spans="1:5" x14ac:dyDescent="0.55000000000000004">
      <c r="A40" s="14" t="s">
        <v>213</v>
      </c>
      <c r="B40" s="14">
        <v>3</v>
      </c>
      <c r="C40" s="19"/>
    </row>
    <row r="42" spans="1:5" x14ac:dyDescent="0.55000000000000004">
      <c r="A42" s="17" t="s">
        <v>239</v>
      </c>
    </row>
    <row r="43" spans="1:5" x14ac:dyDescent="0.55000000000000004">
      <c r="A43" s="12" t="s">
        <v>240</v>
      </c>
      <c r="B43" s="12" t="s">
        <v>134</v>
      </c>
      <c r="C43" s="12" t="s">
        <v>208</v>
      </c>
      <c r="D43" s="12" t="s">
        <v>226</v>
      </c>
    </row>
    <row r="44" spans="1:5" x14ac:dyDescent="0.55000000000000004">
      <c r="A44" s="14" t="s">
        <v>211</v>
      </c>
      <c r="B44" s="14">
        <v>5</v>
      </c>
      <c r="C44" s="19"/>
      <c r="D44" s="19"/>
    </row>
    <row r="45" spans="1:5" x14ac:dyDescent="0.55000000000000004">
      <c r="A45" s="14" t="s">
        <v>217</v>
      </c>
      <c r="B45" s="14">
        <v>2</v>
      </c>
      <c r="C45" s="19"/>
      <c r="D45" s="19"/>
    </row>
    <row r="46" spans="1:5" x14ac:dyDescent="0.55000000000000004">
      <c r="A46" s="14" t="s">
        <v>213</v>
      </c>
      <c r="B46" s="14">
        <v>3</v>
      </c>
      <c r="C46" s="19"/>
      <c r="D46" s="19"/>
    </row>
    <row r="47" spans="1:5" x14ac:dyDescent="0.55000000000000004">
      <c r="A47" s="14" t="s">
        <v>215</v>
      </c>
      <c r="B47" s="14">
        <v>10</v>
      </c>
      <c r="C47" s="19"/>
      <c r="D47" s="19"/>
    </row>
    <row r="48" spans="1:5" x14ac:dyDescent="0.55000000000000004">
      <c r="A48" s="14"/>
      <c r="B48" s="14"/>
      <c r="C48" s="19"/>
      <c r="D48" s="19"/>
    </row>
    <row r="49" spans="1:9" x14ac:dyDescent="0.55000000000000004">
      <c r="A49" s="14"/>
      <c r="B49" s="14"/>
      <c r="C49" s="19"/>
      <c r="D49" s="19"/>
    </row>
    <row r="50" spans="1:9" ht="16.2" x14ac:dyDescent="0.85">
      <c r="C50" s="17" t="s">
        <v>241</v>
      </c>
      <c r="D50" s="20"/>
    </row>
    <row r="51" spans="1:9" x14ac:dyDescent="0.55000000000000004">
      <c r="A51" s="17" t="s">
        <v>242</v>
      </c>
    </row>
    <row r="52" spans="1:9" x14ac:dyDescent="0.55000000000000004">
      <c r="A52" s="17" t="s">
        <v>243</v>
      </c>
    </row>
    <row r="54" spans="1:9" x14ac:dyDescent="0.55000000000000004">
      <c r="A54" s="12" t="s">
        <v>244</v>
      </c>
      <c r="B54" s="14" t="s">
        <v>209</v>
      </c>
      <c r="C54" s="14" t="s">
        <v>211</v>
      </c>
      <c r="D54" s="14" t="s">
        <v>213</v>
      </c>
      <c r="E54" s="14" t="s">
        <v>215</v>
      </c>
      <c r="F54" s="14" t="s">
        <v>217</v>
      </c>
      <c r="G54" s="14" t="s">
        <v>219</v>
      </c>
      <c r="H54" s="14" t="s">
        <v>221</v>
      </c>
      <c r="I54" s="14" t="s">
        <v>245</v>
      </c>
    </row>
    <row r="55" spans="1:9" x14ac:dyDescent="0.55000000000000004">
      <c r="A55" s="12" t="s">
        <v>206</v>
      </c>
      <c r="B55" s="14" t="s">
        <v>210</v>
      </c>
      <c r="C55" s="14" t="s">
        <v>212</v>
      </c>
      <c r="D55" s="14" t="s">
        <v>214</v>
      </c>
      <c r="E55" s="14" t="s">
        <v>216</v>
      </c>
      <c r="F55" s="14" t="s">
        <v>218</v>
      </c>
      <c r="G55" s="14" t="s">
        <v>220</v>
      </c>
      <c r="H55" s="14" t="s">
        <v>222</v>
      </c>
      <c r="I55" s="14" t="s">
        <v>224</v>
      </c>
    </row>
    <row r="56" spans="1:9" x14ac:dyDescent="0.55000000000000004">
      <c r="A56" s="12" t="s">
        <v>207</v>
      </c>
      <c r="B56" s="14">
        <v>25</v>
      </c>
      <c r="C56" s="14">
        <v>20</v>
      </c>
      <c r="D56" s="14">
        <v>35</v>
      </c>
      <c r="E56" s="14">
        <v>20</v>
      </c>
      <c r="F56" s="14">
        <v>30</v>
      </c>
      <c r="G56" s="14">
        <v>40</v>
      </c>
      <c r="H56" s="14">
        <v>1</v>
      </c>
      <c r="I56" s="14">
        <v>5</v>
      </c>
    </row>
    <row r="57" spans="1:9" x14ac:dyDescent="0.55000000000000004">
      <c r="A57" s="12" t="s">
        <v>208</v>
      </c>
      <c r="B57" s="15">
        <v>26.95</v>
      </c>
      <c r="C57" s="15">
        <v>28.95</v>
      </c>
      <c r="D57" s="15">
        <v>31.95</v>
      </c>
      <c r="E57" s="15">
        <v>35.950000000000003</v>
      </c>
      <c r="F57" s="15">
        <v>18.95</v>
      </c>
      <c r="G57" s="15">
        <v>20.95</v>
      </c>
      <c r="H57" s="15">
        <v>4.95</v>
      </c>
      <c r="I57" s="15">
        <v>8.9499999999999993</v>
      </c>
    </row>
    <row r="59" spans="1:9" x14ac:dyDescent="0.55000000000000004">
      <c r="A59" s="18" t="s">
        <v>205</v>
      </c>
      <c r="B59" s="18" t="s">
        <v>208</v>
      </c>
    </row>
    <row r="60" spans="1:9" x14ac:dyDescent="0.55000000000000004">
      <c r="A60" s="14" t="s">
        <v>215</v>
      </c>
      <c r="B60" s="19"/>
    </row>
  </sheetData>
  <dataValidations count="3">
    <dataValidation type="list" allowBlank="1" showInputMessage="1" showErrorMessage="1" sqref="A40" xr:uid="{00000000-0002-0000-0200-000000000000}">
      <formula1>DLBoomerangs</formula1>
    </dataValidation>
    <dataValidation type="list" allowBlank="1" showInputMessage="1" showErrorMessage="1" sqref="A36" xr:uid="{00000000-0002-0000-0200-000001000000}">
      <formula1>$A$13:$A$20</formula1>
    </dataValidation>
    <dataValidation type="list" allowBlank="1" showInputMessage="1" showErrorMessage="1" sqref="A60" xr:uid="{00000000-0002-0000-0200-000002000000}">
      <formula1>$B$54:$I$54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4"/>
  <sheetViews>
    <sheetView workbookViewId="0">
      <selection activeCell="G2" sqref="G2:G13"/>
    </sheetView>
  </sheetViews>
  <sheetFormatPr defaultRowHeight="14.4" x14ac:dyDescent="0.55000000000000004"/>
  <cols>
    <col min="1" max="1" width="13.15625" customWidth="1"/>
    <col min="2" max="2" width="15.68359375" customWidth="1"/>
    <col min="3" max="3" width="16.83984375" customWidth="1"/>
    <col min="4" max="4" width="14.68359375" customWidth="1"/>
    <col min="5" max="5" width="20.83984375" customWidth="1"/>
    <col min="6" max="6" width="16.578125" customWidth="1"/>
    <col min="8" max="8" width="11" bestFit="1" customWidth="1"/>
  </cols>
  <sheetData>
    <row r="1" spans="1:7" x14ac:dyDescent="0.55000000000000004">
      <c r="A1" t="s">
        <v>0</v>
      </c>
      <c r="B1" t="s">
        <v>1</v>
      </c>
      <c r="C1" t="s">
        <v>2</v>
      </c>
      <c r="D1" t="s">
        <v>3</v>
      </c>
      <c r="E1" t="s">
        <v>4</v>
      </c>
      <c r="F1" s="69" t="s">
        <v>129</v>
      </c>
      <c r="G1" s="69"/>
    </row>
    <row r="2" spans="1:7" x14ac:dyDescent="0.55000000000000004">
      <c r="A2" t="s">
        <v>5</v>
      </c>
      <c r="B2" t="s">
        <v>6</v>
      </c>
      <c r="C2" t="s">
        <v>7</v>
      </c>
      <c r="D2">
        <v>1510110274</v>
      </c>
      <c r="E2" s="1">
        <v>43481.535370370373</v>
      </c>
      <c r="F2">
        <v>91</v>
      </c>
      <c r="G2" t="e">
        <f>F2/0</f>
        <v>#DIV/0!</v>
      </c>
    </row>
    <row r="3" spans="1:7" x14ac:dyDescent="0.55000000000000004">
      <c r="A3" t="s">
        <v>8</v>
      </c>
      <c r="B3" t="s">
        <v>9</v>
      </c>
      <c r="C3" t="s">
        <v>10</v>
      </c>
      <c r="D3">
        <v>1610110092</v>
      </c>
      <c r="E3" s="1">
        <v>43490.527418981481</v>
      </c>
      <c r="F3">
        <v>98</v>
      </c>
      <c r="G3" t="e">
        <f t="shared" ref="G3:G13" si="0">F3/0</f>
        <v>#DIV/0!</v>
      </c>
    </row>
    <row r="4" spans="1:7" x14ac:dyDescent="0.55000000000000004">
      <c r="A4" t="s">
        <v>11</v>
      </c>
      <c r="B4" t="s">
        <v>12</v>
      </c>
      <c r="C4" t="s">
        <v>13</v>
      </c>
      <c r="D4">
        <v>1710110165</v>
      </c>
      <c r="E4" s="1">
        <v>43490.531585648147</v>
      </c>
      <c r="F4">
        <v>95</v>
      </c>
      <c r="G4" t="e">
        <f t="shared" si="0"/>
        <v>#DIV/0!</v>
      </c>
    </row>
    <row r="5" spans="1:7" x14ac:dyDescent="0.55000000000000004">
      <c r="A5" t="s">
        <v>11</v>
      </c>
      <c r="B5" t="s">
        <v>14</v>
      </c>
      <c r="C5" t="s">
        <v>15</v>
      </c>
      <c r="D5">
        <v>1610110501</v>
      </c>
      <c r="E5" s="1">
        <v>43490.523946759262</v>
      </c>
      <c r="F5">
        <v>92</v>
      </c>
      <c r="G5" t="e">
        <f t="shared" si="0"/>
        <v>#DIV/0!</v>
      </c>
    </row>
    <row r="6" spans="1:7" x14ac:dyDescent="0.55000000000000004">
      <c r="A6" t="s">
        <v>16</v>
      </c>
      <c r="B6" t="s">
        <v>17</v>
      </c>
      <c r="C6" t="s">
        <v>18</v>
      </c>
      <c r="D6">
        <v>1510110119</v>
      </c>
      <c r="F6">
        <v>98</v>
      </c>
      <c r="G6" t="e">
        <f t="shared" si="0"/>
        <v>#DIV/0!</v>
      </c>
    </row>
    <row r="7" spans="1:7" x14ac:dyDescent="0.55000000000000004">
      <c r="A7" t="s">
        <v>16</v>
      </c>
      <c r="B7" t="s">
        <v>19</v>
      </c>
      <c r="C7" t="s">
        <v>20</v>
      </c>
      <c r="D7">
        <v>1710110222</v>
      </c>
      <c r="E7" s="1">
        <v>43490.519085648149</v>
      </c>
      <c r="F7">
        <v>94</v>
      </c>
      <c r="G7" t="e">
        <f t="shared" si="0"/>
        <v>#DIV/0!</v>
      </c>
    </row>
    <row r="8" spans="1:7" x14ac:dyDescent="0.55000000000000004">
      <c r="A8" t="s">
        <v>21</v>
      </c>
      <c r="B8" t="s">
        <v>22</v>
      </c>
      <c r="C8" t="s">
        <v>23</v>
      </c>
      <c r="D8">
        <v>1610110509</v>
      </c>
      <c r="E8" s="1">
        <v>43474.508726851855</v>
      </c>
      <c r="F8">
        <v>91</v>
      </c>
      <c r="G8" t="e">
        <f t="shared" si="0"/>
        <v>#DIV/0!</v>
      </c>
    </row>
    <row r="9" spans="1:7" x14ac:dyDescent="0.55000000000000004">
      <c r="A9" t="s">
        <v>24</v>
      </c>
      <c r="B9" t="s">
        <v>25</v>
      </c>
      <c r="C9" t="s">
        <v>26</v>
      </c>
      <c r="D9">
        <v>1510110086</v>
      </c>
      <c r="E9" s="1">
        <v>43490.521863425929</v>
      </c>
      <c r="F9">
        <v>91</v>
      </c>
      <c r="G9" t="e">
        <f t="shared" si="0"/>
        <v>#DIV/0!</v>
      </c>
    </row>
    <row r="10" spans="1:7" x14ac:dyDescent="0.55000000000000004">
      <c r="A10" t="s">
        <v>27</v>
      </c>
      <c r="B10" t="s">
        <v>28</v>
      </c>
      <c r="C10" t="s">
        <v>29</v>
      </c>
      <c r="D10">
        <v>1610110008</v>
      </c>
      <c r="E10" s="1">
        <v>43490.522557870368</v>
      </c>
      <c r="F10">
        <v>91</v>
      </c>
      <c r="G10" t="e">
        <f t="shared" si="0"/>
        <v>#DIV/0!</v>
      </c>
    </row>
    <row r="11" spans="1:7" x14ac:dyDescent="0.55000000000000004">
      <c r="A11" t="s">
        <v>30</v>
      </c>
      <c r="B11" t="s">
        <v>31</v>
      </c>
      <c r="C11" t="s">
        <v>32</v>
      </c>
      <c r="D11">
        <v>1610110382</v>
      </c>
      <c r="E11" s="1">
        <v>43490.518391203703</v>
      </c>
      <c r="F11">
        <v>90</v>
      </c>
      <c r="G11" t="e">
        <f t="shared" si="0"/>
        <v>#DIV/0!</v>
      </c>
    </row>
    <row r="12" spans="1:7" x14ac:dyDescent="0.55000000000000004">
      <c r="A12" t="s">
        <v>33</v>
      </c>
      <c r="B12" t="s">
        <v>34</v>
      </c>
      <c r="C12" t="s">
        <v>35</v>
      </c>
      <c r="D12">
        <v>1710110010</v>
      </c>
      <c r="E12" s="1">
        <v>43490.521863425929</v>
      </c>
      <c r="F12">
        <v>99</v>
      </c>
      <c r="G12" t="e">
        <f t="shared" si="0"/>
        <v>#DIV/0!</v>
      </c>
    </row>
    <row r="13" spans="1:7" x14ac:dyDescent="0.55000000000000004">
      <c r="A13" t="s">
        <v>33</v>
      </c>
      <c r="B13" t="s">
        <v>36</v>
      </c>
      <c r="C13" t="s">
        <v>37</v>
      </c>
      <c r="D13">
        <v>1610110486</v>
      </c>
      <c r="E13" s="1">
        <v>43490.525335648148</v>
      </c>
      <c r="F13">
        <v>96</v>
      </c>
      <c r="G13" t="e">
        <f t="shared" si="0"/>
        <v>#DIV/0!</v>
      </c>
    </row>
    <row r="14" spans="1:7" x14ac:dyDescent="0.55000000000000004">
      <c r="A14" t="s">
        <v>33</v>
      </c>
      <c r="B14" t="s">
        <v>38</v>
      </c>
      <c r="C14" t="s">
        <v>39</v>
      </c>
      <c r="D14">
        <v>1610110343</v>
      </c>
      <c r="E14" s="1">
        <v>43490.531585648147</v>
      </c>
      <c r="F14">
        <v>91</v>
      </c>
    </row>
    <row r="15" spans="1:7" x14ac:dyDescent="0.55000000000000004">
      <c r="A15" t="s">
        <v>33</v>
      </c>
      <c r="B15" t="s">
        <v>40</v>
      </c>
      <c r="C15" t="s">
        <v>41</v>
      </c>
      <c r="D15">
        <v>1610110429</v>
      </c>
      <c r="E15" s="1">
        <v>43490.531585648147</v>
      </c>
      <c r="F15">
        <v>91</v>
      </c>
    </row>
    <row r="16" spans="1:7" x14ac:dyDescent="0.55000000000000004">
      <c r="A16" t="s">
        <v>42</v>
      </c>
      <c r="B16" t="s">
        <v>43</v>
      </c>
      <c r="C16" t="s">
        <v>44</v>
      </c>
      <c r="D16">
        <v>1610110473</v>
      </c>
      <c r="E16" s="1">
        <v>43490.521863425929</v>
      </c>
      <c r="F16">
        <v>92</v>
      </c>
    </row>
    <row r="17" spans="1:6" x14ac:dyDescent="0.55000000000000004">
      <c r="A17" t="s">
        <v>45</v>
      </c>
      <c r="B17" t="s">
        <v>46</v>
      </c>
      <c r="C17" t="s">
        <v>47</v>
      </c>
      <c r="D17">
        <v>1610110003</v>
      </c>
      <c r="E17" s="1">
        <v>43490.531585648147</v>
      </c>
      <c r="F17">
        <v>94</v>
      </c>
    </row>
    <row r="18" spans="1:6" x14ac:dyDescent="0.55000000000000004">
      <c r="A18" t="s">
        <v>48</v>
      </c>
      <c r="B18" t="s">
        <v>49</v>
      </c>
      <c r="C18" t="s">
        <v>50</v>
      </c>
      <c r="D18">
        <v>1710110038</v>
      </c>
      <c r="E18" s="1">
        <v>43490.53297453704</v>
      </c>
      <c r="F18">
        <v>96</v>
      </c>
    </row>
    <row r="19" spans="1:6" x14ac:dyDescent="0.55000000000000004">
      <c r="A19" t="s">
        <v>51</v>
      </c>
      <c r="B19" t="s">
        <v>52</v>
      </c>
      <c r="C19" t="s">
        <v>53</v>
      </c>
      <c r="D19">
        <v>1610110336</v>
      </c>
      <c r="E19" s="1">
        <v>43490.524641203701</v>
      </c>
      <c r="F19">
        <v>97</v>
      </c>
    </row>
    <row r="20" spans="1:6" x14ac:dyDescent="0.55000000000000004">
      <c r="A20" t="s">
        <v>54</v>
      </c>
      <c r="B20" t="s">
        <v>55</v>
      </c>
      <c r="C20" t="s">
        <v>56</v>
      </c>
      <c r="D20">
        <v>1510110310</v>
      </c>
      <c r="E20" s="1">
        <v>43490.530891203707</v>
      </c>
      <c r="F20">
        <v>100</v>
      </c>
    </row>
    <row r="21" spans="1:6" x14ac:dyDescent="0.55000000000000004">
      <c r="A21" t="s">
        <v>57</v>
      </c>
      <c r="B21" t="s">
        <v>58</v>
      </c>
      <c r="C21" t="s">
        <v>59</v>
      </c>
      <c r="D21">
        <v>1610110051</v>
      </c>
      <c r="E21" s="1">
        <v>43490.531585648147</v>
      </c>
      <c r="F21">
        <v>96</v>
      </c>
    </row>
    <row r="22" spans="1:6" x14ac:dyDescent="0.55000000000000004">
      <c r="A22" t="s">
        <v>60</v>
      </c>
      <c r="B22" t="s">
        <v>61</v>
      </c>
      <c r="C22" t="s">
        <v>62</v>
      </c>
      <c r="D22">
        <v>1510110261</v>
      </c>
      <c r="E22" s="1">
        <v>43490.522557870368</v>
      </c>
      <c r="F22">
        <v>93</v>
      </c>
    </row>
    <row r="23" spans="1:6" x14ac:dyDescent="0.55000000000000004">
      <c r="A23" t="s">
        <v>63</v>
      </c>
      <c r="B23" t="s">
        <v>64</v>
      </c>
      <c r="C23" t="s">
        <v>65</v>
      </c>
      <c r="D23">
        <v>1610110481</v>
      </c>
      <c r="E23" s="1">
        <v>43490.528807870367</v>
      </c>
      <c r="F23">
        <v>94</v>
      </c>
    </row>
    <row r="24" spans="1:6" x14ac:dyDescent="0.55000000000000004">
      <c r="A24" t="s">
        <v>66</v>
      </c>
      <c r="B24" t="s">
        <v>67</v>
      </c>
      <c r="C24" t="s">
        <v>68</v>
      </c>
      <c r="D24">
        <v>1610110419</v>
      </c>
      <c r="E24" s="1">
        <v>43490.530891203707</v>
      </c>
      <c r="F24">
        <v>96</v>
      </c>
    </row>
    <row r="25" spans="1:6" x14ac:dyDescent="0.55000000000000004">
      <c r="A25" t="s">
        <v>69</v>
      </c>
      <c r="B25" t="s">
        <v>70</v>
      </c>
      <c r="C25" t="s">
        <v>71</v>
      </c>
      <c r="D25">
        <v>1710110383</v>
      </c>
      <c r="E25" s="1">
        <v>43490.531585648147</v>
      </c>
      <c r="F25">
        <v>98</v>
      </c>
    </row>
    <row r="26" spans="1:6" x14ac:dyDescent="0.55000000000000004">
      <c r="A26" t="s">
        <v>72</v>
      </c>
      <c r="B26" t="s">
        <v>73</v>
      </c>
      <c r="C26" t="s">
        <v>74</v>
      </c>
      <c r="D26">
        <v>1610110320</v>
      </c>
      <c r="E26" s="1">
        <v>43490.531585648147</v>
      </c>
      <c r="F26">
        <v>100</v>
      </c>
    </row>
    <row r="27" spans="1:6" x14ac:dyDescent="0.55000000000000004">
      <c r="A27" t="s">
        <v>75</v>
      </c>
      <c r="B27" t="s">
        <v>76</v>
      </c>
      <c r="C27" t="s">
        <v>77</v>
      </c>
      <c r="D27">
        <v>1610110001</v>
      </c>
      <c r="E27" s="1">
        <v>43490.532280092593</v>
      </c>
      <c r="F27">
        <v>92</v>
      </c>
    </row>
    <row r="28" spans="1:6" x14ac:dyDescent="0.55000000000000004">
      <c r="A28" t="s">
        <v>78</v>
      </c>
      <c r="B28" t="s">
        <v>79</v>
      </c>
      <c r="C28" t="s">
        <v>80</v>
      </c>
      <c r="D28">
        <v>1610110131</v>
      </c>
      <c r="E28" s="1">
        <v>43490.524641203701</v>
      </c>
      <c r="F28">
        <v>99</v>
      </c>
    </row>
    <row r="29" spans="1:6" x14ac:dyDescent="0.55000000000000004">
      <c r="A29" t="s">
        <v>81</v>
      </c>
      <c r="B29" t="s">
        <v>82</v>
      </c>
      <c r="C29" t="s">
        <v>83</v>
      </c>
      <c r="D29">
        <v>1710110260</v>
      </c>
      <c r="E29" s="1">
        <v>43490.531585648147</v>
      </c>
      <c r="F29">
        <v>90</v>
      </c>
    </row>
    <row r="30" spans="1:6" x14ac:dyDescent="0.55000000000000004">
      <c r="A30" t="s">
        <v>84</v>
      </c>
      <c r="B30" t="s">
        <v>85</v>
      </c>
      <c r="C30" t="s">
        <v>86</v>
      </c>
      <c r="D30">
        <v>1610110114</v>
      </c>
      <c r="E30" s="1">
        <v>43490.526724537034</v>
      </c>
      <c r="F30">
        <v>90</v>
      </c>
    </row>
    <row r="31" spans="1:6" x14ac:dyDescent="0.55000000000000004">
      <c r="A31" t="s">
        <v>87</v>
      </c>
      <c r="B31" t="s">
        <v>88</v>
      </c>
      <c r="C31" t="s">
        <v>89</v>
      </c>
      <c r="D31">
        <v>1510110176</v>
      </c>
      <c r="E31" s="1">
        <v>43490.524641203701</v>
      </c>
      <c r="F31">
        <v>100</v>
      </c>
    </row>
    <row r="32" spans="1:6" x14ac:dyDescent="0.55000000000000004">
      <c r="A32" t="s">
        <v>90</v>
      </c>
      <c r="B32" t="s">
        <v>91</v>
      </c>
      <c r="C32" t="s">
        <v>92</v>
      </c>
      <c r="D32">
        <v>1510110126</v>
      </c>
      <c r="E32" s="1">
        <v>43479.529328703706</v>
      </c>
      <c r="F32">
        <v>92</v>
      </c>
    </row>
    <row r="33" spans="1:6" x14ac:dyDescent="0.55000000000000004">
      <c r="A33" t="s">
        <v>93</v>
      </c>
      <c r="B33" t="s">
        <v>94</v>
      </c>
      <c r="C33" t="s">
        <v>95</v>
      </c>
      <c r="D33">
        <v>1510110075</v>
      </c>
      <c r="E33" s="1">
        <v>43490.526724537034</v>
      </c>
      <c r="F33">
        <v>98</v>
      </c>
    </row>
    <row r="34" spans="1:6" x14ac:dyDescent="0.55000000000000004">
      <c r="A34" t="s">
        <v>96</v>
      </c>
      <c r="B34" t="s">
        <v>97</v>
      </c>
      <c r="C34" t="s">
        <v>98</v>
      </c>
      <c r="D34">
        <v>1510110215</v>
      </c>
      <c r="E34" s="1">
        <v>43490.519780092596</v>
      </c>
      <c r="F34">
        <v>98</v>
      </c>
    </row>
    <row r="35" spans="1:6" x14ac:dyDescent="0.55000000000000004">
      <c r="A35" t="s">
        <v>99</v>
      </c>
      <c r="B35" t="s">
        <v>100</v>
      </c>
      <c r="C35" t="s">
        <v>101</v>
      </c>
      <c r="D35">
        <v>1610110424</v>
      </c>
      <c r="E35" s="1">
        <v>43490.524641203701</v>
      </c>
      <c r="F35">
        <v>97</v>
      </c>
    </row>
    <row r="36" spans="1:6" x14ac:dyDescent="0.55000000000000004">
      <c r="A36" t="s">
        <v>102</v>
      </c>
      <c r="B36" t="s">
        <v>103</v>
      </c>
      <c r="C36" t="s">
        <v>104</v>
      </c>
      <c r="D36">
        <v>1610110438</v>
      </c>
      <c r="E36" s="1">
        <v>43490.528113425928</v>
      </c>
      <c r="F36">
        <v>92</v>
      </c>
    </row>
    <row r="37" spans="1:6" x14ac:dyDescent="0.55000000000000004">
      <c r="A37" t="s">
        <v>105</v>
      </c>
      <c r="B37" t="s">
        <v>106</v>
      </c>
      <c r="C37" t="s">
        <v>107</v>
      </c>
      <c r="D37">
        <v>1610110160</v>
      </c>
      <c r="E37" s="1">
        <v>43490.521168981482</v>
      </c>
      <c r="F37">
        <v>99</v>
      </c>
    </row>
    <row r="38" spans="1:6" x14ac:dyDescent="0.55000000000000004">
      <c r="A38" t="s">
        <v>108</v>
      </c>
      <c r="B38" t="s">
        <v>109</v>
      </c>
      <c r="C38" t="s">
        <v>110</v>
      </c>
      <c r="D38">
        <v>1710110219</v>
      </c>
      <c r="E38" s="1">
        <v>43490.531585648147</v>
      </c>
      <c r="F38">
        <v>96</v>
      </c>
    </row>
    <row r="39" spans="1:6" x14ac:dyDescent="0.55000000000000004">
      <c r="A39" t="s">
        <v>111</v>
      </c>
      <c r="B39" t="s">
        <v>112</v>
      </c>
      <c r="C39" t="s">
        <v>113</v>
      </c>
      <c r="D39">
        <v>1510110489</v>
      </c>
      <c r="E39" s="1">
        <v>43490.531585648147</v>
      </c>
      <c r="F39">
        <v>91</v>
      </c>
    </row>
    <row r="40" spans="1:6" x14ac:dyDescent="0.55000000000000004">
      <c r="A40" t="s">
        <v>114</v>
      </c>
      <c r="B40" t="s">
        <v>115</v>
      </c>
      <c r="C40" t="s">
        <v>116</v>
      </c>
      <c r="D40">
        <v>1510110306</v>
      </c>
      <c r="E40" s="1">
        <v>43490.522557870368</v>
      </c>
      <c r="F40">
        <v>92</v>
      </c>
    </row>
    <row r="41" spans="1:6" x14ac:dyDescent="0.55000000000000004">
      <c r="A41" t="s">
        <v>117</v>
      </c>
      <c r="B41" t="s">
        <v>118</v>
      </c>
      <c r="C41" t="s">
        <v>119</v>
      </c>
      <c r="D41">
        <v>1610110263</v>
      </c>
      <c r="E41" s="1">
        <v>43490.533668981479</v>
      </c>
      <c r="F41">
        <v>99</v>
      </c>
    </row>
    <row r="42" spans="1:6" x14ac:dyDescent="0.55000000000000004">
      <c r="A42" t="s">
        <v>120</v>
      </c>
      <c r="B42" t="s">
        <v>121</v>
      </c>
      <c r="C42" t="s">
        <v>122</v>
      </c>
      <c r="D42">
        <v>1610110144</v>
      </c>
      <c r="E42" s="1">
        <v>43490.523252314815</v>
      </c>
      <c r="F42">
        <v>92</v>
      </c>
    </row>
    <row r="43" spans="1:6" x14ac:dyDescent="0.55000000000000004">
      <c r="A43" t="s">
        <v>123</v>
      </c>
      <c r="B43" t="s">
        <v>124</v>
      </c>
      <c r="C43" t="s">
        <v>125</v>
      </c>
      <c r="D43">
        <v>1610110013</v>
      </c>
      <c r="E43" s="1">
        <v>43490.520474537036</v>
      </c>
      <c r="F43">
        <v>93</v>
      </c>
    </row>
    <row r="44" spans="1:6" x14ac:dyDescent="0.55000000000000004">
      <c r="A44" t="s">
        <v>126</v>
      </c>
      <c r="B44" t="s">
        <v>127</v>
      </c>
      <c r="C44" t="s">
        <v>128</v>
      </c>
      <c r="D44">
        <v>1610110089</v>
      </c>
      <c r="E44" s="1">
        <v>43490.520474537036</v>
      </c>
      <c r="F44">
        <v>95</v>
      </c>
    </row>
  </sheetData>
  <mergeCells count="1">
    <mergeCell ref="F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topLeftCell="A28" workbookViewId="0">
      <selection activeCell="I2" sqref="I2"/>
    </sheetView>
  </sheetViews>
  <sheetFormatPr defaultRowHeight="14.4" x14ac:dyDescent="0.55000000000000004"/>
  <cols>
    <col min="1" max="1" width="5.83984375" bestFit="1" customWidth="1"/>
    <col min="2" max="2" width="11" bestFit="1" customWidth="1"/>
    <col min="3" max="3" width="22.68359375" bestFit="1" customWidth="1"/>
    <col min="4" max="4" width="9.83984375" bestFit="1" customWidth="1"/>
    <col min="5" max="5" width="5" bestFit="1" customWidth="1"/>
    <col min="6" max="6" width="36.578125" bestFit="1" customWidth="1"/>
    <col min="7" max="7" width="7.83984375" bestFit="1" customWidth="1"/>
  </cols>
  <sheetData>
    <row r="1" spans="1:8" x14ac:dyDescent="0.55000000000000004">
      <c r="A1" s="2" t="s">
        <v>130</v>
      </c>
      <c r="B1" s="2" t="s">
        <v>131</v>
      </c>
      <c r="C1" s="2" t="s">
        <v>132</v>
      </c>
      <c r="D1" s="2" t="s">
        <v>133</v>
      </c>
      <c r="E1" s="2" t="s">
        <v>134</v>
      </c>
      <c r="F1" s="2" t="s">
        <v>135</v>
      </c>
      <c r="G1" s="2" t="s">
        <v>136</v>
      </c>
      <c r="H1" s="5" t="s">
        <v>194</v>
      </c>
    </row>
    <row r="2" spans="1:8" x14ac:dyDescent="0.55000000000000004">
      <c r="A2" s="3"/>
      <c r="B2" s="4">
        <v>1610110051</v>
      </c>
      <c r="C2" s="4" t="s">
        <v>137</v>
      </c>
      <c r="D2" s="4" t="s">
        <v>138</v>
      </c>
      <c r="E2" s="4">
        <v>1.5</v>
      </c>
      <c r="F2" s="4" t="s">
        <v>139</v>
      </c>
      <c r="G2" s="4" t="s">
        <v>140</v>
      </c>
      <c r="H2">
        <f>VLOOKUP(B2,BB!$D$1:$G$44,3,0)</f>
        <v>96</v>
      </c>
    </row>
    <row r="3" spans="1:8" ht="26.1" x14ac:dyDescent="0.55000000000000004">
      <c r="A3" s="3"/>
      <c r="B3" s="4">
        <v>1610110092</v>
      </c>
      <c r="C3" s="4" t="s">
        <v>141</v>
      </c>
      <c r="D3" s="4" t="s">
        <v>138</v>
      </c>
      <c r="E3" s="4">
        <v>1.5</v>
      </c>
      <c r="F3" s="4" t="s">
        <v>142</v>
      </c>
      <c r="G3" s="4" t="s">
        <v>140</v>
      </c>
      <c r="H3">
        <f>VLOOKUP(B3,BB!$D$1:$G$44,3,0)</f>
        <v>98</v>
      </c>
    </row>
    <row r="4" spans="1:8" ht="26.1" x14ac:dyDescent="0.55000000000000004">
      <c r="A4" s="3"/>
      <c r="B4" s="4">
        <v>1710110165</v>
      </c>
      <c r="C4" s="4" t="s">
        <v>143</v>
      </c>
      <c r="D4" s="4" t="s">
        <v>138</v>
      </c>
      <c r="E4" s="4">
        <v>1.5</v>
      </c>
      <c r="F4" s="4" t="s">
        <v>144</v>
      </c>
      <c r="G4" s="4" t="s">
        <v>145</v>
      </c>
      <c r="H4">
        <f>VLOOKUP(B4,BB!$D$1:$G$44,3,0)</f>
        <v>95</v>
      </c>
    </row>
    <row r="5" spans="1:8" ht="26.1" x14ac:dyDescent="0.55000000000000004">
      <c r="A5" s="3"/>
      <c r="B5" s="4">
        <v>1610110501</v>
      </c>
      <c r="C5" s="4" t="s">
        <v>146</v>
      </c>
      <c r="D5" s="4" t="s">
        <v>138</v>
      </c>
      <c r="E5" s="4">
        <v>1.5</v>
      </c>
      <c r="F5" s="4" t="s">
        <v>147</v>
      </c>
      <c r="G5" s="4" t="s">
        <v>140</v>
      </c>
      <c r="H5">
        <f>VLOOKUP(B5,BB!$D$1:$G$44,3,0)</f>
        <v>92</v>
      </c>
    </row>
    <row r="6" spans="1:8" ht="26.1" x14ac:dyDescent="0.55000000000000004">
      <c r="A6" s="3"/>
      <c r="B6" s="4">
        <v>1510110119</v>
      </c>
      <c r="C6" s="4" t="s">
        <v>148</v>
      </c>
      <c r="D6" s="4" t="s">
        <v>138</v>
      </c>
      <c r="E6" s="4">
        <v>1.5</v>
      </c>
      <c r="F6" s="4" t="s">
        <v>144</v>
      </c>
      <c r="G6" s="4" t="s">
        <v>149</v>
      </c>
      <c r="H6">
        <f>VLOOKUP(B6,BB!$D$1:$G$44,3,0)</f>
        <v>98</v>
      </c>
    </row>
    <row r="7" spans="1:8" x14ac:dyDescent="0.55000000000000004">
      <c r="A7" s="3"/>
      <c r="B7" s="4">
        <v>1710110222</v>
      </c>
      <c r="C7" s="4" t="s">
        <v>150</v>
      </c>
      <c r="D7" s="4" t="s">
        <v>138</v>
      </c>
      <c r="E7" s="4">
        <v>1.5</v>
      </c>
      <c r="F7" s="4" t="s">
        <v>151</v>
      </c>
      <c r="G7" s="4" t="s">
        <v>145</v>
      </c>
      <c r="H7">
        <f>VLOOKUP(B7,BB!$D$1:$G$44,3,0)</f>
        <v>94</v>
      </c>
    </row>
    <row r="8" spans="1:8" ht="26.1" x14ac:dyDescent="0.55000000000000004">
      <c r="A8" s="3"/>
      <c r="B8" s="4">
        <v>1610110509</v>
      </c>
      <c r="C8" s="4" t="s">
        <v>152</v>
      </c>
      <c r="D8" s="4" t="s">
        <v>138</v>
      </c>
      <c r="E8" s="4">
        <v>1.5</v>
      </c>
      <c r="F8" s="4" t="s">
        <v>147</v>
      </c>
      <c r="G8" s="4" t="s">
        <v>140</v>
      </c>
      <c r="H8">
        <f>VLOOKUP(B8,BB!$D$1:$G$44,3,0)</f>
        <v>91</v>
      </c>
    </row>
    <row r="9" spans="1:8" ht="26.1" x14ac:dyDescent="0.55000000000000004">
      <c r="A9" s="3"/>
      <c r="B9" s="4">
        <v>1610110008</v>
      </c>
      <c r="C9" s="4" t="s">
        <v>153</v>
      </c>
      <c r="D9" s="4" t="s">
        <v>138</v>
      </c>
      <c r="E9" s="4">
        <v>1.5</v>
      </c>
      <c r="F9" s="4" t="s">
        <v>154</v>
      </c>
      <c r="G9" s="4" t="s">
        <v>140</v>
      </c>
      <c r="H9">
        <f>VLOOKUP(B9,BB!$D$1:$G$44,3,0)</f>
        <v>91</v>
      </c>
    </row>
    <row r="10" spans="1:8" ht="26.1" x14ac:dyDescent="0.55000000000000004">
      <c r="A10" s="3"/>
      <c r="B10" s="4">
        <v>1510110086</v>
      </c>
      <c r="C10" s="4" t="s">
        <v>155</v>
      </c>
      <c r="D10" s="4" t="s">
        <v>138</v>
      </c>
      <c r="E10" s="4">
        <v>1.5</v>
      </c>
      <c r="F10" s="4" t="s">
        <v>154</v>
      </c>
      <c r="G10" s="4" t="s">
        <v>149</v>
      </c>
      <c r="H10">
        <f>VLOOKUP(B10,BB!$D$1:$G$44,3,0)</f>
        <v>91</v>
      </c>
    </row>
    <row r="11" spans="1:8" x14ac:dyDescent="0.55000000000000004">
      <c r="A11" s="3"/>
      <c r="B11" s="4">
        <v>1610110382</v>
      </c>
      <c r="C11" s="4" t="s">
        <v>156</v>
      </c>
      <c r="D11" s="4" t="s">
        <v>138</v>
      </c>
      <c r="E11" s="4">
        <v>1.5</v>
      </c>
      <c r="F11" s="4" t="s">
        <v>157</v>
      </c>
      <c r="G11" s="4" t="s">
        <v>140</v>
      </c>
      <c r="H11">
        <f>VLOOKUP(B11,BB!$D$1:$G$44,3,0)</f>
        <v>90</v>
      </c>
    </row>
    <row r="12" spans="1:8" ht="26.1" x14ac:dyDescent="0.55000000000000004">
      <c r="A12" s="3"/>
      <c r="B12" s="4">
        <v>1710110010</v>
      </c>
      <c r="C12" s="4" t="s">
        <v>158</v>
      </c>
      <c r="D12" s="4" t="s">
        <v>138</v>
      </c>
      <c r="E12" s="4">
        <v>1.5</v>
      </c>
      <c r="F12" s="4" t="s">
        <v>147</v>
      </c>
      <c r="G12" s="4" t="s">
        <v>145</v>
      </c>
      <c r="H12">
        <f>VLOOKUP(B12,BB!$D$1:$G$44,3,0)</f>
        <v>99</v>
      </c>
    </row>
    <row r="13" spans="1:8" ht="26.1" x14ac:dyDescent="0.55000000000000004">
      <c r="A13" s="3"/>
      <c r="B13" s="4">
        <v>1610110486</v>
      </c>
      <c r="C13" s="4" t="s">
        <v>159</v>
      </c>
      <c r="D13" s="4" t="s">
        <v>138</v>
      </c>
      <c r="E13" s="4">
        <v>1.5</v>
      </c>
      <c r="F13" s="4" t="s">
        <v>147</v>
      </c>
      <c r="G13" s="4" t="s">
        <v>140</v>
      </c>
      <c r="H13">
        <f>VLOOKUP(B13,BB!$D$1:$G$44,3,0)</f>
        <v>96</v>
      </c>
    </row>
    <row r="14" spans="1:8" ht="26.1" x14ac:dyDescent="0.55000000000000004">
      <c r="A14" s="3"/>
      <c r="B14" s="4">
        <v>1610110343</v>
      </c>
      <c r="C14" s="4" t="s">
        <v>160</v>
      </c>
      <c r="D14" s="4" t="s">
        <v>138</v>
      </c>
      <c r="E14" s="4">
        <v>1.5</v>
      </c>
      <c r="F14" s="4" t="s">
        <v>154</v>
      </c>
      <c r="G14" s="4" t="s">
        <v>140</v>
      </c>
      <c r="H14">
        <f>VLOOKUP(B14,BB!$D$1:$G$44,3,0)</f>
        <v>91</v>
      </c>
    </row>
    <row r="15" spans="1:8" ht="26.1" x14ac:dyDescent="0.55000000000000004">
      <c r="A15" s="3"/>
      <c r="B15" s="4">
        <v>1610110429</v>
      </c>
      <c r="C15" s="4" t="s">
        <v>161</v>
      </c>
      <c r="D15" s="4" t="s">
        <v>138</v>
      </c>
      <c r="E15" s="4">
        <v>1.5</v>
      </c>
      <c r="F15" s="4" t="s">
        <v>154</v>
      </c>
      <c r="G15" s="4" t="s">
        <v>140</v>
      </c>
      <c r="H15">
        <f>VLOOKUP(B15,BB!$D$1:$G$44,3,0)</f>
        <v>91</v>
      </c>
    </row>
    <row r="16" spans="1:8" ht="26.1" x14ac:dyDescent="0.55000000000000004">
      <c r="A16" s="3"/>
      <c r="B16" s="4">
        <v>1610110473</v>
      </c>
      <c r="C16" s="4" t="s">
        <v>162</v>
      </c>
      <c r="D16" s="4" t="s">
        <v>138</v>
      </c>
      <c r="E16" s="4">
        <v>1.5</v>
      </c>
      <c r="F16" s="4" t="s">
        <v>147</v>
      </c>
      <c r="G16" s="4" t="s">
        <v>140</v>
      </c>
      <c r="H16">
        <f>VLOOKUP(B16,BB!$D$1:$G$44,3,0)</f>
        <v>92</v>
      </c>
    </row>
    <row r="17" spans="1:8" x14ac:dyDescent="0.55000000000000004">
      <c r="A17" s="3"/>
      <c r="B17" s="4">
        <v>1610110003</v>
      </c>
      <c r="C17" s="4" t="s">
        <v>163</v>
      </c>
      <c r="D17" s="4" t="s">
        <v>138</v>
      </c>
      <c r="E17" s="4">
        <v>1.5</v>
      </c>
      <c r="F17" s="4" t="s">
        <v>139</v>
      </c>
      <c r="G17" s="4" t="s">
        <v>140</v>
      </c>
      <c r="H17">
        <f>VLOOKUP(B17,BB!$D$1:$G$44,3,0)</f>
        <v>94</v>
      </c>
    </row>
    <row r="18" spans="1:8" x14ac:dyDescent="0.55000000000000004">
      <c r="A18" s="3"/>
      <c r="B18" s="4">
        <v>1710110038</v>
      </c>
      <c r="C18" s="4" t="s">
        <v>164</v>
      </c>
      <c r="D18" s="4" t="s">
        <v>138</v>
      </c>
      <c r="E18" s="4">
        <v>1.5</v>
      </c>
      <c r="F18" s="4" t="s">
        <v>165</v>
      </c>
      <c r="G18" s="4" t="s">
        <v>145</v>
      </c>
      <c r="H18">
        <f>VLOOKUP(B18,BB!$D$1:$G$44,3,0)</f>
        <v>96</v>
      </c>
    </row>
    <row r="19" spans="1:8" ht="26.1" x14ac:dyDescent="0.55000000000000004">
      <c r="A19" s="3"/>
      <c r="B19" s="4">
        <v>1610110336</v>
      </c>
      <c r="C19" s="4" t="s">
        <v>166</v>
      </c>
      <c r="D19" s="4" t="s">
        <v>138</v>
      </c>
      <c r="E19" s="4">
        <v>1.5</v>
      </c>
      <c r="F19" s="4" t="s">
        <v>144</v>
      </c>
      <c r="G19" s="4" t="s">
        <v>140</v>
      </c>
      <c r="H19">
        <f>VLOOKUP(B19,BB!$D$1:$G$44,3,0)</f>
        <v>97</v>
      </c>
    </row>
    <row r="20" spans="1:8" x14ac:dyDescent="0.55000000000000004">
      <c r="A20" s="3"/>
      <c r="B20" s="4">
        <v>1510110310</v>
      </c>
      <c r="C20" s="4" t="s">
        <v>167</v>
      </c>
      <c r="D20" s="4" t="s">
        <v>138</v>
      </c>
      <c r="E20" s="4">
        <v>1.5</v>
      </c>
      <c r="F20" s="4" t="s">
        <v>168</v>
      </c>
      <c r="G20" s="4" t="s">
        <v>149</v>
      </c>
      <c r="H20">
        <f>VLOOKUP(B20,BB!$D$1:$G$44,3,0)</f>
        <v>100</v>
      </c>
    </row>
    <row r="21" spans="1:8" x14ac:dyDescent="0.55000000000000004">
      <c r="A21" s="3"/>
      <c r="B21" s="4">
        <v>1610110419</v>
      </c>
      <c r="C21" s="4" t="s">
        <v>169</v>
      </c>
      <c r="D21" s="4" t="s">
        <v>138</v>
      </c>
      <c r="E21" s="4">
        <v>1.5</v>
      </c>
      <c r="F21" s="4" t="s">
        <v>165</v>
      </c>
      <c r="G21" s="4" t="s">
        <v>140</v>
      </c>
      <c r="H21">
        <f>VLOOKUP(B21,BB!$D$1:$G$44,3,0)</f>
        <v>96</v>
      </c>
    </row>
    <row r="22" spans="1:8" ht="26.1" x14ac:dyDescent="0.55000000000000004">
      <c r="A22" s="3"/>
      <c r="B22" s="4">
        <v>1510110261</v>
      </c>
      <c r="C22" s="4" t="s">
        <v>170</v>
      </c>
      <c r="D22" s="4" t="s">
        <v>138</v>
      </c>
      <c r="E22" s="4">
        <v>1.5</v>
      </c>
      <c r="F22" s="4" t="s">
        <v>144</v>
      </c>
      <c r="G22" s="4" t="s">
        <v>149</v>
      </c>
      <c r="H22">
        <f>VLOOKUP(B22,BB!$D$1:$G$44,3,0)</f>
        <v>93</v>
      </c>
    </row>
    <row r="23" spans="1:8" ht="26.1" x14ac:dyDescent="0.55000000000000004">
      <c r="A23" s="3"/>
      <c r="B23" s="4">
        <v>1610110481</v>
      </c>
      <c r="C23" s="4" t="s">
        <v>171</v>
      </c>
      <c r="D23" s="4" t="s">
        <v>138</v>
      </c>
      <c r="E23" s="4">
        <v>1.5</v>
      </c>
      <c r="F23" s="4" t="s">
        <v>147</v>
      </c>
      <c r="G23" s="4" t="s">
        <v>140</v>
      </c>
      <c r="H23">
        <f>VLOOKUP(B23,BB!$D$1:$G$44,3,0)</f>
        <v>94</v>
      </c>
    </row>
    <row r="24" spans="1:8" x14ac:dyDescent="0.55000000000000004">
      <c r="A24" s="3"/>
      <c r="B24" s="4">
        <v>1710110383</v>
      </c>
      <c r="C24" s="4" t="s">
        <v>172</v>
      </c>
      <c r="D24" s="4" t="s">
        <v>138</v>
      </c>
      <c r="E24" s="4">
        <v>1.5</v>
      </c>
      <c r="F24" s="4" t="s">
        <v>165</v>
      </c>
      <c r="G24" s="4" t="s">
        <v>145</v>
      </c>
      <c r="H24">
        <f>VLOOKUP(B24,BB!$D$1:$G$44,3,0)</f>
        <v>98</v>
      </c>
    </row>
    <row r="25" spans="1:8" ht="26.1" x14ac:dyDescent="0.55000000000000004">
      <c r="A25" s="3"/>
      <c r="B25" s="4">
        <v>1610110320</v>
      </c>
      <c r="C25" s="4" t="s">
        <v>173</v>
      </c>
      <c r="D25" s="4" t="s">
        <v>138</v>
      </c>
      <c r="E25" s="4">
        <v>1.5</v>
      </c>
      <c r="F25" s="4" t="s">
        <v>154</v>
      </c>
      <c r="G25" s="4" t="s">
        <v>140</v>
      </c>
      <c r="H25">
        <f>VLOOKUP(B25,BB!$D$1:$G$44,3,0)</f>
        <v>100</v>
      </c>
    </row>
    <row r="26" spans="1:8" ht="26.1" x14ac:dyDescent="0.55000000000000004">
      <c r="A26" s="3"/>
      <c r="B26" s="4">
        <v>1610110001</v>
      </c>
      <c r="C26" s="4" t="s">
        <v>174</v>
      </c>
      <c r="D26" s="4" t="s">
        <v>138</v>
      </c>
      <c r="E26" s="4">
        <v>1.5</v>
      </c>
      <c r="F26" s="4" t="s">
        <v>154</v>
      </c>
      <c r="G26" s="4" t="s">
        <v>140</v>
      </c>
      <c r="H26">
        <f>VLOOKUP(B26,BB!$D$1:$G$44,3,0)</f>
        <v>92</v>
      </c>
    </row>
    <row r="27" spans="1:8" ht="26.1" x14ac:dyDescent="0.55000000000000004">
      <c r="A27" s="3"/>
      <c r="B27" s="4">
        <v>1610110131</v>
      </c>
      <c r="C27" s="4" t="s">
        <v>175</v>
      </c>
      <c r="D27" s="4" t="s">
        <v>138</v>
      </c>
      <c r="E27" s="4">
        <v>1.5</v>
      </c>
      <c r="F27" s="4" t="s">
        <v>154</v>
      </c>
      <c r="G27" s="4" t="s">
        <v>140</v>
      </c>
      <c r="H27">
        <f>VLOOKUP(B27,BB!$D$1:$G$44,3,0)</f>
        <v>99</v>
      </c>
    </row>
    <row r="28" spans="1:8" ht="26.1" x14ac:dyDescent="0.55000000000000004">
      <c r="A28" s="3"/>
      <c r="B28" s="4">
        <v>1710110260</v>
      </c>
      <c r="C28" s="4" t="s">
        <v>176</v>
      </c>
      <c r="D28" s="4" t="s">
        <v>138</v>
      </c>
      <c r="E28" s="4">
        <v>1.5</v>
      </c>
      <c r="F28" s="4" t="s">
        <v>144</v>
      </c>
      <c r="G28" s="4" t="s">
        <v>145</v>
      </c>
      <c r="H28">
        <f>VLOOKUP(B28,BB!$D$1:$G$44,3,0)</f>
        <v>90</v>
      </c>
    </row>
    <row r="29" spans="1:8" ht="26.1" x14ac:dyDescent="0.55000000000000004">
      <c r="A29" s="3"/>
      <c r="B29" s="4">
        <v>1610110114</v>
      </c>
      <c r="C29" s="4" t="s">
        <v>177</v>
      </c>
      <c r="D29" s="4" t="s">
        <v>138</v>
      </c>
      <c r="E29" s="4">
        <v>1.5</v>
      </c>
      <c r="F29" s="4" t="s">
        <v>142</v>
      </c>
      <c r="G29" s="4" t="s">
        <v>140</v>
      </c>
      <c r="H29">
        <f>VLOOKUP(B29,BB!$D$1:$G$44,3,0)</f>
        <v>90</v>
      </c>
    </row>
    <row r="30" spans="1:8" x14ac:dyDescent="0.55000000000000004">
      <c r="A30" s="3"/>
      <c r="B30" s="4">
        <v>1510110176</v>
      </c>
      <c r="C30" s="4" t="s">
        <v>178</v>
      </c>
      <c r="D30" s="4" t="s">
        <v>138</v>
      </c>
      <c r="E30" s="4">
        <v>1.5</v>
      </c>
      <c r="F30" s="4" t="s">
        <v>165</v>
      </c>
      <c r="G30" s="4" t="s">
        <v>149</v>
      </c>
      <c r="H30">
        <f>VLOOKUP(B30,BB!$D$1:$G$44,3,0)</f>
        <v>100</v>
      </c>
    </row>
    <row r="31" spans="1:8" x14ac:dyDescent="0.55000000000000004">
      <c r="A31" s="3"/>
      <c r="B31" s="4">
        <v>1510110126</v>
      </c>
      <c r="C31" s="4" t="s">
        <v>179</v>
      </c>
      <c r="D31" s="4" t="s">
        <v>138</v>
      </c>
      <c r="E31" s="4">
        <v>1.5</v>
      </c>
      <c r="F31" s="4" t="s">
        <v>151</v>
      </c>
      <c r="G31" s="4" t="s">
        <v>149</v>
      </c>
      <c r="H31">
        <f>VLOOKUP(B31,BB!$D$1:$G$44,3,0)</f>
        <v>92</v>
      </c>
    </row>
    <row r="32" spans="1:8" x14ac:dyDescent="0.55000000000000004">
      <c r="A32" s="3"/>
      <c r="B32" s="4">
        <v>1510110075</v>
      </c>
      <c r="C32" s="4" t="s">
        <v>180</v>
      </c>
      <c r="D32" s="4" t="s">
        <v>138</v>
      </c>
      <c r="E32" s="4">
        <v>1.5</v>
      </c>
      <c r="F32" s="4" t="s">
        <v>165</v>
      </c>
      <c r="G32" s="4" t="s">
        <v>149</v>
      </c>
      <c r="H32">
        <f>VLOOKUP(B32,BB!$D$1:$G$44,3,0)</f>
        <v>98</v>
      </c>
    </row>
    <row r="33" spans="1:8" ht="26.1" x14ac:dyDescent="0.55000000000000004">
      <c r="A33" s="3"/>
      <c r="B33" s="4">
        <v>1610110424</v>
      </c>
      <c r="C33" s="4" t="s">
        <v>181</v>
      </c>
      <c r="D33" s="4" t="s">
        <v>138</v>
      </c>
      <c r="E33" s="4">
        <v>1.5</v>
      </c>
      <c r="F33" s="4" t="s">
        <v>142</v>
      </c>
      <c r="G33" s="4" t="s">
        <v>140</v>
      </c>
      <c r="H33">
        <f>VLOOKUP(B33,BB!$D$1:$G$44,3,0)</f>
        <v>97</v>
      </c>
    </row>
    <row r="34" spans="1:8" ht="26.1" x14ac:dyDescent="0.55000000000000004">
      <c r="A34" s="3"/>
      <c r="B34" s="4">
        <v>1510110215</v>
      </c>
      <c r="C34" s="4" t="s">
        <v>182</v>
      </c>
      <c r="D34" s="4" t="s">
        <v>138</v>
      </c>
      <c r="E34" s="4">
        <v>1.5</v>
      </c>
      <c r="F34" s="4" t="s">
        <v>183</v>
      </c>
      <c r="G34" s="4" t="s">
        <v>149</v>
      </c>
      <c r="H34">
        <f>VLOOKUP(B34,BB!$D$1:$G$44,3,0)</f>
        <v>98</v>
      </c>
    </row>
    <row r="35" spans="1:8" ht="26.1" x14ac:dyDescent="0.55000000000000004">
      <c r="A35" s="3"/>
      <c r="B35" s="4">
        <v>1610110438</v>
      </c>
      <c r="C35" s="4" t="s">
        <v>184</v>
      </c>
      <c r="D35" s="4" t="s">
        <v>138</v>
      </c>
      <c r="E35" s="4">
        <v>1.5</v>
      </c>
      <c r="F35" s="4" t="s">
        <v>154</v>
      </c>
      <c r="G35" s="4" t="s">
        <v>140</v>
      </c>
      <c r="H35">
        <f>VLOOKUP(B35,BB!$D$1:$G$44,3,0)</f>
        <v>92</v>
      </c>
    </row>
    <row r="36" spans="1:8" x14ac:dyDescent="0.55000000000000004">
      <c r="A36" s="3"/>
      <c r="B36" s="4">
        <v>1610110160</v>
      </c>
      <c r="C36" s="4" t="s">
        <v>185</v>
      </c>
      <c r="D36" s="4" t="s">
        <v>138</v>
      </c>
      <c r="E36" s="4">
        <v>1.5</v>
      </c>
      <c r="F36" s="4" t="s">
        <v>157</v>
      </c>
      <c r="G36" s="4" t="s">
        <v>140</v>
      </c>
      <c r="H36">
        <f>VLOOKUP(B36,BB!$D$1:$G$44,3,0)</f>
        <v>99</v>
      </c>
    </row>
    <row r="37" spans="1:8" ht="26.1" x14ac:dyDescent="0.55000000000000004">
      <c r="A37" s="3"/>
      <c r="B37" s="4">
        <v>1710110219</v>
      </c>
      <c r="C37" s="4" t="s">
        <v>186</v>
      </c>
      <c r="D37" s="4" t="s">
        <v>138</v>
      </c>
      <c r="E37" s="4">
        <v>1.5</v>
      </c>
      <c r="F37" s="4" t="s">
        <v>144</v>
      </c>
      <c r="G37" s="4" t="s">
        <v>145</v>
      </c>
      <c r="H37">
        <f>VLOOKUP(B37,BB!$D$1:$G$44,3,0)</f>
        <v>96</v>
      </c>
    </row>
    <row r="38" spans="1:8" ht="26.1" x14ac:dyDescent="0.55000000000000004">
      <c r="A38" s="3"/>
      <c r="B38" s="4">
        <v>1610110144</v>
      </c>
      <c r="C38" s="4" t="s">
        <v>187</v>
      </c>
      <c r="D38" s="4" t="s">
        <v>138</v>
      </c>
      <c r="E38" s="4">
        <v>1.5</v>
      </c>
      <c r="F38" s="4" t="s">
        <v>154</v>
      </c>
      <c r="G38" s="4" t="s">
        <v>140</v>
      </c>
      <c r="H38">
        <f>VLOOKUP(B38,BB!$D$1:$G$44,3,0)</f>
        <v>92</v>
      </c>
    </row>
    <row r="39" spans="1:8" x14ac:dyDescent="0.55000000000000004">
      <c r="A39" s="3"/>
      <c r="B39" s="4">
        <v>1610110013</v>
      </c>
      <c r="C39" s="4" t="s">
        <v>188</v>
      </c>
      <c r="D39" s="4" t="s">
        <v>138</v>
      </c>
      <c r="E39" s="4">
        <v>1.5</v>
      </c>
      <c r="F39" s="4" t="s">
        <v>151</v>
      </c>
      <c r="G39" s="4" t="s">
        <v>140</v>
      </c>
      <c r="H39">
        <f>VLOOKUP(B39,BB!$D$1:$G$44,3,0)</f>
        <v>93</v>
      </c>
    </row>
    <row r="40" spans="1:8" x14ac:dyDescent="0.55000000000000004">
      <c r="A40" s="3"/>
      <c r="B40" s="4">
        <v>1510110489</v>
      </c>
      <c r="C40" s="4" t="s">
        <v>189</v>
      </c>
      <c r="D40" s="4" t="s">
        <v>138</v>
      </c>
      <c r="E40" s="4">
        <v>1.5</v>
      </c>
      <c r="F40" s="4" t="s">
        <v>165</v>
      </c>
      <c r="G40" s="4" t="s">
        <v>149</v>
      </c>
      <c r="H40">
        <f>VLOOKUP(B40,BB!$D$1:$G$44,3,0)</f>
        <v>91</v>
      </c>
    </row>
    <row r="41" spans="1:8" ht="26.1" x14ac:dyDescent="0.55000000000000004">
      <c r="A41" s="3"/>
      <c r="B41" s="4">
        <v>1510110306</v>
      </c>
      <c r="C41" s="4" t="s">
        <v>190</v>
      </c>
      <c r="D41" s="4" t="s">
        <v>138</v>
      </c>
      <c r="E41" s="4">
        <v>1.5</v>
      </c>
      <c r="F41" s="4" t="s">
        <v>154</v>
      </c>
      <c r="G41" s="4" t="s">
        <v>149</v>
      </c>
      <c r="H41">
        <f>VLOOKUP(B41,BB!$D$1:$G$44,3,0)</f>
        <v>92</v>
      </c>
    </row>
    <row r="42" spans="1:8" ht="26.1" x14ac:dyDescent="0.55000000000000004">
      <c r="A42" s="3"/>
      <c r="B42" s="4">
        <v>1610110263</v>
      </c>
      <c r="C42" s="4" t="s">
        <v>191</v>
      </c>
      <c r="D42" s="4" t="s">
        <v>138</v>
      </c>
      <c r="E42" s="4">
        <v>1.5</v>
      </c>
      <c r="F42" s="4" t="s">
        <v>142</v>
      </c>
      <c r="G42" s="4" t="s">
        <v>140</v>
      </c>
      <c r="H42">
        <f>VLOOKUP(B42,BB!$D$1:$G$44,3,0)</f>
        <v>99</v>
      </c>
    </row>
    <row r="43" spans="1:8" ht="26.1" x14ac:dyDescent="0.55000000000000004">
      <c r="A43" s="3"/>
      <c r="B43" s="4">
        <v>1510110274</v>
      </c>
      <c r="C43" s="4" t="s">
        <v>192</v>
      </c>
      <c r="D43" s="4" t="s">
        <v>138</v>
      </c>
      <c r="E43" s="4">
        <v>1.5</v>
      </c>
      <c r="F43" s="4" t="s">
        <v>154</v>
      </c>
      <c r="G43" s="4" t="s">
        <v>149</v>
      </c>
      <c r="H43">
        <f>VLOOKUP(B43,BB!$D$1:$G$44,3,0)</f>
        <v>91</v>
      </c>
    </row>
    <row r="44" spans="1:8" ht="26.1" x14ac:dyDescent="0.55000000000000004">
      <c r="A44" s="3"/>
      <c r="B44" s="4">
        <v>1610110089</v>
      </c>
      <c r="C44" s="4" t="s">
        <v>193</v>
      </c>
      <c r="D44" s="4" t="s">
        <v>138</v>
      </c>
      <c r="E44" s="4">
        <v>1.5</v>
      </c>
      <c r="F44" s="4" t="s">
        <v>142</v>
      </c>
      <c r="G44" s="4" t="s">
        <v>140</v>
      </c>
      <c r="H44">
        <f>VLOOKUP(B44,BB!$D$1:$G$44,3,0)</f>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FF"/>
  </sheetPr>
  <dimension ref="A1:J47"/>
  <sheetViews>
    <sheetView tabSelected="1" topLeftCell="A16" zoomScaleNormal="100" workbookViewId="0">
      <selection activeCell="G29" sqref="G29"/>
    </sheetView>
  </sheetViews>
  <sheetFormatPr defaultRowHeight="14.4" x14ac:dyDescent="0.55000000000000004"/>
  <cols>
    <col min="1" max="1" width="9" bestFit="1" customWidth="1"/>
    <col min="2" max="2" width="23.578125" customWidth="1"/>
    <col min="3" max="3" width="18.578125" bestFit="1" customWidth="1"/>
    <col min="4" max="4" width="9" bestFit="1" customWidth="1"/>
    <col min="5" max="5" width="6.68359375" bestFit="1" customWidth="1"/>
    <col min="6" max="6" width="17.68359375" bestFit="1" customWidth="1"/>
    <col min="7" max="7" width="23.578125" customWidth="1"/>
    <col min="8" max="8" width="22" customWidth="1"/>
    <col min="9" max="9" width="6" bestFit="1" customWidth="1"/>
    <col min="10" max="10" width="9.578125" bestFit="1" customWidth="1"/>
    <col min="257" max="257" width="9" bestFit="1" customWidth="1"/>
    <col min="258" max="258" width="23.578125" customWidth="1"/>
    <col min="259" max="259" width="18.578125" bestFit="1" customWidth="1"/>
    <col min="260" max="260" width="9" bestFit="1" customWidth="1"/>
    <col min="261" max="261" width="6.68359375" bestFit="1" customWidth="1"/>
    <col min="262" max="262" width="17.68359375" bestFit="1" customWidth="1"/>
    <col min="263" max="263" width="23.578125" customWidth="1"/>
    <col min="264" max="264" width="17.15625" customWidth="1"/>
    <col min="265" max="265" width="6" bestFit="1" customWidth="1"/>
    <col min="266" max="266" width="9.578125" bestFit="1" customWidth="1"/>
    <col min="513" max="513" width="9" bestFit="1" customWidth="1"/>
    <col min="514" max="514" width="23.578125" customWidth="1"/>
    <col min="515" max="515" width="18.578125" bestFit="1" customWidth="1"/>
    <col min="516" max="516" width="9" bestFit="1" customWidth="1"/>
    <col min="517" max="517" width="6.68359375" bestFit="1" customWidth="1"/>
    <col min="518" max="518" width="17.68359375" bestFit="1" customWidth="1"/>
    <col min="519" max="519" width="23.578125" customWidth="1"/>
    <col min="520" max="520" width="17.15625" customWidth="1"/>
    <col min="521" max="521" width="6" bestFit="1" customWidth="1"/>
    <col min="522" max="522" width="9.578125" bestFit="1" customWidth="1"/>
    <col min="769" max="769" width="9" bestFit="1" customWidth="1"/>
    <col min="770" max="770" width="23.578125" customWidth="1"/>
    <col min="771" max="771" width="18.578125" bestFit="1" customWidth="1"/>
    <col min="772" max="772" width="9" bestFit="1" customWidth="1"/>
    <col min="773" max="773" width="6.68359375" bestFit="1" customWidth="1"/>
    <col min="774" max="774" width="17.68359375" bestFit="1" customWidth="1"/>
    <col min="775" max="775" width="23.578125" customWidth="1"/>
    <col min="776" max="776" width="17.15625" customWidth="1"/>
    <col min="777" max="777" width="6" bestFit="1" customWidth="1"/>
    <col min="778" max="778" width="9.578125" bestFit="1" customWidth="1"/>
    <col min="1025" max="1025" width="9" bestFit="1" customWidth="1"/>
    <col min="1026" max="1026" width="23.578125" customWidth="1"/>
    <col min="1027" max="1027" width="18.578125" bestFit="1" customWidth="1"/>
    <col min="1028" max="1028" width="9" bestFit="1" customWidth="1"/>
    <col min="1029" max="1029" width="6.68359375" bestFit="1" customWidth="1"/>
    <col min="1030" max="1030" width="17.68359375" bestFit="1" customWidth="1"/>
    <col min="1031" max="1031" width="23.578125" customWidth="1"/>
    <col min="1032" max="1032" width="17.15625" customWidth="1"/>
    <col min="1033" max="1033" width="6" bestFit="1" customWidth="1"/>
    <col min="1034" max="1034" width="9.578125" bestFit="1" customWidth="1"/>
    <col min="1281" max="1281" width="9" bestFit="1" customWidth="1"/>
    <col min="1282" max="1282" width="23.578125" customWidth="1"/>
    <col min="1283" max="1283" width="18.578125" bestFit="1" customWidth="1"/>
    <col min="1284" max="1284" width="9" bestFit="1" customWidth="1"/>
    <col min="1285" max="1285" width="6.68359375" bestFit="1" customWidth="1"/>
    <col min="1286" max="1286" width="17.68359375" bestFit="1" customWidth="1"/>
    <col min="1287" max="1287" width="23.578125" customWidth="1"/>
    <col min="1288" max="1288" width="17.15625" customWidth="1"/>
    <col min="1289" max="1289" width="6" bestFit="1" customWidth="1"/>
    <col min="1290" max="1290" width="9.578125" bestFit="1" customWidth="1"/>
    <col min="1537" max="1537" width="9" bestFit="1" customWidth="1"/>
    <col min="1538" max="1538" width="23.578125" customWidth="1"/>
    <col min="1539" max="1539" width="18.578125" bestFit="1" customWidth="1"/>
    <col min="1540" max="1540" width="9" bestFit="1" customWidth="1"/>
    <col min="1541" max="1541" width="6.68359375" bestFit="1" customWidth="1"/>
    <col min="1542" max="1542" width="17.68359375" bestFit="1" customWidth="1"/>
    <col min="1543" max="1543" width="23.578125" customWidth="1"/>
    <col min="1544" max="1544" width="17.15625" customWidth="1"/>
    <col min="1545" max="1545" width="6" bestFit="1" customWidth="1"/>
    <col min="1546" max="1546" width="9.578125" bestFit="1" customWidth="1"/>
    <col min="1793" max="1793" width="9" bestFit="1" customWidth="1"/>
    <col min="1794" max="1794" width="23.578125" customWidth="1"/>
    <col min="1795" max="1795" width="18.578125" bestFit="1" customWidth="1"/>
    <col min="1796" max="1796" width="9" bestFit="1" customWidth="1"/>
    <col min="1797" max="1797" width="6.68359375" bestFit="1" customWidth="1"/>
    <col min="1798" max="1798" width="17.68359375" bestFit="1" customWidth="1"/>
    <col min="1799" max="1799" width="23.578125" customWidth="1"/>
    <col min="1800" max="1800" width="17.15625" customWidth="1"/>
    <col min="1801" max="1801" width="6" bestFit="1" customWidth="1"/>
    <col min="1802" max="1802" width="9.578125" bestFit="1" customWidth="1"/>
    <col min="2049" max="2049" width="9" bestFit="1" customWidth="1"/>
    <col min="2050" max="2050" width="23.578125" customWidth="1"/>
    <col min="2051" max="2051" width="18.578125" bestFit="1" customWidth="1"/>
    <col min="2052" max="2052" width="9" bestFit="1" customWidth="1"/>
    <col min="2053" max="2053" width="6.68359375" bestFit="1" customWidth="1"/>
    <col min="2054" max="2054" width="17.68359375" bestFit="1" customWidth="1"/>
    <col min="2055" max="2055" width="23.578125" customWidth="1"/>
    <col min="2056" max="2056" width="17.15625" customWidth="1"/>
    <col min="2057" max="2057" width="6" bestFit="1" customWidth="1"/>
    <col min="2058" max="2058" width="9.578125" bestFit="1" customWidth="1"/>
    <col min="2305" max="2305" width="9" bestFit="1" customWidth="1"/>
    <col min="2306" max="2306" width="23.578125" customWidth="1"/>
    <col min="2307" max="2307" width="18.578125" bestFit="1" customWidth="1"/>
    <col min="2308" max="2308" width="9" bestFit="1" customWidth="1"/>
    <col min="2309" max="2309" width="6.68359375" bestFit="1" customWidth="1"/>
    <col min="2310" max="2310" width="17.68359375" bestFit="1" customWidth="1"/>
    <col min="2311" max="2311" width="23.578125" customWidth="1"/>
    <col min="2312" max="2312" width="17.15625" customWidth="1"/>
    <col min="2313" max="2313" width="6" bestFit="1" customWidth="1"/>
    <col min="2314" max="2314" width="9.578125" bestFit="1" customWidth="1"/>
    <col min="2561" max="2561" width="9" bestFit="1" customWidth="1"/>
    <col min="2562" max="2562" width="23.578125" customWidth="1"/>
    <col min="2563" max="2563" width="18.578125" bestFit="1" customWidth="1"/>
    <col min="2564" max="2564" width="9" bestFit="1" customWidth="1"/>
    <col min="2565" max="2565" width="6.68359375" bestFit="1" customWidth="1"/>
    <col min="2566" max="2566" width="17.68359375" bestFit="1" customWidth="1"/>
    <col min="2567" max="2567" width="23.578125" customWidth="1"/>
    <col min="2568" max="2568" width="17.15625" customWidth="1"/>
    <col min="2569" max="2569" width="6" bestFit="1" customWidth="1"/>
    <col min="2570" max="2570" width="9.578125" bestFit="1" customWidth="1"/>
    <col min="2817" max="2817" width="9" bestFit="1" customWidth="1"/>
    <col min="2818" max="2818" width="23.578125" customWidth="1"/>
    <col min="2819" max="2819" width="18.578125" bestFit="1" customWidth="1"/>
    <col min="2820" max="2820" width="9" bestFit="1" customWidth="1"/>
    <col min="2821" max="2821" width="6.68359375" bestFit="1" customWidth="1"/>
    <col min="2822" max="2822" width="17.68359375" bestFit="1" customWidth="1"/>
    <col min="2823" max="2823" width="23.578125" customWidth="1"/>
    <col min="2824" max="2824" width="17.15625" customWidth="1"/>
    <col min="2825" max="2825" width="6" bestFit="1" customWidth="1"/>
    <col min="2826" max="2826" width="9.578125" bestFit="1" customWidth="1"/>
    <col min="3073" max="3073" width="9" bestFit="1" customWidth="1"/>
    <col min="3074" max="3074" width="23.578125" customWidth="1"/>
    <col min="3075" max="3075" width="18.578125" bestFit="1" customWidth="1"/>
    <col min="3076" max="3076" width="9" bestFit="1" customWidth="1"/>
    <col min="3077" max="3077" width="6.68359375" bestFit="1" customWidth="1"/>
    <col min="3078" max="3078" width="17.68359375" bestFit="1" customWidth="1"/>
    <col min="3079" max="3079" width="23.578125" customWidth="1"/>
    <col min="3080" max="3080" width="17.15625" customWidth="1"/>
    <col min="3081" max="3081" width="6" bestFit="1" customWidth="1"/>
    <col min="3082" max="3082" width="9.578125" bestFit="1" customWidth="1"/>
    <col min="3329" max="3329" width="9" bestFit="1" customWidth="1"/>
    <col min="3330" max="3330" width="23.578125" customWidth="1"/>
    <col min="3331" max="3331" width="18.578125" bestFit="1" customWidth="1"/>
    <col min="3332" max="3332" width="9" bestFit="1" customWidth="1"/>
    <col min="3333" max="3333" width="6.68359375" bestFit="1" customWidth="1"/>
    <col min="3334" max="3334" width="17.68359375" bestFit="1" customWidth="1"/>
    <col min="3335" max="3335" width="23.578125" customWidth="1"/>
    <col min="3336" max="3336" width="17.15625" customWidth="1"/>
    <col min="3337" max="3337" width="6" bestFit="1" customWidth="1"/>
    <col min="3338" max="3338" width="9.578125" bestFit="1" customWidth="1"/>
    <col min="3585" max="3585" width="9" bestFit="1" customWidth="1"/>
    <col min="3586" max="3586" width="23.578125" customWidth="1"/>
    <col min="3587" max="3587" width="18.578125" bestFit="1" customWidth="1"/>
    <col min="3588" max="3588" width="9" bestFit="1" customWidth="1"/>
    <col min="3589" max="3589" width="6.68359375" bestFit="1" customWidth="1"/>
    <col min="3590" max="3590" width="17.68359375" bestFit="1" customWidth="1"/>
    <col min="3591" max="3591" width="23.578125" customWidth="1"/>
    <col min="3592" max="3592" width="17.15625" customWidth="1"/>
    <col min="3593" max="3593" width="6" bestFit="1" customWidth="1"/>
    <col min="3594" max="3594" width="9.578125" bestFit="1" customWidth="1"/>
    <col min="3841" max="3841" width="9" bestFit="1" customWidth="1"/>
    <col min="3842" max="3842" width="23.578125" customWidth="1"/>
    <col min="3843" max="3843" width="18.578125" bestFit="1" customWidth="1"/>
    <col min="3844" max="3844" width="9" bestFit="1" customWidth="1"/>
    <col min="3845" max="3845" width="6.68359375" bestFit="1" customWidth="1"/>
    <col min="3846" max="3846" width="17.68359375" bestFit="1" customWidth="1"/>
    <col min="3847" max="3847" width="23.578125" customWidth="1"/>
    <col min="3848" max="3848" width="17.15625" customWidth="1"/>
    <col min="3849" max="3849" width="6" bestFit="1" customWidth="1"/>
    <col min="3850" max="3850" width="9.578125" bestFit="1" customWidth="1"/>
    <col min="4097" max="4097" width="9" bestFit="1" customWidth="1"/>
    <col min="4098" max="4098" width="23.578125" customWidth="1"/>
    <col min="4099" max="4099" width="18.578125" bestFit="1" customWidth="1"/>
    <col min="4100" max="4100" width="9" bestFit="1" customWidth="1"/>
    <col min="4101" max="4101" width="6.68359375" bestFit="1" customWidth="1"/>
    <col min="4102" max="4102" width="17.68359375" bestFit="1" customWidth="1"/>
    <col min="4103" max="4103" width="23.578125" customWidth="1"/>
    <col min="4104" max="4104" width="17.15625" customWidth="1"/>
    <col min="4105" max="4105" width="6" bestFit="1" customWidth="1"/>
    <col min="4106" max="4106" width="9.578125" bestFit="1" customWidth="1"/>
    <col min="4353" max="4353" width="9" bestFit="1" customWidth="1"/>
    <col min="4354" max="4354" width="23.578125" customWidth="1"/>
    <col min="4355" max="4355" width="18.578125" bestFit="1" customWidth="1"/>
    <col min="4356" max="4356" width="9" bestFit="1" customWidth="1"/>
    <col min="4357" max="4357" width="6.68359375" bestFit="1" customWidth="1"/>
    <col min="4358" max="4358" width="17.68359375" bestFit="1" customWidth="1"/>
    <col min="4359" max="4359" width="23.578125" customWidth="1"/>
    <col min="4360" max="4360" width="17.15625" customWidth="1"/>
    <col min="4361" max="4361" width="6" bestFit="1" customWidth="1"/>
    <col min="4362" max="4362" width="9.578125" bestFit="1" customWidth="1"/>
    <col min="4609" max="4609" width="9" bestFit="1" customWidth="1"/>
    <col min="4610" max="4610" width="23.578125" customWidth="1"/>
    <col min="4611" max="4611" width="18.578125" bestFit="1" customWidth="1"/>
    <col min="4612" max="4612" width="9" bestFit="1" customWidth="1"/>
    <col min="4613" max="4613" width="6.68359375" bestFit="1" customWidth="1"/>
    <col min="4614" max="4614" width="17.68359375" bestFit="1" customWidth="1"/>
    <col min="4615" max="4615" width="23.578125" customWidth="1"/>
    <col min="4616" max="4616" width="17.15625" customWidth="1"/>
    <col min="4617" max="4617" width="6" bestFit="1" customWidth="1"/>
    <col min="4618" max="4618" width="9.578125" bestFit="1" customWidth="1"/>
    <col min="4865" max="4865" width="9" bestFit="1" customWidth="1"/>
    <col min="4866" max="4866" width="23.578125" customWidth="1"/>
    <col min="4867" max="4867" width="18.578125" bestFit="1" customWidth="1"/>
    <col min="4868" max="4868" width="9" bestFit="1" customWidth="1"/>
    <col min="4869" max="4869" width="6.68359375" bestFit="1" customWidth="1"/>
    <col min="4870" max="4870" width="17.68359375" bestFit="1" customWidth="1"/>
    <col min="4871" max="4871" width="23.578125" customWidth="1"/>
    <col min="4872" max="4872" width="17.15625" customWidth="1"/>
    <col min="4873" max="4873" width="6" bestFit="1" customWidth="1"/>
    <col min="4874" max="4874" width="9.578125" bestFit="1" customWidth="1"/>
    <col min="5121" max="5121" width="9" bestFit="1" customWidth="1"/>
    <col min="5122" max="5122" width="23.578125" customWidth="1"/>
    <col min="5123" max="5123" width="18.578125" bestFit="1" customWidth="1"/>
    <col min="5124" max="5124" width="9" bestFit="1" customWidth="1"/>
    <col min="5125" max="5125" width="6.68359375" bestFit="1" customWidth="1"/>
    <col min="5126" max="5126" width="17.68359375" bestFit="1" customWidth="1"/>
    <col min="5127" max="5127" width="23.578125" customWidth="1"/>
    <col min="5128" max="5128" width="17.15625" customWidth="1"/>
    <col min="5129" max="5129" width="6" bestFit="1" customWidth="1"/>
    <col min="5130" max="5130" width="9.578125" bestFit="1" customWidth="1"/>
    <col min="5377" max="5377" width="9" bestFit="1" customWidth="1"/>
    <col min="5378" max="5378" width="23.578125" customWidth="1"/>
    <col min="5379" max="5379" width="18.578125" bestFit="1" customWidth="1"/>
    <col min="5380" max="5380" width="9" bestFit="1" customWidth="1"/>
    <col min="5381" max="5381" width="6.68359375" bestFit="1" customWidth="1"/>
    <col min="5382" max="5382" width="17.68359375" bestFit="1" customWidth="1"/>
    <col min="5383" max="5383" width="23.578125" customWidth="1"/>
    <col min="5384" max="5384" width="17.15625" customWidth="1"/>
    <col min="5385" max="5385" width="6" bestFit="1" customWidth="1"/>
    <col min="5386" max="5386" width="9.578125" bestFit="1" customWidth="1"/>
    <col min="5633" max="5633" width="9" bestFit="1" customWidth="1"/>
    <col min="5634" max="5634" width="23.578125" customWidth="1"/>
    <col min="5635" max="5635" width="18.578125" bestFit="1" customWidth="1"/>
    <col min="5636" max="5636" width="9" bestFit="1" customWidth="1"/>
    <col min="5637" max="5637" width="6.68359375" bestFit="1" customWidth="1"/>
    <col min="5638" max="5638" width="17.68359375" bestFit="1" customWidth="1"/>
    <col min="5639" max="5639" width="23.578125" customWidth="1"/>
    <col min="5640" max="5640" width="17.15625" customWidth="1"/>
    <col min="5641" max="5641" width="6" bestFit="1" customWidth="1"/>
    <col min="5642" max="5642" width="9.578125" bestFit="1" customWidth="1"/>
    <col min="5889" max="5889" width="9" bestFit="1" customWidth="1"/>
    <col min="5890" max="5890" width="23.578125" customWidth="1"/>
    <col min="5891" max="5891" width="18.578125" bestFit="1" customWidth="1"/>
    <col min="5892" max="5892" width="9" bestFit="1" customWidth="1"/>
    <col min="5893" max="5893" width="6.68359375" bestFit="1" customWidth="1"/>
    <col min="5894" max="5894" width="17.68359375" bestFit="1" customWidth="1"/>
    <col min="5895" max="5895" width="23.578125" customWidth="1"/>
    <col min="5896" max="5896" width="17.15625" customWidth="1"/>
    <col min="5897" max="5897" width="6" bestFit="1" customWidth="1"/>
    <col min="5898" max="5898" width="9.578125" bestFit="1" customWidth="1"/>
    <col min="6145" max="6145" width="9" bestFit="1" customWidth="1"/>
    <col min="6146" max="6146" width="23.578125" customWidth="1"/>
    <col min="6147" max="6147" width="18.578125" bestFit="1" customWidth="1"/>
    <col min="6148" max="6148" width="9" bestFit="1" customWidth="1"/>
    <col min="6149" max="6149" width="6.68359375" bestFit="1" customWidth="1"/>
    <col min="6150" max="6150" width="17.68359375" bestFit="1" customWidth="1"/>
    <col min="6151" max="6151" width="23.578125" customWidth="1"/>
    <col min="6152" max="6152" width="17.15625" customWidth="1"/>
    <col min="6153" max="6153" width="6" bestFit="1" customWidth="1"/>
    <col min="6154" max="6154" width="9.578125" bestFit="1" customWidth="1"/>
    <col min="6401" max="6401" width="9" bestFit="1" customWidth="1"/>
    <col min="6402" max="6402" width="23.578125" customWidth="1"/>
    <col min="6403" max="6403" width="18.578125" bestFit="1" customWidth="1"/>
    <col min="6404" max="6404" width="9" bestFit="1" customWidth="1"/>
    <col min="6405" max="6405" width="6.68359375" bestFit="1" customWidth="1"/>
    <col min="6406" max="6406" width="17.68359375" bestFit="1" customWidth="1"/>
    <col min="6407" max="6407" width="23.578125" customWidth="1"/>
    <col min="6408" max="6408" width="17.15625" customWidth="1"/>
    <col min="6409" max="6409" width="6" bestFit="1" customWidth="1"/>
    <col min="6410" max="6410" width="9.578125" bestFit="1" customWidth="1"/>
    <col min="6657" max="6657" width="9" bestFit="1" customWidth="1"/>
    <col min="6658" max="6658" width="23.578125" customWidth="1"/>
    <col min="6659" max="6659" width="18.578125" bestFit="1" customWidth="1"/>
    <col min="6660" max="6660" width="9" bestFit="1" customWidth="1"/>
    <col min="6661" max="6661" width="6.68359375" bestFit="1" customWidth="1"/>
    <col min="6662" max="6662" width="17.68359375" bestFit="1" customWidth="1"/>
    <col min="6663" max="6663" width="23.578125" customWidth="1"/>
    <col min="6664" max="6664" width="17.15625" customWidth="1"/>
    <col min="6665" max="6665" width="6" bestFit="1" customWidth="1"/>
    <col min="6666" max="6666" width="9.578125" bestFit="1" customWidth="1"/>
    <col min="6913" max="6913" width="9" bestFit="1" customWidth="1"/>
    <col min="6914" max="6914" width="23.578125" customWidth="1"/>
    <col min="6915" max="6915" width="18.578125" bestFit="1" customWidth="1"/>
    <col min="6916" max="6916" width="9" bestFit="1" customWidth="1"/>
    <col min="6917" max="6917" width="6.68359375" bestFit="1" customWidth="1"/>
    <col min="6918" max="6918" width="17.68359375" bestFit="1" customWidth="1"/>
    <col min="6919" max="6919" width="23.578125" customWidth="1"/>
    <col min="6920" max="6920" width="17.15625" customWidth="1"/>
    <col min="6921" max="6921" width="6" bestFit="1" customWidth="1"/>
    <col min="6922" max="6922" width="9.578125" bestFit="1" customWidth="1"/>
    <col min="7169" max="7169" width="9" bestFit="1" customWidth="1"/>
    <col min="7170" max="7170" width="23.578125" customWidth="1"/>
    <col min="7171" max="7171" width="18.578125" bestFit="1" customWidth="1"/>
    <col min="7172" max="7172" width="9" bestFit="1" customWidth="1"/>
    <col min="7173" max="7173" width="6.68359375" bestFit="1" customWidth="1"/>
    <col min="7174" max="7174" width="17.68359375" bestFit="1" customWidth="1"/>
    <col min="7175" max="7175" width="23.578125" customWidth="1"/>
    <col min="7176" max="7176" width="17.15625" customWidth="1"/>
    <col min="7177" max="7177" width="6" bestFit="1" customWidth="1"/>
    <col min="7178" max="7178" width="9.578125" bestFit="1" customWidth="1"/>
    <col min="7425" max="7425" width="9" bestFit="1" customWidth="1"/>
    <col min="7426" max="7426" width="23.578125" customWidth="1"/>
    <col min="7427" max="7427" width="18.578125" bestFit="1" customWidth="1"/>
    <col min="7428" max="7428" width="9" bestFit="1" customWidth="1"/>
    <col min="7429" max="7429" width="6.68359375" bestFit="1" customWidth="1"/>
    <col min="7430" max="7430" width="17.68359375" bestFit="1" customWidth="1"/>
    <col min="7431" max="7431" width="23.578125" customWidth="1"/>
    <col min="7432" max="7432" width="17.15625" customWidth="1"/>
    <col min="7433" max="7433" width="6" bestFit="1" customWidth="1"/>
    <col min="7434" max="7434" width="9.578125" bestFit="1" customWidth="1"/>
    <col min="7681" max="7681" width="9" bestFit="1" customWidth="1"/>
    <col min="7682" max="7682" width="23.578125" customWidth="1"/>
    <col min="7683" max="7683" width="18.578125" bestFit="1" customWidth="1"/>
    <col min="7684" max="7684" width="9" bestFit="1" customWidth="1"/>
    <col min="7685" max="7685" width="6.68359375" bestFit="1" customWidth="1"/>
    <col min="7686" max="7686" width="17.68359375" bestFit="1" customWidth="1"/>
    <col min="7687" max="7687" width="23.578125" customWidth="1"/>
    <col min="7688" max="7688" width="17.15625" customWidth="1"/>
    <col min="7689" max="7689" width="6" bestFit="1" customWidth="1"/>
    <col min="7690" max="7690" width="9.578125" bestFit="1" customWidth="1"/>
    <col min="7937" max="7937" width="9" bestFit="1" customWidth="1"/>
    <col min="7938" max="7938" width="23.578125" customWidth="1"/>
    <col min="7939" max="7939" width="18.578125" bestFit="1" customWidth="1"/>
    <col min="7940" max="7940" width="9" bestFit="1" customWidth="1"/>
    <col min="7941" max="7941" width="6.68359375" bestFit="1" customWidth="1"/>
    <col min="7942" max="7942" width="17.68359375" bestFit="1" customWidth="1"/>
    <col min="7943" max="7943" width="23.578125" customWidth="1"/>
    <col min="7944" max="7944" width="17.15625" customWidth="1"/>
    <col min="7945" max="7945" width="6" bestFit="1" customWidth="1"/>
    <col min="7946" max="7946" width="9.578125" bestFit="1" customWidth="1"/>
    <col min="8193" max="8193" width="9" bestFit="1" customWidth="1"/>
    <col min="8194" max="8194" width="23.578125" customWidth="1"/>
    <col min="8195" max="8195" width="18.578125" bestFit="1" customWidth="1"/>
    <col min="8196" max="8196" width="9" bestFit="1" customWidth="1"/>
    <col min="8197" max="8197" width="6.68359375" bestFit="1" customWidth="1"/>
    <col min="8198" max="8198" width="17.68359375" bestFit="1" customWidth="1"/>
    <col min="8199" max="8199" width="23.578125" customWidth="1"/>
    <col min="8200" max="8200" width="17.15625" customWidth="1"/>
    <col min="8201" max="8201" width="6" bestFit="1" customWidth="1"/>
    <col min="8202" max="8202" width="9.578125" bestFit="1" customWidth="1"/>
    <col min="8449" max="8449" width="9" bestFit="1" customWidth="1"/>
    <col min="8450" max="8450" width="23.578125" customWidth="1"/>
    <col min="8451" max="8451" width="18.578125" bestFit="1" customWidth="1"/>
    <col min="8452" max="8452" width="9" bestFit="1" customWidth="1"/>
    <col min="8453" max="8453" width="6.68359375" bestFit="1" customWidth="1"/>
    <col min="8454" max="8454" width="17.68359375" bestFit="1" customWidth="1"/>
    <col min="8455" max="8455" width="23.578125" customWidth="1"/>
    <col min="8456" max="8456" width="17.15625" customWidth="1"/>
    <col min="8457" max="8457" width="6" bestFit="1" customWidth="1"/>
    <col min="8458" max="8458" width="9.578125" bestFit="1" customWidth="1"/>
    <col min="8705" max="8705" width="9" bestFit="1" customWidth="1"/>
    <col min="8706" max="8706" width="23.578125" customWidth="1"/>
    <col min="8707" max="8707" width="18.578125" bestFit="1" customWidth="1"/>
    <col min="8708" max="8708" width="9" bestFit="1" customWidth="1"/>
    <col min="8709" max="8709" width="6.68359375" bestFit="1" customWidth="1"/>
    <col min="8710" max="8710" width="17.68359375" bestFit="1" customWidth="1"/>
    <col min="8711" max="8711" width="23.578125" customWidth="1"/>
    <col min="8712" max="8712" width="17.15625" customWidth="1"/>
    <col min="8713" max="8713" width="6" bestFit="1" customWidth="1"/>
    <col min="8714" max="8714" width="9.578125" bestFit="1" customWidth="1"/>
    <col min="8961" max="8961" width="9" bestFit="1" customWidth="1"/>
    <col min="8962" max="8962" width="23.578125" customWidth="1"/>
    <col min="8963" max="8963" width="18.578125" bestFit="1" customWidth="1"/>
    <col min="8964" max="8964" width="9" bestFit="1" customWidth="1"/>
    <col min="8965" max="8965" width="6.68359375" bestFit="1" customWidth="1"/>
    <col min="8966" max="8966" width="17.68359375" bestFit="1" customWidth="1"/>
    <col min="8967" max="8967" width="23.578125" customWidth="1"/>
    <col min="8968" max="8968" width="17.15625" customWidth="1"/>
    <col min="8969" max="8969" width="6" bestFit="1" customWidth="1"/>
    <col min="8970" max="8970" width="9.578125" bestFit="1" customWidth="1"/>
    <col min="9217" max="9217" width="9" bestFit="1" customWidth="1"/>
    <col min="9218" max="9218" width="23.578125" customWidth="1"/>
    <col min="9219" max="9219" width="18.578125" bestFit="1" customWidth="1"/>
    <col min="9220" max="9220" width="9" bestFit="1" customWidth="1"/>
    <col min="9221" max="9221" width="6.68359375" bestFit="1" customWidth="1"/>
    <col min="9222" max="9222" width="17.68359375" bestFit="1" customWidth="1"/>
    <col min="9223" max="9223" width="23.578125" customWidth="1"/>
    <col min="9224" max="9224" width="17.15625" customWidth="1"/>
    <col min="9225" max="9225" width="6" bestFit="1" customWidth="1"/>
    <col min="9226" max="9226" width="9.578125" bestFit="1" customWidth="1"/>
    <col min="9473" max="9473" width="9" bestFit="1" customWidth="1"/>
    <col min="9474" max="9474" width="23.578125" customWidth="1"/>
    <col min="9475" max="9475" width="18.578125" bestFit="1" customWidth="1"/>
    <col min="9476" max="9476" width="9" bestFit="1" customWidth="1"/>
    <col min="9477" max="9477" width="6.68359375" bestFit="1" customWidth="1"/>
    <col min="9478" max="9478" width="17.68359375" bestFit="1" customWidth="1"/>
    <col min="9479" max="9479" width="23.578125" customWidth="1"/>
    <col min="9480" max="9480" width="17.15625" customWidth="1"/>
    <col min="9481" max="9481" width="6" bestFit="1" customWidth="1"/>
    <col min="9482" max="9482" width="9.578125" bestFit="1" customWidth="1"/>
    <col min="9729" max="9729" width="9" bestFit="1" customWidth="1"/>
    <col min="9730" max="9730" width="23.578125" customWidth="1"/>
    <col min="9731" max="9731" width="18.578125" bestFit="1" customWidth="1"/>
    <col min="9732" max="9732" width="9" bestFit="1" customWidth="1"/>
    <col min="9733" max="9733" width="6.68359375" bestFit="1" customWidth="1"/>
    <col min="9734" max="9734" width="17.68359375" bestFit="1" customWidth="1"/>
    <col min="9735" max="9735" width="23.578125" customWidth="1"/>
    <col min="9736" max="9736" width="17.15625" customWidth="1"/>
    <col min="9737" max="9737" width="6" bestFit="1" customWidth="1"/>
    <col min="9738" max="9738" width="9.578125" bestFit="1" customWidth="1"/>
    <col min="9985" max="9985" width="9" bestFit="1" customWidth="1"/>
    <col min="9986" max="9986" width="23.578125" customWidth="1"/>
    <col min="9987" max="9987" width="18.578125" bestFit="1" customWidth="1"/>
    <col min="9988" max="9988" width="9" bestFit="1" customWidth="1"/>
    <col min="9989" max="9989" width="6.68359375" bestFit="1" customWidth="1"/>
    <col min="9990" max="9990" width="17.68359375" bestFit="1" customWidth="1"/>
    <col min="9991" max="9991" width="23.578125" customWidth="1"/>
    <col min="9992" max="9992" width="17.15625" customWidth="1"/>
    <col min="9993" max="9993" width="6" bestFit="1" customWidth="1"/>
    <col min="9994" max="9994" width="9.578125" bestFit="1" customWidth="1"/>
    <col min="10241" max="10241" width="9" bestFit="1" customWidth="1"/>
    <col min="10242" max="10242" width="23.578125" customWidth="1"/>
    <col min="10243" max="10243" width="18.578125" bestFit="1" customWidth="1"/>
    <col min="10244" max="10244" width="9" bestFit="1" customWidth="1"/>
    <col min="10245" max="10245" width="6.68359375" bestFit="1" customWidth="1"/>
    <col min="10246" max="10246" width="17.68359375" bestFit="1" customWidth="1"/>
    <col min="10247" max="10247" width="23.578125" customWidth="1"/>
    <col min="10248" max="10248" width="17.15625" customWidth="1"/>
    <col min="10249" max="10249" width="6" bestFit="1" customWidth="1"/>
    <col min="10250" max="10250" width="9.578125" bestFit="1" customWidth="1"/>
    <col min="10497" max="10497" width="9" bestFit="1" customWidth="1"/>
    <col min="10498" max="10498" width="23.578125" customWidth="1"/>
    <col min="10499" max="10499" width="18.578125" bestFit="1" customWidth="1"/>
    <col min="10500" max="10500" width="9" bestFit="1" customWidth="1"/>
    <col min="10501" max="10501" width="6.68359375" bestFit="1" customWidth="1"/>
    <col min="10502" max="10502" width="17.68359375" bestFit="1" customWidth="1"/>
    <col min="10503" max="10503" width="23.578125" customWidth="1"/>
    <col min="10504" max="10504" width="17.15625" customWidth="1"/>
    <col min="10505" max="10505" width="6" bestFit="1" customWidth="1"/>
    <col min="10506" max="10506" width="9.578125" bestFit="1" customWidth="1"/>
    <col min="10753" max="10753" width="9" bestFit="1" customWidth="1"/>
    <col min="10754" max="10754" width="23.578125" customWidth="1"/>
    <col min="10755" max="10755" width="18.578125" bestFit="1" customWidth="1"/>
    <col min="10756" max="10756" width="9" bestFit="1" customWidth="1"/>
    <col min="10757" max="10757" width="6.68359375" bestFit="1" customWidth="1"/>
    <col min="10758" max="10758" width="17.68359375" bestFit="1" customWidth="1"/>
    <col min="10759" max="10759" width="23.578125" customWidth="1"/>
    <col min="10760" max="10760" width="17.15625" customWidth="1"/>
    <col min="10761" max="10761" width="6" bestFit="1" customWidth="1"/>
    <col min="10762" max="10762" width="9.578125" bestFit="1" customWidth="1"/>
    <col min="11009" max="11009" width="9" bestFit="1" customWidth="1"/>
    <col min="11010" max="11010" width="23.578125" customWidth="1"/>
    <col min="11011" max="11011" width="18.578125" bestFit="1" customWidth="1"/>
    <col min="11012" max="11012" width="9" bestFit="1" customWidth="1"/>
    <col min="11013" max="11013" width="6.68359375" bestFit="1" customWidth="1"/>
    <col min="11014" max="11014" width="17.68359375" bestFit="1" customWidth="1"/>
    <col min="11015" max="11015" width="23.578125" customWidth="1"/>
    <col min="11016" max="11016" width="17.15625" customWidth="1"/>
    <col min="11017" max="11017" width="6" bestFit="1" customWidth="1"/>
    <col min="11018" max="11018" width="9.578125" bestFit="1" customWidth="1"/>
    <col min="11265" max="11265" width="9" bestFit="1" customWidth="1"/>
    <col min="11266" max="11266" width="23.578125" customWidth="1"/>
    <col min="11267" max="11267" width="18.578125" bestFit="1" customWidth="1"/>
    <col min="11268" max="11268" width="9" bestFit="1" customWidth="1"/>
    <col min="11269" max="11269" width="6.68359375" bestFit="1" customWidth="1"/>
    <col min="11270" max="11270" width="17.68359375" bestFit="1" customWidth="1"/>
    <col min="11271" max="11271" width="23.578125" customWidth="1"/>
    <col min="11272" max="11272" width="17.15625" customWidth="1"/>
    <col min="11273" max="11273" width="6" bestFit="1" customWidth="1"/>
    <col min="11274" max="11274" width="9.578125" bestFit="1" customWidth="1"/>
    <col min="11521" max="11521" width="9" bestFit="1" customWidth="1"/>
    <col min="11522" max="11522" width="23.578125" customWidth="1"/>
    <col min="11523" max="11523" width="18.578125" bestFit="1" customWidth="1"/>
    <col min="11524" max="11524" width="9" bestFit="1" customWidth="1"/>
    <col min="11525" max="11525" width="6.68359375" bestFit="1" customWidth="1"/>
    <col min="11526" max="11526" width="17.68359375" bestFit="1" customWidth="1"/>
    <col min="11527" max="11527" width="23.578125" customWidth="1"/>
    <col min="11528" max="11528" width="17.15625" customWidth="1"/>
    <col min="11529" max="11529" width="6" bestFit="1" customWidth="1"/>
    <col min="11530" max="11530" width="9.578125" bestFit="1" customWidth="1"/>
    <col min="11777" max="11777" width="9" bestFit="1" customWidth="1"/>
    <col min="11778" max="11778" width="23.578125" customWidth="1"/>
    <col min="11779" max="11779" width="18.578125" bestFit="1" customWidth="1"/>
    <col min="11780" max="11780" width="9" bestFit="1" customWidth="1"/>
    <col min="11781" max="11781" width="6.68359375" bestFit="1" customWidth="1"/>
    <col min="11782" max="11782" width="17.68359375" bestFit="1" customWidth="1"/>
    <col min="11783" max="11783" width="23.578125" customWidth="1"/>
    <col min="11784" max="11784" width="17.15625" customWidth="1"/>
    <col min="11785" max="11785" width="6" bestFit="1" customWidth="1"/>
    <col min="11786" max="11786" width="9.578125" bestFit="1" customWidth="1"/>
    <col min="12033" max="12033" width="9" bestFit="1" customWidth="1"/>
    <col min="12034" max="12034" width="23.578125" customWidth="1"/>
    <col min="12035" max="12035" width="18.578125" bestFit="1" customWidth="1"/>
    <col min="12036" max="12036" width="9" bestFit="1" customWidth="1"/>
    <col min="12037" max="12037" width="6.68359375" bestFit="1" customWidth="1"/>
    <col min="12038" max="12038" width="17.68359375" bestFit="1" customWidth="1"/>
    <col min="12039" max="12039" width="23.578125" customWidth="1"/>
    <col min="12040" max="12040" width="17.15625" customWidth="1"/>
    <col min="12041" max="12041" width="6" bestFit="1" customWidth="1"/>
    <col min="12042" max="12042" width="9.578125" bestFit="1" customWidth="1"/>
    <col min="12289" max="12289" width="9" bestFit="1" customWidth="1"/>
    <col min="12290" max="12290" width="23.578125" customWidth="1"/>
    <col min="12291" max="12291" width="18.578125" bestFit="1" customWidth="1"/>
    <col min="12292" max="12292" width="9" bestFit="1" customWidth="1"/>
    <col min="12293" max="12293" width="6.68359375" bestFit="1" customWidth="1"/>
    <col min="12294" max="12294" width="17.68359375" bestFit="1" customWidth="1"/>
    <col min="12295" max="12295" width="23.578125" customWidth="1"/>
    <col min="12296" max="12296" width="17.15625" customWidth="1"/>
    <col min="12297" max="12297" width="6" bestFit="1" customWidth="1"/>
    <col min="12298" max="12298" width="9.578125" bestFit="1" customWidth="1"/>
    <col min="12545" max="12545" width="9" bestFit="1" customWidth="1"/>
    <col min="12546" max="12546" width="23.578125" customWidth="1"/>
    <col min="12547" max="12547" width="18.578125" bestFit="1" customWidth="1"/>
    <col min="12548" max="12548" width="9" bestFit="1" customWidth="1"/>
    <col min="12549" max="12549" width="6.68359375" bestFit="1" customWidth="1"/>
    <col min="12550" max="12550" width="17.68359375" bestFit="1" customWidth="1"/>
    <col min="12551" max="12551" width="23.578125" customWidth="1"/>
    <col min="12552" max="12552" width="17.15625" customWidth="1"/>
    <col min="12553" max="12553" width="6" bestFit="1" customWidth="1"/>
    <col min="12554" max="12554" width="9.578125" bestFit="1" customWidth="1"/>
    <col min="12801" max="12801" width="9" bestFit="1" customWidth="1"/>
    <col min="12802" max="12802" width="23.578125" customWidth="1"/>
    <col min="12803" max="12803" width="18.578125" bestFit="1" customWidth="1"/>
    <col min="12804" max="12804" width="9" bestFit="1" customWidth="1"/>
    <col min="12805" max="12805" width="6.68359375" bestFit="1" customWidth="1"/>
    <col min="12806" max="12806" width="17.68359375" bestFit="1" customWidth="1"/>
    <col min="12807" max="12807" width="23.578125" customWidth="1"/>
    <col min="12808" max="12808" width="17.15625" customWidth="1"/>
    <col min="12809" max="12809" width="6" bestFit="1" customWidth="1"/>
    <col min="12810" max="12810" width="9.578125" bestFit="1" customWidth="1"/>
    <col min="13057" max="13057" width="9" bestFit="1" customWidth="1"/>
    <col min="13058" max="13058" width="23.578125" customWidth="1"/>
    <col min="13059" max="13059" width="18.578125" bestFit="1" customWidth="1"/>
    <col min="13060" max="13060" width="9" bestFit="1" customWidth="1"/>
    <col min="13061" max="13061" width="6.68359375" bestFit="1" customWidth="1"/>
    <col min="13062" max="13062" width="17.68359375" bestFit="1" customWidth="1"/>
    <col min="13063" max="13063" width="23.578125" customWidth="1"/>
    <col min="13064" max="13064" width="17.15625" customWidth="1"/>
    <col min="13065" max="13065" width="6" bestFit="1" customWidth="1"/>
    <col min="13066" max="13066" width="9.578125" bestFit="1" customWidth="1"/>
    <col min="13313" max="13313" width="9" bestFit="1" customWidth="1"/>
    <col min="13314" max="13314" width="23.578125" customWidth="1"/>
    <col min="13315" max="13315" width="18.578125" bestFit="1" customWidth="1"/>
    <col min="13316" max="13316" width="9" bestFit="1" customWidth="1"/>
    <col min="13317" max="13317" width="6.68359375" bestFit="1" customWidth="1"/>
    <col min="13318" max="13318" width="17.68359375" bestFit="1" customWidth="1"/>
    <col min="13319" max="13319" width="23.578125" customWidth="1"/>
    <col min="13320" max="13320" width="17.15625" customWidth="1"/>
    <col min="13321" max="13321" width="6" bestFit="1" customWidth="1"/>
    <col min="13322" max="13322" width="9.578125" bestFit="1" customWidth="1"/>
    <col min="13569" max="13569" width="9" bestFit="1" customWidth="1"/>
    <col min="13570" max="13570" width="23.578125" customWidth="1"/>
    <col min="13571" max="13571" width="18.578125" bestFit="1" customWidth="1"/>
    <col min="13572" max="13572" width="9" bestFit="1" customWidth="1"/>
    <col min="13573" max="13573" width="6.68359375" bestFit="1" customWidth="1"/>
    <col min="13574" max="13574" width="17.68359375" bestFit="1" customWidth="1"/>
    <col min="13575" max="13575" width="23.578125" customWidth="1"/>
    <col min="13576" max="13576" width="17.15625" customWidth="1"/>
    <col min="13577" max="13577" width="6" bestFit="1" customWidth="1"/>
    <col min="13578" max="13578" width="9.578125" bestFit="1" customWidth="1"/>
    <col min="13825" max="13825" width="9" bestFit="1" customWidth="1"/>
    <col min="13826" max="13826" width="23.578125" customWidth="1"/>
    <col min="13827" max="13827" width="18.578125" bestFit="1" customWidth="1"/>
    <col min="13828" max="13828" width="9" bestFit="1" customWidth="1"/>
    <col min="13829" max="13829" width="6.68359375" bestFit="1" customWidth="1"/>
    <col min="13830" max="13830" width="17.68359375" bestFit="1" customWidth="1"/>
    <col min="13831" max="13831" width="23.578125" customWidth="1"/>
    <col min="13832" max="13832" width="17.15625" customWidth="1"/>
    <col min="13833" max="13833" width="6" bestFit="1" customWidth="1"/>
    <col min="13834" max="13834" width="9.578125" bestFit="1" customWidth="1"/>
    <col min="14081" max="14081" width="9" bestFit="1" customWidth="1"/>
    <col min="14082" max="14082" width="23.578125" customWidth="1"/>
    <col min="14083" max="14083" width="18.578125" bestFit="1" customWidth="1"/>
    <col min="14084" max="14084" width="9" bestFit="1" customWidth="1"/>
    <col min="14085" max="14085" width="6.68359375" bestFit="1" customWidth="1"/>
    <col min="14086" max="14086" width="17.68359375" bestFit="1" customWidth="1"/>
    <col min="14087" max="14087" width="23.578125" customWidth="1"/>
    <col min="14088" max="14088" width="17.15625" customWidth="1"/>
    <col min="14089" max="14089" width="6" bestFit="1" customWidth="1"/>
    <col min="14090" max="14090" width="9.578125" bestFit="1" customWidth="1"/>
    <col min="14337" max="14337" width="9" bestFit="1" customWidth="1"/>
    <col min="14338" max="14338" width="23.578125" customWidth="1"/>
    <col min="14339" max="14339" width="18.578125" bestFit="1" customWidth="1"/>
    <col min="14340" max="14340" width="9" bestFit="1" customWidth="1"/>
    <col min="14341" max="14341" width="6.68359375" bestFit="1" customWidth="1"/>
    <col min="14342" max="14342" width="17.68359375" bestFit="1" customWidth="1"/>
    <col min="14343" max="14343" width="23.578125" customWidth="1"/>
    <col min="14344" max="14344" width="17.15625" customWidth="1"/>
    <col min="14345" max="14345" width="6" bestFit="1" customWidth="1"/>
    <col min="14346" max="14346" width="9.578125" bestFit="1" customWidth="1"/>
    <col min="14593" max="14593" width="9" bestFit="1" customWidth="1"/>
    <col min="14594" max="14594" width="23.578125" customWidth="1"/>
    <col min="14595" max="14595" width="18.578125" bestFit="1" customWidth="1"/>
    <col min="14596" max="14596" width="9" bestFit="1" customWidth="1"/>
    <col min="14597" max="14597" width="6.68359375" bestFit="1" customWidth="1"/>
    <col min="14598" max="14598" width="17.68359375" bestFit="1" customWidth="1"/>
    <col min="14599" max="14599" width="23.578125" customWidth="1"/>
    <col min="14600" max="14600" width="17.15625" customWidth="1"/>
    <col min="14601" max="14601" width="6" bestFit="1" customWidth="1"/>
    <col min="14602" max="14602" width="9.578125" bestFit="1" customWidth="1"/>
    <col min="14849" max="14849" width="9" bestFit="1" customWidth="1"/>
    <col min="14850" max="14850" width="23.578125" customWidth="1"/>
    <col min="14851" max="14851" width="18.578125" bestFit="1" customWidth="1"/>
    <col min="14852" max="14852" width="9" bestFit="1" customWidth="1"/>
    <col min="14853" max="14853" width="6.68359375" bestFit="1" customWidth="1"/>
    <col min="14854" max="14854" width="17.68359375" bestFit="1" customWidth="1"/>
    <col min="14855" max="14855" width="23.578125" customWidth="1"/>
    <col min="14856" max="14856" width="17.15625" customWidth="1"/>
    <col min="14857" max="14857" width="6" bestFit="1" customWidth="1"/>
    <col min="14858" max="14858" width="9.578125" bestFit="1" customWidth="1"/>
    <col min="15105" max="15105" width="9" bestFit="1" customWidth="1"/>
    <col min="15106" max="15106" width="23.578125" customWidth="1"/>
    <col min="15107" max="15107" width="18.578125" bestFit="1" customWidth="1"/>
    <col min="15108" max="15108" width="9" bestFit="1" customWidth="1"/>
    <col min="15109" max="15109" width="6.68359375" bestFit="1" customWidth="1"/>
    <col min="15110" max="15110" width="17.68359375" bestFit="1" customWidth="1"/>
    <col min="15111" max="15111" width="23.578125" customWidth="1"/>
    <col min="15112" max="15112" width="17.15625" customWidth="1"/>
    <col min="15113" max="15113" width="6" bestFit="1" customWidth="1"/>
    <col min="15114" max="15114" width="9.578125" bestFit="1" customWidth="1"/>
    <col min="15361" max="15361" width="9" bestFit="1" customWidth="1"/>
    <col min="15362" max="15362" width="23.578125" customWidth="1"/>
    <col min="15363" max="15363" width="18.578125" bestFit="1" customWidth="1"/>
    <col min="15364" max="15364" width="9" bestFit="1" customWidth="1"/>
    <col min="15365" max="15365" width="6.68359375" bestFit="1" customWidth="1"/>
    <col min="15366" max="15366" width="17.68359375" bestFit="1" customWidth="1"/>
    <col min="15367" max="15367" width="23.578125" customWidth="1"/>
    <col min="15368" max="15368" width="17.15625" customWidth="1"/>
    <col min="15369" max="15369" width="6" bestFit="1" customWidth="1"/>
    <col min="15370" max="15370" width="9.578125" bestFit="1" customWidth="1"/>
    <col min="15617" max="15617" width="9" bestFit="1" customWidth="1"/>
    <col min="15618" max="15618" width="23.578125" customWidth="1"/>
    <col min="15619" max="15619" width="18.578125" bestFit="1" customWidth="1"/>
    <col min="15620" max="15620" width="9" bestFit="1" customWidth="1"/>
    <col min="15621" max="15621" width="6.68359375" bestFit="1" customWidth="1"/>
    <col min="15622" max="15622" width="17.68359375" bestFit="1" customWidth="1"/>
    <col min="15623" max="15623" width="23.578125" customWidth="1"/>
    <col min="15624" max="15624" width="17.15625" customWidth="1"/>
    <col min="15625" max="15625" width="6" bestFit="1" customWidth="1"/>
    <col min="15626" max="15626" width="9.578125" bestFit="1" customWidth="1"/>
    <col min="15873" max="15873" width="9" bestFit="1" customWidth="1"/>
    <col min="15874" max="15874" width="23.578125" customWidth="1"/>
    <col min="15875" max="15875" width="18.578125" bestFit="1" customWidth="1"/>
    <col min="15876" max="15876" width="9" bestFit="1" customWidth="1"/>
    <col min="15877" max="15877" width="6.68359375" bestFit="1" customWidth="1"/>
    <col min="15878" max="15878" width="17.68359375" bestFit="1" customWidth="1"/>
    <col min="15879" max="15879" width="23.578125" customWidth="1"/>
    <col min="15880" max="15880" width="17.15625" customWidth="1"/>
    <col min="15881" max="15881" width="6" bestFit="1" customWidth="1"/>
    <col min="15882" max="15882" width="9.578125" bestFit="1" customWidth="1"/>
    <col min="16129" max="16129" width="9" bestFit="1" customWidth="1"/>
    <col min="16130" max="16130" width="23.578125" customWidth="1"/>
    <col min="16131" max="16131" width="18.578125" bestFit="1" customWidth="1"/>
    <col min="16132" max="16132" width="9" bestFit="1" customWidth="1"/>
    <col min="16133" max="16133" width="6.68359375" bestFit="1" customWidth="1"/>
    <col min="16134" max="16134" width="17.68359375" bestFit="1" customWidth="1"/>
    <col min="16135" max="16135" width="23.578125" customWidth="1"/>
    <col min="16136" max="16136" width="17.15625" customWidth="1"/>
    <col min="16137" max="16137" width="6" bestFit="1" customWidth="1"/>
    <col min="16138" max="16138" width="9.578125" bestFit="1" customWidth="1"/>
  </cols>
  <sheetData>
    <row r="1" spans="1:8" x14ac:dyDescent="0.55000000000000004">
      <c r="A1" s="22" t="s">
        <v>262</v>
      </c>
      <c r="B1" s="23"/>
      <c r="C1" s="23"/>
      <c r="D1" s="23"/>
      <c r="E1" s="23"/>
      <c r="F1" s="23"/>
      <c r="G1" s="23"/>
      <c r="H1" s="24"/>
    </row>
    <row r="2" spans="1:8" x14ac:dyDescent="0.55000000000000004">
      <c r="A2" s="25" t="s">
        <v>263</v>
      </c>
      <c r="B2" s="25" t="s">
        <v>264</v>
      </c>
      <c r="D2" s="18" t="s">
        <v>263</v>
      </c>
      <c r="E2" s="18" t="s">
        <v>265</v>
      </c>
      <c r="F2" s="18" t="s">
        <v>264</v>
      </c>
      <c r="G2" s="18" t="s">
        <v>266</v>
      </c>
      <c r="H2" s="18" t="s">
        <v>267</v>
      </c>
    </row>
    <row r="3" spans="1:8" x14ac:dyDescent="0.55000000000000004">
      <c r="A3" s="14" t="s">
        <v>280</v>
      </c>
      <c r="B3" s="14">
        <v>0.05</v>
      </c>
      <c r="D3" s="14" t="s">
        <v>280</v>
      </c>
      <c r="E3" s="14">
        <v>5356</v>
      </c>
      <c r="F3" s="19">
        <f t="shared" ref="F3:F12" si="0">VLOOKUP(D3,Commission,2,0)</f>
        <v>0.05</v>
      </c>
      <c r="G3" s="19">
        <f>E3*F3</f>
        <v>267.8</v>
      </c>
      <c r="H3" s="19">
        <f t="shared" ref="H3:H12" si="1">VLOOKUP(D3,Commission,2,0)*E3</f>
        <v>267.8</v>
      </c>
    </row>
    <row r="4" spans="1:8" x14ac:dyDescent="0.55000000000000004">
      <c r="A4" s="14" t="s">
        <v>281</v>
      </c>
      <c r="B4" s="14">
        <v>6.5000000000000002E-2</v>
      </c>
      <c r="D4" s="14" t="s">
        <v>281</v>
      </c>
      <c r="E4" s="14">
        <v>6083</v>
      </c>
      <c r="F4" s="19">
        <f t="shared" si="0"/>
        <v>6.5000000000000002E-2</v>
      </c>
      <c r="G4" s="19">
        <f t="shared" ref="G4:G12" si="2">E4*F4</f>
        <v>395.39500000000004</v>
      </c>
      <c r="H4" s="19">
        <f t="shared" si="1"/>
        <v>395.39500000000004</v>
      </c>
    </row>
    <row r="5" spans="1:8" x14ac:dyDescent="0.55000000000000004">
      <c r="A5" s="14" t="s">
        <v>282</v>
      </c>
      <c r="B5" s="14">
        <v>7.5499999999999998E-2</v>
      </c>
      <c r="D5" s="14" t="s">
        <v>282</v>
      </c>
      <c r="E5" s="14">
        <v>5899</v>
      </c>
      <c r="F5" s="19">
        <f t="shared" si="0"/>
        <v>7.5499999999999998E-2</v>
      </c>
      <c r="G5" s="19">
        <f t="shared" si="2"/>
        <v>445.37450000000001</v>
      </c>
      <c r="H5" s="19">
        <f t="shared" si="1"/>
        <v>445.37450000000001</v>
      </c>
    </row>
    <row r="6" spans="1:8" x14ac:dyDescent="0.55000000000000004">
      <c r="D6" s="14" t="s">
        <v>280</v>
      </c>
      <c r="E6" s="14">
        <v>3316</v>
      </c>
      <c r="F6" s="19">
        <f t="shared" si="0"/>
        <v>0.05</v>
      </c>
      <c r="G6" s="19">
        <f t="shared" si="2"/>
        <v>165.8</v>
      </c>
      <c r="H6" s="19">
        <f t="shared" si="1"/>
        <v>165.8</v>
      </c>
    </row>
    <row r="7" spans="1:8" x14ac:dyDescent="0.55000000000000004">
      <c r="D7" s="14" t="s">
        <v>281</v>
      </c>
      <c r="E7" s="14">
        <v>2014</v>
      </c>
      <c r="F7" s="19">
        <f t="shared" si="0"/>
        <v>6.5000000000000002E-2</v>
      </c>
      <c r="G7" s="19">
        <f t="shared" si="2"/>
        <v>130.91</v>
      </c>
      <c r="H7" s="19">
        <f t="shared" si="1"/>
        <v>130.91</v>
      </c>
    </row>
    <row r="8" spans="1:8" x14ac:dyDescent="0.55000000000000004">
      <c r="D8" s="14" t="s">
        <v>282</v>
      </c>
      <c r="E8" s="14">
        <v>3116</v>
      </c>
      <c r="F8" s="19">
        <f t="shared" si="0"/>
        <v>7.5499999999999998E-2</v>
      </c>
      <c r="G8" s="19">
        <f t="shared" si="2"/>
        <v>235.25799999999998</v>
      </c>
      <c r="H8" s="19">
        <f t="shared" si="1"/>
        <v>235.25799999999998</v>
      </c>
    </row>
    <row r="9" spans="1:8" x14ac:dyDescent="0.55000000000000004">
      <c r="D9" s="14" t="s">
        <v>281</v>
      </c>
      <c r="E9" s="14">
        <v>2950</v>
      </c>
      <c r="F9" s="19">
        <f t="shared" si="0"/>
        <v>6.5000000000000002E-2</v>
      </c>
      <c r="G9" s="19">
        <f t="shared" si="2"/>
        <v>191.75</v>
      </c>
      <c r="H9" s="19">
        <f t="shared" si="1"/>
        <v>191.75</v>
      </c>
    </row>
    <row r="10" spans="1:8" x14ac:dyDescent="0.55000000000000004">
      <c r="D10" s="14" t="s">
        <v>282</v>
      </c>
      <c r="E10" s="14">
        <v>3690</v>
      </c>
      <c r="F10" s="19">
        <f t="shared" si="0"/>
        <v>7.5499999999999998E-2</v>
      </c>
      <c r="G10" s="19">
        <f t="shared" si="2"/>
        <v>278.59499999999997</v>
      </c>
      <c r="H10" s="19">
        <f t="shared" si="1"/>
        <v>278.59499999999997</v>
      </c>
    </row>
    <row r="11" spans="1:8" x14ac:dyDescent="0.55000000000000004">
      <c r="D11" s="14" t="s">
        <v>281</v>
      </c>
      <c r="E11" s="14">
        <v>4184</v>
      </c>
      <c r="F11" s="19">
        <f t="shared" si="0"/>
        <v>6.5000000000000002E-2</v>
      </c>
      <c r="G11" s="19">
        <f t="shared" si="2"/>
        <v>271.96000000000004</v>
      </c>
      <c r="H11" s="19">
        <f t="shared" si="1"/>
        <v>271.96000000000004</v>
      </c>
    </row>
    <row r="12" spans="1:8" x14ac:dyDescent="0.55000000000000004">
      <c r="D12" s="14" t="s">
        <v>281</v>
      </c>
      <c r="E12" s="14">
        <v>6472</v>
      </c>
      <c r="F12" s="19">
        <f t="shared" si="0"/>
        <v>6.5000000000000002E-2</v>
      </c>
      <c r="G12" s="19">
        <f t="shared" si="2"/>
        <v>420.68</v>
      </c>
      <c r="H12" s="19">
        <f t="shared" si="1"/>
        <v>420.68</v>
      </c>
    </row>
    <row r="14" spans="1:8" x14ac:dyDescent="0.55000000000000004">
      <c r="A14" s="22" t="s">
        <v>268</v>
      </c>
      <c r="B14" s="23"/>
      <c r="C14" s="23"/>
      <c r="D14" s="23"/>
      <c r="E14" s="23"/>
      <c r="F14" s="23"/>
      <c r="G14" s="23"/>
      <c r="H14" s="24"/>
    </row>
    <row r="15" spans="1:8" x14ac:dyDescent="0.55000000000000004">
      <c r="A15" s="25" t="s">
        <v>265</v>
      </c>
      <c r="B15" s="26" t="s">
        <v>264</v>
      </c>
      <c r="C15" s="26" t="s">
        <v>269</v>
      </c>
      <c r="D15" s="18" t="s">
        <v>263</v>
      </c>
      <c r="E15" s="18" t="s">
        <v>265</v>
      </c>
      <c r="F15" s="18" t="s">
        <v>264</v>
      </c>
      <c r="G15" s="18" t="s">
        <v>266</v>
      </c>
      <c r="H15" s="18" t="s">
        <v>267</v>
      </c>
    </row>
    <row r="16" spans="1:8" ht="17.25" customHeight="1" x14ac:dyDescent="0.55000000000000004">
      <c r="A16" s="27">
        <v>1500</v>
      </c>
      <c r="B16" s="27">
        <v>0.05</v>
      </c>
      <c r="C16" s="28" t="str">
        <f>A16&amp;" &lt;= Sales &lt; "&amp;A17</f>
        <v>1500 &lt;= Sales &lt; 5000</v>
      </c>
      <c r="D16" s="14" t="s">
        <v>280</v>
      </c>
      <c r="E16" s="14">
        <v>5356</v>
      </c>
      <c r="F16" s="19">
        <f t="shared" ref="F16:F25" si="3">VLOOKUP(E16,CLT,2,1)</f>
        <v>6.5000000000000002E-2</v>
      </c>
      <c r="G16" s="19">
        <f>E16*F16</f>
        <v>348.14</v>
      </c>
      <c r="H16" s="19">
        <f t="shared" ref="H16:H25" si="4">VLOOKUP(E16,CLT,2,1)*E16</f>
        <v>348.14</v>
      </c>
    </row>
    <row r="17" spans="1:10" ht="15" customHeight="1" x14ac:dyDescent="0.55000000000000004">
      <c r="A17" s="27">
        <v>5000</v>
      </c>
      <c r="B17" s="27">
        <v>6.5000000000000002E-2</v>
      </c>
      <c r="C17" s="28" t="str">
        <f>A17&amp;" &lt;= Sales &lt; "&amp;A18</f>
        <v>5000 &lt;= Sales &lt; 6000</v>
      </c>
      <c r="D17" s="14" t="s">
        <v>281</v>
      </c>
      <c r="E17" s="14">
        <v>6083</v>
      </c>
      <c r="F17" s="19">
        <f t="shared" si="3"/>
        <v>7.5499999999999998E-2</v>
      </c>
      <c r="G17" s="19">
        <f t="shared" ref="G17:G25" si="5">E17*F17</f>
        <v>459.26650000000001</v>
      </c>
      <c r="H17" s="19">
        <f t="shared" si="4"/>
        <v>459.26650000000001</v>
      </c>
    </row>
    <row r="18" spans="1:10" x14ac:dyDescent="0.55000000000000004">
      <c r="A18" s="27">
        <v>6000</v>
      </c>
      <c r="B18" s="27">
        <v>7.5499999999999998E-2</v>
      </c>
      <c r="C18" s="28" t="str">
        <f>A18&amp;" &lt;= Sales "</f>
        <v xml:space="preserve">6000 &lt;= Sales </v>
      </c>
      <c r="D18" s="14" t="s">
        <v>282</v>
      </c>
      <c r="E18" s="14">
        <v>5899</v>
      </c>
      <c r="F18" s="19">
        <f t="shared" si="3"/>
        <v>6.5000000000000002E-2</v>
      </c>
      <c r="G18" s="19">
        <f t="shared" si="5"/>
        <v>383.435</v>
      </c>
      <c r="H18" s="19">
        <f t="shared" si="4"/>
        <v>383.435</v>
      </c>
    </row>
    <row r="19" spans="1:10" x14ac:dyDescent="0.55000000000000004">
      <c r="D19" s="14" t="s">
        <v>280</v>
      </c>
      <c r="E19" s="14">
        <v>3316</v>
      </c>
      <c r="F19" s="19">
        <f t="shared" si="3"/>
        <v>0.05</v>
      </c>
      <c r="G19" s="19">
        <f t="shared" si="5"/>
        <v>165.8</v>
      </c>
      <c r="H19" s="19">
        <f t="shared" si="4"/>
        <v>165.8</v>
      </c>
    </row>
    <row r="20" spans="1:10" x14ac:dyDescent="0.55000000000000004">
      <c r="D20" s="14" t="s">
        <v>281</v>
      </c>
      <c r="E20" s="14">
        <v>2014</v>
      </c>
      <c r="F20" s="19">
        <f t="shared" si="3"/>
        <v>0.05</v>
      </c>
      <c r="G20" s="19">
        <f t="shared" si="5"/>
        <v>100.7</v>
      </c>
      <c r="H20" s="19">
        <f t="shared" si="4"/>
        <v>100.7</v>
      </c>
    </row>
    <row r="21" spans="1:10" x14ac:dyDescent="0.55000000000000004">
      <c r="D21" s="14" t="s">
        <v>282</v>
      </c>
      <c r="E21" s="14">
        <v>3116</v>
      </c>
      <c r="F21" s="19">
        <f t="shared" si="3"/>
        <v>0.05</v>
      </c>
      <c r="G21" s="19">
        <f t="shared" si="5"/>
        <v>155.80000000000001</v>
      </c>
      <c r="H21" s="19">
        <f t="shared" si="4"/>
        <v>155.80000000000001</v>
      </c>
    </row>
    <row r="22" spans="1:10" x14ac:dyDescent="0.55000000000000004">
      <c r="D22" s="14" t="s">
        <v>281</v>
      </c>
      <c r="E22" s="14">
        <v>2950</v>
      </c>
      <c r="F22" s="19">
        <f t="shared" si="3"/>
        <v>0.05</v>
      </c>
      <c r="G22" s="19">
        <f t="shared" si="5"/>
        <v>147.5</v>
      </c>
      <c r="H22" s="19">
        <f t="shared" si="4"/>
        <v>147.5</v>
      </c>
    </row>
    <row r="23" spans="1:10" x14ac:dyDescent="0.55000000000000004">
      <c r="D23" s="14" t="s">
        <v>282</v>
      </c>
      <c r="E23" s="14">
        <v>3690</v>
      </c>
      <c r="F23" s="19">
        <f t="shared" si="3"/>
        <v>0.05</v>
      </c>
      <c r="G23" s="19">
        <f t="shared" si="5"/>
        <v>184.5</v>
      </c>
      <c r="H23" s="19">
        <f t="shared" si="4"/>
        <v>184.5</v>
      </c>
    </row>
    <row r="24" spans="1:10" x14ac:dyDescent="0.55000000000000004">
      <c r="D24" s="14" t="s">
        <v>281</v>
      </c>
      <c r="E24" s="14">
        <v>4184</v>
      </c>
      <c r="F24" s="19">
        <f t="shared" si="3"/>
        <v>0.05</v>
      </c>
      <c r="G24" s="19">
        <f t="shared" si="5"/>
        <v>209.20000000000002</v>
      </c>
      <c r="H24" s="19">
        <f t="shared" si="4"/>
        <v>209.20000000000002</v>
      </c>
    </row>
    <row r="25" spans="1:10" x14ac:dyDescent="0.55000000000000004">
      <c r="D25" s="14" t="s">
        <v>281</v>
      </c>
      <c r="E25" s="14">
        <v>6472</v>
      </c>
      <c r="F25" s="19">
        <f t="shared" si="3"/>
        <v>7.5499999999999998E-2</v>
      </c>
      <c r="G25" s="19">
        <f t="shared" si="5"/>
        <v>488.63599999999997</v>
      </c>
      <c r="H25" s="19">
        <f t="shared" si="4"/>
        <v>488.63599999999997</v>
      </c>
    </row>
    <row r="27" spans="1:10" x14ac:dyDescent="0.55000000000000004">
      <c r="A27" s="22" t="s">
        <v>270</v>
      </c>
      <c r="B27" s="23"/>
      <c r="C27" s="23"/>
      <c r="D27" s="23"/>
      <c r="E27" s="23"/>
      <c r="F27" s="23"/>
      <c r="G27" s="23"/>
      <c r="H27" s="24"/>
    </row>
    <row r="28" spans="1:10" x14ac:dyDescent="0.55000000000000004">
      <c r="D28" s="18" t="s">
        <v>263</v>
      </c>
      <c r="E28" s="18" t="s">
        <v>265</v>
      </c>
      <c r="F28" s="18" t="s">
        <v>264</v>
      </c>
      <c r="G28" s="18" t="s">
        <v>266</v>
      </c>
      <c r="H28" s="18" t="s">
        <v>267</v>
      </c>
      <c r="J28" s="62" t="s">
        <v>408</v>
      </c>
    </row>
    <row r="29" spans="1:10" x14ac:dyDescent="0.55000000000000004">
      <c r="D29" s="14" t="s">
        <v>280</v>
      </c>
      <c r="E29" s="14">
        <v>150</v>
      </c>
      <c r="F29" s="19"/>
      <c r="G29" s="19"/>
      <c r="H29" s="19"/>
    </row>
    <row r="30" spans="1:10" x14ac:dyDescent="0.55000000000000004">
      <c r="D30" s="14" t="s">
        <v>281</v>
      </c>
      <c r="E30" s="14">
        <v>6083</v>
      </c>
      <c r="F30" s="19"/>
      <c r="G30" s="19"/>
      <c r="H30" s="19"/>
    </row>
    <row r="31" spans="1:10" x14ac:dyDescent="0.55000000000000004">
      <c r="D31" s="14" t="s">
        <v>282</v>
      </c>
      <c r="E31" s="14">
        <v>5899</v>
      </c>
      <c r="F31" s="19"/>
      <c r="G31" s="19"/>
      <c r="H31" s="19"/>
    </row>
    <row r="32" spans="1:10" x14ac:dyDescent="0.55000000000000004">
      <c r="D32" s="14" t="s">
        <v>280</v>
      </c>
      <c r="E32" s="14">
        <v>3316</v>
      </c>
      <c r="F32" s="19"/>
      <c r="G32" s="19"/>
      <c r="H32" s="19"/>
    </row>
    <row r="33" spans="1:10" x14ac:dyDescent="0.55000000000000004">
      <c r="D33" s="14" t="s">
        <v>281</v>
      </c>
      <c r="E33" s="14">
        <v>2014</v>
      </c>
      <c r="F33" s="19"/>
      <c r="G33" s="19"/>
      <c r="H33" s="19"/>
    </row>
    <row r="34" spans="1:10" x14ac:dyDescent="0.55000000000000004">
      <c r="D34" s="14" t="s">
        <v>282</v>
      </c>
      <c r="E34" s="14">
        <v>3116</v>
      </c>
      <c r="F34" s="19"/>
      <c r="G34" s="19"/>
      <c r="H34" s="19"/>
    </row>
    <row r="35" spans="1:10" x14ac:dyDescent="0.55000000000000004">
      <c r="D35" s="14" t="s">
        <v>281</v>
      </c>
      <c r="E35" s="14">
        <v>2950</v>
      </c>
      <c r="F35" s="19"/>
      <c r="G35" s="19"/>
      <c r="H35" s="19"/>
    </row>
    <row r="36" spans="1:10" x14ac:dyDescent="0.55000000000000004">
      <c r="D36" s="14" t="s">
        <v>282</v>
      </c>
      <c r="E36" s="14">
        <v>3690</v>
      </c>
      <c r="F36" s="19"/>
      <c r="G36" s="19"/>
      <c r="H36" s="19"/>
    </row>
    <row r="37" spans="1:10" x14ac:dyDescent="0.55000000000000004">
      <c r="D37" s="14" t="s">
        <v>281</v>
      </c>
      <c r="E37" s="14">
        <v>4184</v>
      </c>
      <c r="F37" s="19"/>
      <c r="G37" s="19"/>
      <c r="H37" s="19"/>
    </row>
    <row r="38" spans="1:10" x14ac:dyDescent="0.55000000000000004">
      <c r="D38" s="14" t="s">
        <v>281</v>
      </c>
      <c r="E38" s="14">
        <v>6472</v>
      </c>
      <c r="F38" s="19"/>
      <c r="G38" s="19"/>
      <c r="H38" s="19"/>
    </row>
    <row r="40" spans="1:10" x14ac:dyDescent="0.55000000000000004">
      <c r="A40" s="22" t="s">
        <v>271</v>
      </c>
      <c r="B40" s="22"/>
      <c r="C40" s="22"/>
      <c r="D40" s="22"/>
      <c r="E40" s="22"/>
      <c r="F40" s="22"/>
      <c r="G40" s="22"/>
      <c r="H40" s="22"/>
      <c r="I40" s="22"/>
      <c r="J40" s="29"/>
    </row>
    <row r="41" spans="1:10" x14ac:dyDescent="0.55000000000000004">
      <c r="A41" s="25" t="s">
        <v>240</v>
      </c>
      <c r="B41" s="25" t="s">
        <v>244</v>
      </c>
      <c r="C41" s="25" t="s">
        <v>208</v>
      </c>
      <c r="D41" s="25" t="s">
        <v>272</v>
      </c>
      <c r="F41" s="25" t="s">
        <v>240</v>
      </c>
      <c r="G41" s="25" t="s">
        <v>244</v>
      </c>
      <c r="H41" s="25" t="s">
        <v>208</v>
      </c>
      <c r="I41" s="25" t="s">
        <v>134</v>
      </c>
      <c r="J41" s="25" t="s">
        <v>265</v>
      </c>
    </row>
    <row r="42" spans="1:10" x14ac:dyDescent="0.55000000000000004">
      <c r="A42" s="14" t="s">
        <v>273</v>
      </c>
      <c r="B42" s="14" t="s">
        <v>286</v>
      </c>
      <c r="C42" s="14">
        <v>19</v>
      </c>
      <c r="D42" s="14">
        <v>14</v>
      </c>
      <c r="F42" s="14" t="s">
        <v>274</v>
      </c>
      <c r="G42" s="30" t="str">
        <f>VLOOKUP($F$42,$A$41:$D$47,COLUMNS($A$41:B41),0)</f>
        <v>50 Meter Bat</v>
      </c>
      <c r="H42" s="30">
        <f>VLOOKUP($F$42,$A$41:$D$47,COLUMNS($A$41:C41),0)</f>
        <v>30</v>
      </c>
      <c r="I42" s="30">
        <f>VLOOKUP($F$42,$A$41:$D$47,COLUMNS($A$41:D41),0)</f>
        <v>17</v>
      </c>
      <c r="J42" s="30">
        <f>H42*I42</f>
        <v>510</v>
      </c>
    </row>
    <row r="43" spans="1:10" x14ac:dyDescent="0.55000000000000004">
      <c r="A43" s="14" t="s">
        <v>275</v>
      </c>
      <c r="B43" s="14" t="s">
        <v>287</v>
      </c>
      <c r="C43" s="14">
        <v>15</v>
      </c>
      <c r="D43" s="14">
        <v>9</v>
      </c>
    </row>
    <row r="44" spans="1:10" x14ac:dyDescent="0.55000000000000004">
      <c r="A44" s="14" t="s">
        <v>276</v>
      </c>
      <c r="B44" s="14" t="s">
        <v>288</v>
      </c>
      <c r="C44" s="14">
        <v>12</v>
      </c>
      <c r="D44" s="14">
        <v>7</v>
      </c>
      <c r="F44" s="22" t="s">
        <v>277</v>
      </c>
      <c r="G44" s="22"/>
      <c r="H44" s="22"/>
      <c r="I44" s="22"/>
      <c r="J44" s="22"/>
    </row>
    <row r="45" spans="1:10" x14ac:dyDescent="0.55000000000000004">
      <c r="A45" s="14" t="s">
        <v>278</v>
      </c>
      <c r="B45" s="14" t="s">
        <v>289</v>
      </c>
      <c r="C45" s="14">
        <v>23</v>
      </c>
      <c r="D45" s="14">
        <v>12</v>
      </c>
      <c r="G45" s="19"/>
      <c r="H45" s="19"/>
    </row>
    <row r="46" spans="1:10" x14ac:dyDescent="0.55000000000000004">
      <c r="A46" s="14" t="s">
        <v>274</v>
      </c>
      <c r="B46" s="14" t="s">
        <v>290</v>
      </c>
      <c r="C46" s="14">
        <v>30</v>
      </c>
      <c r="D46" s="14">
        <v>17</v>
      </c>
    </row>
    <row r="47" spans="1:10" x14ac:dyDescent="0.55000000000000004">
      <c r="A47" s="14" t="s">
        <v>279</v>
      </c>
      <c r="B47" s="14" t="s">
        <v>291</v>
      </c>
      <c r="C47" s="14">
        <v>25</v>
      </c>
      <c r="D47" s="14">
        <v>14</v>
      </c>
    </row>
  </sheetData>
  <dataValidations count="1">
    <dataValidation type="list" allowBlank="1" showInputMessage="1" showErrorMessage="1" sqref="F42 JB42 SX42 ACT42 AMP42 AWL42 BGH42 BQD42 BZZ42 CJV42 CTR42 DDN42 DNJ42 DXF42 EHB42 EQX42 FAT42 FKP42 FUL42 GEH42 GOD42 GXZ42 HHV42 HRR42 IBN42 ILJ42 IVF42 JFB42 JOX42 JYT42 KIP42 KSL42 LCH42 LMD42 LVZ42 MFV42 MPR42 MZN42 NJJ42 NTF42 ODB42 OMX42 OWT42 PGP42 PQL42 QAH42 QKD42 QTZ42 RDV42 RNR42 RXN42 SHJ42 SRF42 TBB42 TKX42 TUT42 UEP42 UOL42 UYH42 VID42 VRZ42 WBV42 WLR42 WVN42 F65578 JB65578 SX65578 ACT65578 AMP65578 AWL65578 BGH65578 BQD65578 BZZ65578 CJV65578 CTR65578 DDN65578 DNJ65578 DXF65578 EHB65578 EQX65578 FAT65578 FKP65578 FUL65578 GEH65578 GOD65578 GXZ65578 HHV65578 HRR65578 IBN65578 ILJ65578 IVF65578 JFB65578 JOX65578 JYT65578 KIP65578 KSL65578 LCH65578 LMD65578 LVZ65578 MFV65578 MPR65578 MZN65578 NJJ65578 NTF65578 ODB65578 OMX65578 OWT65578 PGP65578 PQL65578 QAH65578 QKD65578 QTZ65578 RDV65578 RNR65578 RXN65578 SHJ65578 SRF65578 TBB65578 TKX65578 TUT65578 UEP65578 UOL65578 UYH65578 VID65578 VRZ65578 WBV65578 WLR65578 WVN65578 F131114 JB131114 SX131114 ACT131114 AMP131114 AWL131114 BGH131114 BQD131114 BZZ131114 CJV131114 CTR131114 DDN131114 DNJ131114 DXF131114 EHB131114 EQX131114 FAT131114 FKP131114 FUL131114 GEH131114 GOD131114 GXZ131114 HHV131114 HRR131114 IBN131114 ILJ131114 IVF131114 JFB131114 JOX131114 JYT131114 KIP131114 KSL131114 LCH131114 LMD131114 LVZ131114 MFV131114 MPR131114 MZN131114 NJJ131114 NTF131114 ODB131114 OMX131114 OWT131114 PGP131114 PQL131114 QAH131114 QKD131114 QTZ131114 RDV131114 RNR131114 RXN131114 SHJ131114 SRF131114 TBB131114 TKX131114 TUT131114 UEP131114 UOL131114 UYH131114 VID131114 VRZ131114 WBV131114 WLR131114 WVN131114 F196650 JB196650 SX196650 ACT196650 AMP196650 AWL196650 BGH196650 BQD196650 BZZ196650 CJV196650 CTR196650 DDN196650 DNJ196650 DXF196650 EHB196650 EQX196650 FAT196650 FKP196650 FUL196650 GEH196650 GOD196650 GXZ196650 HHV196650 HRR196650 IBN196650 ILJ196650 IVF196650 JFB196650 JOX196650 JYT196650 KIP196650 KSL196650 LCH196650 LMD196650 LVZ196650 MFV196650 MPR196650 MZN196650 NJJ196650 NTF196650 ODB196650 OMX196650 OWT196650 PGP196650 PQL196650 QAH196650 QKD196650 QTZ196650 RDV196650 RNR196650 RXN196650 SHJ196650 SRF196650 TBB196650 TKX196650 TUT196650 UEP196650 UOL196650 UYH196650 VID196650 VRZ196650 WBV196650 WLR196650 WVN196650 F262186 JB262186 SX262186 ACT262186 AMP262186 AWL262186 BGH262186 BQD262186 BZZ262186 CJV262186 CTR262186 DDN262186 DNJ262186 DXF262186 EHB262186 EQX262186 FAT262186 FKP262186 FUL262186 GEH262186 GOD262186 GXZ262186 HHV262186 HRR262186 IBN262186 ILJ262186 IVF262186 JFB262186 JOX262186 JYT262186 KIP262186 KSL262186 LCH262186 LMD262186 LVZ262186 MFV262186 MPR262186 MZN262186 NJJ262186 NTF262186 ODB262186 OMX262186 OWT262186 PGP262186 PQL262186 QAH262186 QKD262186 QTZ262186 RDV262186 RNR262186 RXN262186 SHJ262186 SRF262186 TBB262186 TKX262186 TUT262186 UEP262186 UOL262186 UYH262186 VID262186 VRZ262186 WBV262186 WLR262186 WVN262186 F327722 JB327722 SX327722 ACT327722 AMP327722 AWL327722 BGH327722 BQD327722 BZZ327722 CJV327722 CTR327722 DDN327722 DNJ327722 DXF327722 EHB327722 EQX327722 FAT327722 FKP327722 FUL327722 GEH327722 GOD327722 GXZ327722 HHV327722 HRR327722 IBN327722 ILJ327722 IVF327722 JFB327722 JOX327722 JYT327722 KIP327722 KSL327722 LCH327722 LMD327722 LVZ327722 MFV327722 MPR327722 MZN327722 NJJ327722 NTF327722 ODB327722 OMX327722 OWT327722 PGP327722 PQL327722 QAH327722 QKD327722 QTZ327722 RDV327722 RNR327722 RXN327722 SHJ327722 SRF327722 TBB327722 TKX327722 TUT327722 UEP327722 UOL327722 UYH327722 VID327722 VRZ327722 WBV327722 WLR327722 WVN327722 F393258 JB393258 SX393258 ACT393258 AMP393258 AWL393258 BGH393258 BQD393258 BZZ393258 CJV393258 CTR393258 DDN393258 DNJ393258 DXF393258 EHB393258 EQX393258 FAT393258 FKP393258 FUL393258 GEH393258 GOD393258 GXZ393258 HHV393258 HRR393258 IBN393258 ILJ393258 IVF393258 JFB393258 JOX393258 JYT393258 KIP393258 KSL393258 LCH393258 LMD393258 LVZ393258 MFV393258 MPR393258 MZN393258 NJJ393258 NTF393258 ODB393258 OMX393258 OWT393258 PGP393258 PQL393258 QAH393258 QKD393258 QTZ393258 RDV393258 RNR393258 RXN393258 SHJ393258 SRF393258 TBB393258 TKX393258 TUT393258 UEP393258 UOL393258 UYH393258 VID393258 VRZ393258 WBV393258 WLR393258 WVN393258 F458794 JB458794 SX458794 ACT458794 AMP458794 AWL458794 BGH458794 BQD458794 BZZ458794 CJV458794 CTR458794 DDN458794 DNJ458794 DXF458794 EHB458794 EQX458794 FAT458794 FKP458794 FUL458794 GEH458794 GOD458794 GXZ458794 HHV458794 HRR458794 IBN458794 ILJ458794 IVF458794 JFB458794 JOX458794 JYT458794 KIP458794 KSL458794 LCH458794 LMD458794 LVZ458794 MFV458794 MPR458794 MZN458794 NJJ458794 NTF458794 ODB458794 OMX458794 OWT458794 PGP458794 PQL458794 QAH458794 QKD458794 QTZ458794 RDV458794 RNR458794 RXN458794 SHJ458794 SRF458794 TBB458794 TKX458794 TUT458794 UEP458794 UOL458794 UYH458794 VID458794 VRZ458794 WBV458794 WLR458794 WVN458794 F524330 JB524330 SX524330 ACT524330 AMP524330 AWL524330 BGH524330 BQD524330 BZZ524330 CJV524330 CTR524330 DDN524330 DNJ524330 DXF524330 EHB524330 EQX524330 FAT524330 FKP524330 FUL524330 GEH524330 GOD524330 GXZ524330 HHV524330 HRR524330 IBN524330 ILJ524330 IVF524330 JFB524330 JOX524330 JYT524330 KIP524330 KSL524330 LCH524330 LMD524330 LVZ524330 MFV524330 MPR524330 MZN524330 NJJ524330 NTF524330 ODB524330 OMX524330 OWT524330 PGP524330 PQL524330 QAH524330 QKD524330 QTZ524330 RDV524330 RNR524330 RXN524330 SHJ524330 SRF524330 TBB524330 TKX524330 TUT524330 UEP524330 UOL524330 UYH524330 VID524330 VRZ524330 WBV524330 WLR524330 WVN524330 F589866 JB589866 SX589866 ACT589866 AMP589866 AWL589866 BGH589866 BQD589866 BZZ589866 CJV589866 CTR589866 DDN589866 DNJ589866 DXF589866 EHB589866 EQX589866 FAT589866 FKP589866 FUL589866 GEH589866 GOD589866 GXZ589866 HHV589866 HRR589866 IBN589866 ILJ589866 IVF589866 JFB589866 JOX589866 JYT589866 KIP589866 KSL589866 LCH589866 LMD589866 LVZ589866 MFV589866 MPR589866 MZN589866 NJJ589866 NTF589866 ODB589866 OMX589866 OWT589866 PGP589866 PQL589866 QAH589866 QKD589866 QTZ589866 RDV589866 RNR589866 RXN589866 SHJ589866 SRF589866 TBB589866 TKX589866 TUT589866 UEP589866 UOL589866 UYH589866 VID589866 VRZ589866 WBV589866 WLR589866 WVN589866 F655402 JB655402 SX655402 ACT655402 AMP655402 AWL655402 BGH655402 BQD655402 BZZ655402 CJV655402 CTR655402 DDN655402 DNJ655402 DXF655402 EHB655402 EQX655402 FAT655402 FKP655402 FUL655402 GEH655402 GOD655402 GXZ655402 HHV655402 HRR655402 IBN655402 ILJ655402 IVF655402 JFB655402 JOX655402 JYT655402 KIP655402 KSL655402 LCH655402 LMD655402 LVZ655402 MFV655402 MPR655402 MZN655402 NJJ655402 NTF655402 ODB655402 OMX655402 OWT655402 PGP655402 PQL655402 QAH655402 QKD655402 QTZ655402 RDV655402 RNR655402 RXN655402 SHJ655402 SRF655402 TBB655402 TKX655402 TUT655402 UEP655402 UOL655402 UYH655402 VID655402 VRZ655402 WBV655402 WLR655402 WVN655402 F720938 JB720938 SX720938 ACT720938 AMP720938 AWL720938 BGH720938 BQD720938 BZZ720938 CJV720938 CTR720938 DDN720938 DNJ720938 DXF720938 EHB720938 EQX720938 FAT720938 FKP720938 FUL720938 GEH720938 GOD720938 GXZ720938 HHV720938 HRR720938 IBN720938 ILJ720938 IVF720938 JFB720938 JOX720938 JYT720938 KIP720938 KSL720938 LCH720938 LMD720938 LVZ720938 MFV720938 MPR720938 MZN720938 NJJ720938 NTF720938 ODB720938 OMX720938 OWT720938 PGP720938 PQL720938 QAH720938 QKD720938 QTZ720938 RDV720938 RNR720938 RXN720938 SHJ720938 SRF720938 TBB720938 TKX720938 TUT720938 UEP720938 UOL720938 UYH720938 VID720938 VRZ720938 WBV720938 WLR720938 WVN720938 F786474 JB786474 SX786474 ACT786474 AMP786474 AWL786474 BGH786474 BQD786474 BZZ786474 CJV786474 CTR786474 DDN786474 DNJ786474 DXF786474 EHB786474 EQX786474 FAT786474 FKP786474 FUL786474 GEH786474 GOD786474 GXZ786474 HHV786474 HRR786474 IBN786474 ILJ786474 IVF786474 JFB786474 JOX786474 JYT786474 KIP786474 KSL786474 LCH786474 LMD786474 LVZ786474 MFV786474 MPR786474 MZN786474 NJJ786474 NTF786474 ODB786474 OMX786474 OWT786474 PGP786474 PQL786474 QAH786474 QKD786474 QTZ786474 RDV786474 RNR786474 RXN786474 SHJ786474 SRF786474 TBB786474 TKX786474 TUT786474 UEP786474 UOL786474 UYH786474 VID786474 VRZ786474 WBV786474 WLR786474 WVN786474 F852010 JB852010 SX852010 ACT852010 AMP852010 AWL852010 BGH852010 BQD852010 BZZ852010 CJV852010 CTR852010 DDN852010 DNJ852010 DXF852010 EHB852010 EQX852010 FAT852010 FKP852010 FUL852010 GEH852010 GOD852010 GXZ852010 HHV852010 HRR852010 IBN852010 ILJ852010 IVF852010 JFB852010 JOX852010 JYT852010 KIP852010 KSL852010 LCH852010 LMD852010 LVZ852010 MFV852010 MPR852010 MZN852010 NJJ852010 NTF852010 ODB852010 OMX852010 OWT852010 PGP852010 PQL852010 QAH852010 QKD852010 QTZ852010 RDV852010 RNR852010 RXN852010 SHJ852010 SRF852010 TBB852010 TKX852010 TUT852010 UEP852010 UOL852010 UYH852010 VID852010 VRZ852010 WBV852010 WLR852010 WVN852010 F917546 JB917546 SX917546 ACT917546 AMP917546 AWL917546 BGH917546 BQD917546 BZZ917546 CJV917546 CTR917546 DDN917546 DNJ917546 DXF917546 EHB917546 EQX917546 FAT917546 FKP917546 FUL917546 GEH917546 GOD917546 GXZ917546 HHV917546 HRR917546 IBN917546 ILJ917546 IVF917546 JFB917546 JOX917546 JYT917546 KIP917546 KSL917546 LCH917546 LMD917546 LVZ917546 MFV917546 MPR917546 MZN917546 NJJ917546 NTF917546 ODB917546 OMX917546 OWT917546 PGP917546 PQL917546 QAH917546 QKD917546 QTZ917546 RDV917546 RNR917546 RXN917546 SHJ917546 SRF917546 TBB917546 TKX917546 TUT917546 UEP917546 UOL917546 UYH917546 VID917546 VRZ917546 WBV917546 WLR917546 WVN917546 F983082 JB983082 SX983082 ACT983082 AMP983082 AWL983082 BGH983082 BQD983082 BZZ983082 CJV983082 CTR983082 DDN983082 DNJ983082 DXF983082 EHB983082 EQX983082 FAT983082 FKP983082 FUL983082 GEH983082 GOD983082 GXZ983082 HHV983082 HRR983082 IBN983082 ILJ983082 IVF983082 JFB983082 JOX983082 JYT983082 KIP983082 KSL983082 LCH983082 LMD983082 LVZ983082 MFV983082 MPR983082 MZN983082 NJJ983082 NTF983082 ODB983082 OMX983082 OWT983082 PGP983082 PQL983082 QAH983082 QKD983082 QTZ983082 RDV983082 RNR983082 RXN983082 SHJ983082 SRF983082 TBB983082 TKX983082 TUT983082 UEP983082 UOL983082 UYH983082 VID983082 VRZ983082 WBV983082 WLR983082 WVN983082" xr:uid="{00000000-0002-0000-0500-000000000000}">
      <formula1>$A$42:$A$47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7"/>
  <sheetViews>
    <sheetView topLeftCell="A25" zoomScaleNormal="100" workbookViewId="0">
      <selection activeCell="B35" sqref="B35:B37"/>
    </sheetView>
  </sheetViews>
  <sheetFormatPr defaultRowHeight="14.4" x14ac:dyDescent="0.55000000000000004"/>
  <cols>
    <col min="1" max="1" width="23" customWidth="1"/>
    <col min="5" max="5" width="20.83984375" customWidth="1"/>
    <col min="7" max="7" width="16.41796875" bestFit="1" customWidth="1"/>
    <col min="8" max="8" width="9" customWidth="1"/>
  </cols>
  <sheetData>
    <row r="1" spans="1:8" x14ac:dyDescent="0.55000000000000004">
      <c r="A1" s="32"/>
    </row>
    <row r="2" spans="1:8" x14ac:dyDescent="0.55000000000000004">
      <c r="A2" s="33" t="s">
        <v>292</v>
      </c>
      <c r="B2" s="34"/>
      <c r="C2" s="34"/>
      <c r="D2" s="34"/>
      <c r="E2" s="34"/>
      <c r="F2" s="34"/>
      <c r="G2" s="34"/>
      <c r="H2" s="35"/>
    </row>
    <row r="3" spans="1:8" x14ac:dyDescent="0.55000000000000004">
      <c r="A3" s="6" t="s">
        <v>293</v>
      </c>
      <c r="B3" s="7"/>
      <c r="C3" s="7"/>
      <c r="D3" s="7"/>
      <c r="E3" s="7"/>
      <c r="F3" s="7"/>
      <c r="G3" s="7"/>
      <c r="H3" s="8"/>
    </row>
    <row r="4" spans="1:8" x14ac:dyDescent="0.55000000000000004">
      <c r="A4" s="6" t="s">
        <v>294</v>
      </c>
      <c r="B4" s="7"/>
      <c r="C4" s="7"/>
      <c r="D4" s="7"/>
      <c r="E4" s="7"/>
      <c r="F4" s="7"/>
      <c r="G4" s="7"/>
      <c r="H4" s="8"/>
    </row>
    <row r="5" spans="1:8" x14ac:dyDescent="0.55000000000000004">
      <c r="A5" s="9" t="s">
        <v>295</v>
      </c>
      <c r="B5" s="10"/>
      <c r="C5" s="10"/>
      <c r="D5" s="10"/>
      <c r="E5" s="10"/>
      <c r="F5" s="10"/>
      <c r="G5" s="10"/>
      <c r="H5" s="11"/>
    </row>
    <row r="7" spans="1:8" x14ac:dyDescent="0.55000000000000004">
      <c r="A7" s="17" t="s">
        <v>296</v>
      </c>
    </row>
    <row r="8" spans="1:8" ht="28.8" x14ac:dyDescent="0.55000000000000004">
      <c r="A8" s="36" t="s">
        <v>297</v>
      </c>
      <c r="B8" s="37" t="s">
        <v>298</v>
      </c>
      <c r="D8" s="37" t="s">
        <v>299</v>
      </c>
      <c r="E8" s="37" t="s">
        <v>298</v>
      </c>
    </row>
    <row r="9" spans="1:8" x14ac:dyDescent="0.55000000000000004">
      <c r="A9" s="14" t="s">
        <v>300</v>
      </c>
      <c r="B9" s="14">
        <f>VLOOKUP(RIGHT(A9,4),D8:E11,2,FALSE)</f>
        <v>26</v>
      </c>
      <c r="D9" s="14" t="s">
        <v>301</v>
      </c>
      <c r="E9" s="14">
        <v>26</v>
      </c>
    </row>
    <row r="10" spans="1:8" x14ac:dyDescent="0.55000000000000004">
      <c r="A10" s="14" t="s">
        <v>302</v>
      </c>
      <c r="B10" s="14">
        <f t="shared" ref="B10:B11" si="0">VLOOKUP(RIGHT(A10,4),D9:E12,2,FALSE)</f>
        <v>20</v>
      </c>
      <c r="D10" s="14" t="s">
        <v>303</v>
      </c>
      <c r="E10" s="14">
        <v>20</v>
      </c>
    </row>
    <row r="11" spans="1:8" x14ac:dyDescent="0.55000000000000004">
      <c r="A11" s="14" t="s">
        <v>304</v>
      </c>
      <c r="B11" s="14">
        <f t="shared" si="0"/>
        <v>24</v>
      </c>
      <c r="D11" s="14" t="s">
        <v>305</v>
      </c>
      <c r="E11" s="14">
        <v>24</v>
      </c>
    </row>
    <row r="13" spans="1:8" x14ac:dyDescent="0.55000000000000004">
      <c r="A13" s="17" t="s">
        <v>306</v>
      </c>
    </row>
    <row r="14" spans="1:8" ht="28.8" x14ac:dyDescent="0.55000000000000004">
      <c r="A14" s="12" t="s">
        <v>299</v>
      </c>
      <c r="B14" s="37" t="s">
        <v>298</v>
      </c>
      <c r="D14" s="12" t="s">
        <v>299</v>
      </c>
      <c r="E14" s="37" t="s">
        <v>298</v>
      </c>
    </row>
    <row r="15" spans="1:8" x14ac:dyDescent="0.55000000000000004">
      <c r="A15" s="14" t="s">
        <v>300</v>
      </c>
      <c r="B15" s="14">
        <f>VLOOKUP(LEFT(A15,SEARCH("-",A15,1)-1),D14:E17,2,0)</f>
        <v>26</v>
      </c>
      <c r="D15" s="14" t="s">
        <v>307</v>
      </c>
      <c r="E15" s="14">
        <v>26</v>
      </c>
    </row>
    <row r="16" spans="1:8" x14ac:dyDescent="0.55000000000000004">
      <c r="A16" s="14" t="s">
        <v>302</v>
      </c>
      <c r="B16" s="14">
        <f t="shared" ref="B16:B17" si="1">VLOOKUP(LEFT(A16,SEARCH("-",A16,1)-1),D15:E18,2,0)</f>
        <v>20</v>
      </c>
      <c r="D16" s="14" t="s">
        <v>308</v>
      </c>
      <c r="E16" s="14">
        <v>20</v>
      </c>
    </row>
    <row r="17" spans="1:5" x14ac:dyDescent="0.55000000000000004">
      <c r="A17" s="14" t="s">
        <v>304</v>
      </c>
      <c r="B17" s="14">
        <f t="shared" si="1"/>
        <v>24</v>
      </c>
      <c r="D17" s="14" t="s">
        <v>309</v>
      </c>
      <c r="E17" s="14">
        <v>24</v>
      </c>
    </row>
    <row r="20" spans="1:5" x14ac:dyDescent="0.55000000000000004">
      <c r="A20" s="17" t="s">
        <v>310</v>
      </c>
    </row>
    <row r="21" spans="1:5" ht="28.8" x14ac:dyDescent="0.55000000000000004">
      <c r="A21" s="36" t="s">
        <v>297</v>
      </c>
      <c r="B21" s="37" t="s">
        <v>298</v>
      </c>
      <c r="D21" s="37" t="s">
        <v>299</v>
      </c>
      <c r="E21" s="37" t="s">
        <v>298</v>
      </c>
    </row>
    <row r="22" spans="1:5" x14ac:dyDescent="0.55000000000000004">
      <c r="A22" s="14" t="s">
        <v>300</v>
      </c>
      <c r="B22" s="14">
        <f>VLOOKUP(_xlfn.NUMBERVALUE(MID(A22,SEARCH("-",A22,1)+1,3)),$D$21:$E$24,2,0)</f>
        <v>24</v>
      </c>
      <c r="D22" s="14">
        <v>543</v>
      </c>
      <c r="E22" s="14">
        <v>26</v>
      </c>
    </row>
    <row r="23" spans="1:5" x14ac:dyDescent="0.55000000000000004">
      <c r="A23" s="14" t="s">
        <v>302</v>
      </c>
      <c r="B23" s="14">
        <f t="shared" ref="B23:B24" si="2">VLOOKUP(_xlfn.NUMBERVALUE(MID(A23,SEARCH("-",A23,1)+1,3)),$D$21:$E$24,2,0)</f>
        <v>20</v>
      </c>
      <c r="D23" s="14">
        <v>234</v>
      </c>
      <c r="E23" s="14">
        <v>20</v>
      </c>
    </row>
    <row r="24" spans="1:5" x14ac:dyDescent="0.55000000000000004">
      <c r="A24" s="14" t="s">
        <v>304</v>
      </c>
      <c r="B24" s="14">
        <f t="shared" si="2"/>
        <v>26</v>
      </c>
      <c r="D24" s="14">
        <v>920</v>
      </c>
      <c r="E24" s="14">
        <v>24</v>
      </c>
    </row>
    <row r="27" spans="1:5" x14ac:dyDescent="0.55000000000000004">
      <c r="A27" s="17" t="s">
        <v>311</v>
      </c>
    </row>
    <row r="28" spans="1:5" ht="28.8" x14ac:dyDescent="0.55000000000000004">
      <c r="A28" s="12" t="s">
        <v>299</v>
      </c>
      <c r="B28" s="37" t="s">
        <v>298</v>
      </c>
    </row>
    <row r="29" spans="1:5" x14ac:dyDescent="0.55000000000000004">
      <c r="A29" s="14" t="s">
        <v>312</v>
      </c>
      <c r="B29" s="19">
        <f>VLOOKUP(MID(A29,FIND("*",SUBSTITUTE(A29,"-","*",2),1)+1,4),$D$8:$E$11,2,0)</f>
        <v>26</v>
      </c>
      <c r="D29" s="61" t="s">
        <v>409</v>
      </c>
    </row>
    <row r="30" spans="1:5" x14ac:dyDescent="0.55000000000000004">
      <c r="A30" s="14" t="s">
        <v>313</v>
      </c>
      <c r="B30" s="19">
        <f t="shared" ref="B30:B31" si="3">VLOOKUP(MID(A30,FIND("*",SUBSTITUTE(A30,"-","*",2),1)+1,4),$D$8:$E$11,2,0)</f>
        <v>20</v>
      </c>
      <c r="D30" s="61" t="s">
        <v>410</v>
      </c>
    </row>
    <row r="31" spans="1:5" x14ac:dyDescent="0.55000000000000004">
      <c r="A31" s="14" t="s">
        <v>304</v>
      </c>
      <c r="B31" s="19">
        <f t="shared" si="3"/>
        <v>24</v>
      </c>
    </row>
    <row r="34" spans="1:2" ht="28.8" x14ac:dyDescent="0.55000000000000004">
      <c r="A34" s="12" t="s">
        <v>299</v>
      </c>
      <c r="B34" s="37" t="s">
        <v>298</v>
      </c>
    </row>
    <row r="35" spans="1:2" x14ac:dyDescent="0.55000000000000004">
      <c r="A35" s="14" t="s">
        <v>314</v>
      </c>
      <c r="B35" s="19">
        <f>VLOOKUP(MID(A35,FIND("*",SUBSTITUTE(A35,"-","*",2),1)+1,4),$D$8:$E$11,2,0)</f>
        <v>26</v>
      </c>
    </row>
    <row r="36" spans="1:2" x14ac:dyDescent="0.55000000000000004">
      <c r="A36" s="14" t="s">
        <v>315</v>
      </c>
      <c r="B36" s="19">
        <f t="shared" ref="B36:B37" si="4">VLOOKUP(MID(A36,FIND("*",SUBSTITUTE(A36,"-","*",2),1)+1,4),$D$8:$E$11,2,0)</f>
        <v>20</v>
      </c>
    </row>
    <row r="37" spans="1:2" x14ac:dyDescent="0.55000000000000004">
      <c r="A37" s="14" t="s">
        <v>304</v>
      </c>
      <c r="B37" s="19">
        <f t="shared" si="4"/>
        <v>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F18"/>
  <sheetViews>
    <sheetView topLeftCell="A4" zoomScale="85" zoomScaleNormal="85" workbookViewId="0">
      <selection activeCell="B24" sqref="B24"/>
    </sheetView>
  </sheetViews>
  <sheetFormatPr defaultColWidth="30.68359375" defaultRowHeight="14.4" x14ac:dyDescent="0.55000000000000004"/>
  <cols>
    <col min="1" max="2" width="24.68359375" bestFit="1" customWidth="1"/>
    <col min="3" max="3" width="9.83984375" bestFit="1" customWidth="1"/>
    <col min="4" max="4" width="14.83984375" customWidth="1"/>
    <col min="5" max="5" width="14" customWidth="1"/>
    <col min="6" max="6" width="11.578125" bestFit="1" customWidth="1"/>
    <col min="7" max="7" width="24.68359375" bestFit="1" customWidth="1"/>
    <col min="8" max="9" width="9" bestFit="1" customWidth="1"/>
    <col min="10" max="10" width="12.41796875" bestFit="1" customWidth="1"/>
    <col min="11" max="11" width="16.68359375" bestFit="1" customWidth="1"/>
    <col min="12" max="12" width="18.26171875" bestFit="1" customWidth="1"/>
    <col min="257" max="258" width="24.68359375" bestFit="1" customWidth="1"/>
    <col min="259" max="259" width="9.83984375" bestFit="1" customWidth="1"/>
    <col min="260" max="260" width="14.83984375" customWidth="1"/>
    <col min="261" max="261" width="14" customWidth="1"/>
    <col min="262" max="262" width="11.578125" bestFit="1" customWidth="1"/>
    <col min="263" max="263" width="24.68359375" bestFit="1" customWidth="1"/>
    <col min="264" max="265" width="9" bestFit="1" customWidth="1"/>
    <col min="266" max="266" width="12.41796875" bestFit="1" customWidth="1"/>
    <col min="267" max="267" width="16.68359375" bestFit="1" customWidth="1"/>
    <col min="268" max="268" width="18.26171875" bestFit="1" customWidth="1"/>
    <col min="513" max="514" width="24.68359375" bestFit="1" customWidth="1"/>
    <col min="515" max="515" width="9.83984375" bestFit="1" customWidth="1"/>
    <col min="516" max="516" width="14.83984375" customWidth="1"/>
    <col min="517" max="517" width="14" customWidth="1"/>
    <col min="518" max="518" width="11.578125" bestFit="1" customWidth="1"/>
    <col min="519" max="519" width="24.68359375" bestFit="1" customWidth="1"/>
    <col min="520" max="521" width="9" bestFit="1" customWidth="1"/>
    <col min="522" max="522" width="12.41796875" bestFit="1" customWidth="1"/>
    <col min="523" max="523" width="16.68359375" bestFit="1" customWidth="1"/>
    <col min="524" max="524" width="18.26171875" bestFit="1" customWidth="1"/>
    <col min="769" max="770" width="24.68359375" bestFit="1" customWidth="1"/>
    <col min="771" max="771" width="9.83984375" bestFit="1" customWidth="1"/>
    <col min="772" max="772" width="14.83984375" customWidth="1"/>
    <col min="773" max="773" width="14" customWidth="1"/>
    <col min="774" max="774" width="11.578125" bestFit="1" customWidth="1"/>
    <col min="775" max="775" width="24.68359375" bestFit="1" customWidth="1"/>
    <col min="776" max="777" width="9" bestFit="1" customWidth="1"/>
    <col min="778" max="778" width="12.41796875" bestFit="1" customWidth="1"/>
    <col min="779" max="779" width="16.68359375" bestFit="1" customWidth="1"/>
    <col min="780" max="780" width="18.26171875" bestFit="1" customWidth="1"/>
    <col min="1025" max="1026" width="24.68359375" bestFit="1" customWidth="1"/>
    <col min="1027" max="1027" width="9.83984375" bestFit="1" customWidth="1"/>
    <col min="1028" max="1028" width="14.83984375" customWidth="1"/>
    <col min="1029" max="1029" width="14" customWidth="1"/>
    <col min="1030" max="1030" width="11.578125" bestFit="1" customWidth="1"/>
    <col min="1031" max="1031" width="24.68359375" bestFit="1" customWidth="1"/>
    <col min="1032" max="1033" width="9" bestFit="1" customWidth="1"/>
    <col min="1034" max="1034" width="12.41796875" bestFit="1" customWidth="1"/>
    <col min="1035" max="1035" width="16.68359375" bestFit="1" customWidth="1"/>
    <col min="1036" max="1036" width="18.26171875" bestFit="1" customWidth="1"/>
    <col min="1281" max="1282" width="24.68359375" bestFit="1" customWidth="1"/>
    <col min="1283" max="1283" width="9.83984375" bestFit="1" customWidth="1"/>
    <col min="1284" max="1284" width="14.83984375" customWidth="1"/>
    <col min="1285" max="1285" width="14" customWidth="1"/>
    <col min="1286" max="1286" width="11.578125" bestFit="1" customWidth="1"/>
    <col min="1287" max="1287" width="24.68359375" bestFit="1" customWidth="1"/>
    <col min="1288" max="1289" width="9" bestFit="1" customWidth="1"/>
    <col min="1290" max="1290" width="12.41796875" bestFit="1" customWidth="1"/>
    <col min="1291" max="1291" width="16.68359375" bestFit="1" customWidth="1"/>
    <col min="1292" max="1292" width="18.26171875" bestFit="1" customWidth="1"/>
    <col min="1537" max="1538" width="24.68359375" bestFit="1" customWidth="1"/>
    <col min="1539" max="1539" width="9.83984375" bestFit="1" customWidth="1"/>
    <col min="1540" max="1540" width="14.83984375" customWidth="1"/>
    <col min="1541" max="1541" width="14" customWidth="1"/>
    <col min="1542" max="1542" width="11.578125" bestFit="1" customWidth="1"/>
    <col min="1543" max="1543" width="24.68359375" bestFit="1" customWidth="1"/>
    <col min="1544" max="1545" width="9" bestFit="1" customWidth="1"/>
    <col min="1546" max="1546" width="12.41796875" bestFit="1" customWidth="1"/>
    <col min="1547" max="1547" width="16.68359375" bestFit="1" customWidth="1"/>
    <col min="1548" max="1548" width="18.26171875" bestFit="1" customWidth="1"/>
    <col min="1793" max="1794" width="24.68359375" bestFit="1" customWidth="1"/>
    <col min="1795" max="1795" width="9.83984375" bestFit="1" customWidth="1"/>
    <col min="1796" max="1796" width="14.83984375" customWidth="1"/>
    <col min="1797" max="1797" width="14" customWidth="1"/>
    <col min="1798" max="1798" width="11.578125" bestFit="1" customWidth="1"/>
    <col min="1799" max="1799" width="24.68359375" bestFit="1" customWidth="1"/>
    <col min="1800" max="1801" width="9" bestFit="1" customWidth="1"/>
    <col min="1802" max="1802" width="12.41796875" bestFit="1" customWidth="1"/>
    <col min="1803" max="1803" width="16.68359375" bestFit="1" customWidth="1"/>
    <col min="1804" max="1804" width="18.26171875" bestFit="1" customWidth="1"/>
    <col min="2049" max="2050" width="24.68359375" bestFit="1" customWidth="1"/>
    <col min="2051" max="2051" width="9.83984375" bestFit="1" customWidth="1"/>
    <col min="2052" max="2052" width="14.83984375" customWidth="1"/>
    <col min="2053" max="2053" width="14" customWidth="1"/>
    <col min="2054" max="2054" width="11.578125" bestFit="1" customWidth="1"/>
    <col min="2055" max="2055" width="24.68359375" bestFit="1" customWidth="1"/>
    <col min="2056" max="2057" width="9" bestFit="1" customWidth="1"/>
    <col min="2058" max="2058" width="12.41796875" bestFit="1" customWidth="1"/>
    <col min="2059" max="2059" width="16.68359375" bestFit="1" customWidth="1"/>
    <col min="2060" max="2060" width="18.26171875" bestFit="1" customWidth="1"/>
    <col min="2305" max="2306" width="24.68359375" bestFit="1" customWidth="1"/>
    <col min="2307" max="2307" width="9.83984375" bestFit="1" customWidth="1"/>
    <col min="2308" max="2308" width="14.83984375" customWidth="1"/>
    <col min="2309" max="2309" width="14" customWidth="1"/>
    <col min="2310" max="2310" width="11.578125" bestFit="1" customWidth="1"/>
    <col min="2311" max="2311" width="24.68359375" bestFit="1" customWidth="1"/>
    <col min="2312" max="2313" width="9" bestFit="1" customWidth="1"/>
    <col min="2314" max="2314" width="12.41796875" bestFit="1" customWidth="1"/>
    <col min="2315" max="2315" width="16.68359375" bestFit="1" customWidth="1"/>
    <col min="2316" max="2316" width="18.26171875" bestFit="1" customWidth="1"/>
    <col min="2561" max="2562" width="24.68359375" bestFit="1" customWidth="1"/>
    <col min="2563" max="2563" width="9.83984375" bestFit="1" customWidth="1"/>
    <col min="2564" max="2564" width="14.83984375" customWidth="1"/>
    <col min="2565" max="2565" width="14" customWidth="1"/>
    <col min="2566" max="2566" width="11.578125" bestFit="1" customWidth="1"/>
    <col min="2567" max="2567" width="24.68359375" bestFit="1" customWidth="1"/>
    <col min="2568" max="2569" width="9" bestFit="1" customWidth="1"/>
    <col min="2570" max="2570" width="12.41796875" bestFit="1" customWidth="1"/>
    <col min="2571" max="2571" width="16.68359375" bestFit="1" customWidth="1"/>
    <col min="2572" max="2572" width="18.26171875" bestFit="1" customWidth="1"/>
    <col min="2817" max="2818" width="24.68359375" bestFit="1" customWidth="1"/>
    <col min="2819" max="2819" width="9.83984375" bestFit="1" customWidth="1"/>
    <col min="2820" max="2820" width="14.83984375" customWidth="1"/>
    <col min="2821" max="2821" width="14" customWidth="1"/>
    <col min="2822" max="2822" width="11.578125" bestFit="1" customWidth="1"/>
    <col min="2823" max="2823" width="24.68359375" bestFit="1" customWidth="1"/>
    <col min="2824" max="2825" width="9" bestFit="1" customWidth="1"/>
    <col min="2826" max="2826" width="12.41796875" bestFit="1" customWidth="1"/>
    <col min="2827" max="2827" width="16.68359375" bestFit="1" customWidth="1"/>
    <col min="2828" max="2828" width="18.26171875" bestFit="1" customWidth="1"/>
    <col min="3073" max="3074" width="24.68359375" bestFit="1" customWidth="1"/>
    <col min="3075" max="3075" width="9.83984375" bestFit="1" customWidth="1"/>
    <col min="3076" max="3076" width="14.83984375" customWidth="1"/>
    <col min="3077" max="3077" width="14" customWidth="1"/>
    <col min="3078" max="3078" width="11.578125" bestFit="1" customWidth="1"/>
    <col min="3079" max="3079" width="24.68359375" bestFit="1" customWidth="1"/>
    <col min="3080" max="3081" width="9" bestFit="1" customWidth="1"/>
    <col min="3082" max="3082" width="12.41796875" bestFit="1" customWidth="1"/>
    <col min="3083" max="3083" width="16.68359375" bestFit="1" customWidth="1"/>
    <col min="3084" max="3084" width="18.26171875" bestFit="1" customWidth="1"/>
    <col min="3329" max="3330" width="24.68359375" bestFit="1" customWidth="1"/>
    <col min="3331" max="3331" width="9.83984375" bestFit="1" customWidth="1"/>
    <col min="3332" max="3332" width="14.83984375" customWidth="1"/>
    <col min="3333" max="3333" width="14" customWidth="1"/>
    <col min="3334" max="3334" width="11.578125" bestFit="1" customWidth="1"/>
    <col min="3335" max="3335" width="24.68359375" bestFit="1" customWidth="1"/>
    <col min="3336" max="3337" width="9" bestFit="1" customWidth="1"/>
    <col min="3338" max="3338" width="12.41796875" bestFit="1" customWidth="1"/>
    <col min="3339" max="3339" width="16.68359375" bestFit="1" customWidth="1"/>
    <col min="3340" max="3340" width="18.26171875" bestFit="1" customWidth="1"/>
    <col min="3585" max="3586" width="24.68359375" bestFit="1" customWidth="1"/>
    <col min="3587" max="3587" width="9.83984375" bestFit="1" customWidth="1"/>
    <col min="3588" max="3588" width="14.83984375" customWidth="1"/>
    <col min="3589" max="3589" width="14" customWidth="1"/>
    <col min="3590" max="3590" width="11.578125" bestFit="1" customWidth="1"/>
    <col min="3591" max="3591" width="24.68359375" bestFit="1" customWidth="1"/>
    <col min="3592" max="3593" width="9" bestFit="1" customWidth="1"/>
    <col min="3594" max="3594" width="12.41796875" bestFit="1" customWidth="1"/>
    <col min="3595" max="3595" width="16.68359375" bestFit="1" customWidth="1"/>
    <col min="3596" max="3596" width="18.26171875" bestFit="1" customWidth="1"/>
    <col min="3841" max="3842" width="24.68359375" bestFit="1" customWidth="1"/>
    <col min="3843" max="3843" width="9.83984375" bestFit="1" customWidth="1"/>
    <col min="3844" max="3844" width="14.83984375" customWidth="1"/>
    <col min="3845" max="3845" width="14" customWidth="1"/>
    <col min="3846" max="3846" width="11.578125" bestFit="1" customWidth="1"/>
    <col min="3847" max="3847" width="24.68359375" bestFit="1" customWidth="1"/>
    <col min="3848" max="3849" width="9" bestFit="1" customWidth="1"/>
    <col min="3850" max="3850" width="12.41796875" bestFit="1" customWidth="1"/>
    <col min="3851" max="3851" width="16.68359375" bestFit="1" customWidth="1"/>
    <col min="3852" max="3852" width="18.26171875" bestFit="1" customWidth="1"/>
    <col min="4097" max="4098" width="24.68359375" bestFit="1" customWidth="1"/>
    <col min="4099" max="4099" width="9.83984375" bestFit="1" customWidth="1"/>
    <col min="4100" max="4100" width="14.83984375" customWidth="1"/>
    <col min="4101" max="4101" width="14" customWidth="1"/>
    <col min="4102" max="4102" width="11.578125" bestFit="1" customWidth="1"/>
    <col min="4103" max="4103" width="24.68359375" bestFit="1" customWidth="1"/>
    <col min="4104" max="4105" width="9" bestFit="1" customWidth="1"/>
    <col min="4106" max="4106" width="12.41796875" bestFit="1" customWidth="1"/>
    <col min="4107" max="4107" width="16.68359375" bestFit="1" customWidth="1"/>
    <col min="4108" max="4108" width="18.26171875" bestFit="1" customWidth="1"/>
    <col min="4353" max="4354" width="24.68359375" bestFit="1" customWidth="1"/>
    <col min="4355" max="4355" width="9.83984375" bestFit="1" customWidth="1"/>
    <col min="4356" max="4356" width="14.83984375" customWidth="1"/>
    <col min="4357" max="4357" width="14" customWidth="1"/>
    <col min="4358" max="4358" width="11.578125" bestFit="1" customWidth="1"/>
    <col min="4359" max="4359" width="24.68359375" bestFit="1" customWidth="1"/>
    <col min="4360" max="4361" width="9" bestFit="1" customWidth="1"/>
    <col min="4362" max="4362" width="12.41796875" bestFit="1" customWidth="1"/>
    <col min="4363" max="4363" width="16.68359375" bestFit="1" customWidth="1"/>
    <col min="4364" max="4364" width="18.26171875" bestFit="1" customWidth="1"/>
    <col min="4609" max="4610" width="24.68359375" bestFit="1" customWidth="1"/>
    <col min="4611" max="4611" width="9.83984375" bestFit="1" customWidth="1"/>
    <col min="4612" max="4612" width="14.83984375" customWidth="1"/>
    <col min="4613" max="4613" width="14" customWidth="1"/>
    <col min="4614" max="4614" width="11.578125" bestFit="1" customWidth="1"/>
    <col min="4615" max="4615" width="24.68359375" bestFit="1" customWidth="1"/>
    <col min="4616" max="4617" width="9" bestFit="1" customWidth="1"/>
    <col min="4618" max="4618" width="12.41796875" bestFit="1" customWidth="1"/>
    <col min="4619" max="4619" width="16.68359375" bestFit="1" customWidth="1"/>
    <col min="4620" max="4620" width="18.26171875" bestFit="1" customWidth="1"/>
    <col min="4865" max="4866" width="24.68359375" bestFit="1" customWidth="1"/>
    <col min="4867" max="4867" width="9.83984375" bestFit="1" customWidth="1"/>
    <col min="4868" max="4868" width="14.83984375" customWidth="1"/>
    <col min="4869" max="4869" width="14" customWidth="1"/>
    <col min="4870" max="4870" width="11.578125" bestFit="1" customWidth="1"/>
    <col min="4871" max="4871" width="24.68359375" bestFit="1" customWidth="1"/>
    <col min="4872" max="4873" width="9" bestFit="1" customWidth="1"/>
    <col min="4874" max="4874" width="12.41796875" bestFit="1" customWidth="1"/>
    <col min="4875" max="4875" width="16.68359375" bestFit="1" customWidth="1"/>
    <col min="4876" max="4876" width="18.26171875" bestFit="1" customWidth="1"/>
    <col min="5121" max="5122" width="24.68359375" bestFit="1" customWidth="1"/>
    <col min="5123" max="5123" width="9.83984375" bestFit="1" customWidth="1"/>
    <col min="5124" max="5124" width="14.83984375" customWidth="1"/>
    <col min="5125" max="5125" width="14" customWidth="1"/>
    <col min="5126" max="5126" width="11.578125" bestFit="1" customWidth="1"/>
    <col min="5127" max="5127" width="24.68359375" bestFit="1" customWidth="1"/>
    <col min="5128" max="5129" width="9" bestFit="1" customWidth="1"/>
    <col min="5130" max="5130" width="12.41796875" bestFit="1" customWidth="1"/>
    <col min="5131" max="5131" width="16.68359375" bestFit="1" customWidth="1"/>
    <col min="5132" max="5132" width="18.26171875" bestFit="1" customWidth="1"/>
    <col min="5377" max="5378" width="24.68359375" bestFit="1" customWidth="1"/>
    <col min="5379" max="5379" width="9.83984375" bestFit="1" customWidth="1"/>
    <col min="5380" max="5380" width="14.83984375" customWidth="1"/>
    <col min="5381" max="5381" width="14" customWidth="1"/>
    <col min="5382" max="5382" width="11.578125" bestFit="1" customWidth="1"/>
    <col min="5383" max="5383" width="24.68359375" bestFit="1" customWidth="1"/>
    <col min="5384" max="5385" width="9" bestFit="1" customWidth="1"/>
    <col min="5386" max="5386" width="12.41796875" bestFit="1" customWidth="1"/>
    <col min="5387" max="5387" width="16.68359375" bestFit="1" customWidth="1"/>
    <col min="5388" max="5388" width="18.26171875" bestFit="1" customWidth="1"/>
    <col min="5633" max="5634" width="24.68359375" bestFit="1" customWidth="1"/>
    <col min="5635" max="5635" width="9.83984375" bestFit="1" customWidth="1"/>
    <col min="5636" max="5636" width="14.83984375" customWidth="1"/>
    <col min="5637" max="5637" width="14" customWidth="1"/>
    <col min="5638" max="5638" width="11.578125" bestFit="1" customWidth="1"/>
    <col min="5639" max="5639" width="24.68359375" bestFit="1" customWidth="1"/>
    <col min="5640" max="5641" width="9" bestFit="1" customWidth="1"/>
    <col min="5642" max="5642" width="12.41796875" bestFit="1" customWidth="1"/>
    <col min="5643" max="5643" width="16.68359375" bestFit="1" customWidth="1"/>
    <col min="5644" max="5644" width="18.26171875" bestFit="1" customWidth="1"/>
    <col min="5889" max="5890" width="24.68359375" bestFit="1" customWidth="1"/>
    <col min="5891" max="5891" width="9.83984375" bestFit="1" customWidth="1"/>
    <col min="5892" max="5892" width="14.83984375" customWidth="1"/>
    <col min="5893" max="5893" width="14" customWidth="1"/>
    <col min="5894" max="5894" width="11.578125" bestFit="1" customWidth="1"/>
    <col min="5895" max="5895" width="24.68359375" bestFit="1" customWidth="1"/>
    <col min="5896" max="5897" width="9" bestFit="1" customWidth="1"/>
    <col min="5898" max="5898" width="12.41796875" bestFit="1" customWidth="1"/>
    <col min="5899" max="5899" width="16.68359375" bestFit="1" customWidth="1"/>
    <col min="5900" max="5900" width="18.26171875" bestFit="1" customWidth="1"/>
    <col min="6145" max="6146" width="24.68359375" bestFit="1" customWidth="1"/>
    <col min="6147" max="6147" width="9.83984375" bestFit="1" customWidth="1"/>
    <col min="6148" max="6148" width="14.83984375" customWidth="1"/>
    <col min="6149" max="6149" width="14" customWidth="1"/>
    <col min="6150" max="6150" width="11.578125" bestFit="1" customWidth="1"/>
    <col min="6151" max="6151" width="24.68359375" bestFit="1" customWidth="1"/>
    <col min="6152" max="6153" width="9" bestFit="1" customWidth="1"/>
    <col min="6154" max="6154" width="12.41796875" bestFit="1" customWidth="1"/>
    <col min="6155" max="6155" width="16.68359375" bestFit="1" customWidth="1"/>
    <col min="6156" max="6156" width="18.26171875" bestFit="1" customWidth="1"/>
    <col min="6401" max="6402" width="24.68359375" bestFit="1" customWidth="1"/>
    <col min="6403" max="6403" width="9.83984375" bestFit="1" customWidth="1"/>
    <col min="6404" max="6404" width="14.83984375" customWidth="1"/>
    <col min="6405" max="6405" width="14" customWidth="1"/>
    <col min="6406" max="6406" width="11.578125" bestFit="1" customWidth="1"/>
    <col min="6407" max="6407" width="24.68359375" bestFit="1" customWidth="1"/>
    <col min="6408" max="6409" width="9" bestFit="1" customWidth="1"/>
    <col min="6410" max="6410" width="12.41796875" bestFit="1" customWidth="1"/>
    <col min="6411" max="6411" width="16.68359375" bestFit="1" customWidth="1"/>
    <col min="6412" max="6412" width="18.26171875" bestFit="1" customWidth="1"/>
    <col min="6657" max="6658" width="24.68359375" bestFit="1" customWidth="1"/>
    <col min="6659" max="6659" width="9.83984375" bestFit="1" customWidth="1"/>
    <col min="6660" max="6660" width="14.83984375" customWidth="1"/>
    <col min="6661" max="6661" width="14" customWidth="1"/>
    <col min="6662" max="6662" width="11.578125" bestFit="1" customWidth="1"/>
    <col min="6663" max="6663" width="24.68359375" bestFit="1" customWidth="1"/>
    <col min="6664" max="6665" width="9" bestFit="1" customWidth="1"/>
    <col min="6666" max="6666" width="12.41796875" bestFit="1" customWidth="1"/>
    <col min="6667" max="6667" width="16.68359375" bestFit="1" customWidth="1"/>
    <col min="6668" max="6668" width="18.26171875" bestFit="1" customWidth="1"/>
    <col min="6913" max="6914" width="24.68359375" bestFit="1" customWidth="1"/>
    <col min="6915" max="6915" width="9.83984375" bestFit="1" customWidth="1"/>
    <col min="6916" max="6916" width="14.83984375" customWidth="1"/>
    <col min="6917" max="6917" width="14" customWidth="1"/>
    <col min="6918" max="6918" width="11.578125" bestFit="1" customWidth="1"/>
    <col min="6919" max="6919" width="24.68359375" bestFit="1" customWidth="1"/>
    <col min="6920" max="6921" width="9" bestFit="1" customWidth="1"/>
    <col min="6922" max="6922" width="12.41796875" bestFit="1" customWidth="1"/>
    <col min="6923" max="6923" width="16.68359375" bestFit="1" customWidth="1"/>
    <col min="6924" max="6924" width="18.26171875" bestFit="1" customWidth="1"/>
    <col min="7169" max="7170" width="24.68359375" bestFit="1" customWidth="1"/>
    <col min="7171" max="7171" width="9.83984375" bestFit="1" customWidth="1"/>
    <col min="7172" max="7172" width="14.83984375" customWidth="1"/>
    <col min="7173" max="7173" width="14" customWidth="1"/>
    <col min="7174" max="7174" width="11.578125" bestFit="1" customWidth="1"/>
    <col min="7175" max="7175" width="24.68359375" bestFit="1" customWidth="1"/>
    <col min="7176" max="7177" width="9" bestFit="1" customWidth="1"/>
    <col min="7178" max="7178" width="12.41796875" bestFit="1" customWidth="1"/>
    <col min="7179" max="7179" width="16.68359375" bestFit="1" customWidth="1"/>
    <col min="7180" max="7180" width="18.26171875" bestFit="1" customWidth="1"/>
    <col min="7425" max="7426" width="24.68359375" bestFit="1" customWidth="1"/>
    <col min="7427" max="7427" width="9.83984375" bestFit="1" customWidth="1"/>
    <col min="7428" max="7428" width="14.83984375" customWidth="1"/>
    <col min="7429" max="7429" width="14" customWidth="1"/>
    <col min="7430" max="7430" width="11.578125" bestFit="1" customWidth="1"/>
    <col min="7431" max="7431" width="24.68359375" bestFit="1" customWidth="1"/>
    <col min="7432" max="7433" width="9" bestFit="1" customWidth="1"/>
    <col min="7434" max="7434" width="12.41796875" bestFit="1" customWidth="1"/>
    <col min="7435" max="7435" width="16.68359375" bestFit="1" customWidth="1"/>
    <col min="7436" max="7436" width="18.26171875" bestFit="1" customWidth="1"/>
    <col min="7681" max="7682" width="24.68359375" bestFit="1" customWidth="1"/>
    <col min="7683" max="7683" width="9.83984375" bestFit="1" customWidth="1"/>
    <col min="7684" max="7684" width="14.83984375" customWidth="1"/>
    <col min="7685" max="7685" width="14" customWidth="1"/>
    <col min="7686" max="7686" width="11.578125" bestFit="1" customWidth="1"/>
    <col min="7687" max="7687" width="24.68359375" bestFit="1" customWidth="1"/>
    <col min="7688" max="7689" width="9" bestFit="1" customWidth="1"/>
    <col min="7690" max="7690" width="12.41796875" bestFit="1" customWidth="1"/>
    <col min="7691" max="7691" width="16.68359375" bestFit="1" customWidth="1"/>
    <col min="7692" max="7692" width="18.26171875" bestFit="1" customWidth="1"/>
    <col min="7937" max="7938" width="24.68359375" bestFit="1" customWidth="1"/>
    <col min="7939" max="7939" width="9.83984375" bestFit="1" customWidth="1"/>
    <col min="7940" max="7940" width="14.83984375" customWidth="1"/>
    <col min="7941" max="7941" width="14" customWidth="1"/>
    <col min="7942" max="7942" width="11.578125" bestFit="1" customWidth="1"/>
    <col min="7943" max="7943" width="24.68359375" bestFit="1" customWidth="1"/>
    <col min="7944" max="7945" width="9" bestFit="1" customWidth="1"/>
    <col min="7946" max="7946" width="12.41796875" bestFit="1" customWidth="1"/>
    <col min="7947" max="7947" width="16.68359375" bestFit="1" customWidth="1"/>
    <col min="7948" max="7948" width="18.26171875" bestFit="1" customWidth="1"/>
    <col min="8193" max="8194" width="24.68359375" bestFit="1" customWidth="1"/>
    <col min="8195" max="8195" width="9.83984375" bestFit="1" customWidth="1"/>
    <col min="8196" max="8196" width="14.83984375" customWidth="1"/>
    <col min="8197" max="8197" width="14" customWidth="1"/>
    <col min="8198" max="8198" width="11.578125" bestFit="1" customWidth="1"/>
    <col min="8199" max="8199" width="24.68359375" bestFit="1" customWidth="1"/>
    <col min="8200" max="8201" width="9" bestFit="1" customWidth="1"/>
    <col min="8202" max="8202" width="12.41796875" bestFit="1" customWidth="1"/>
    <col min="8203" max="8203" width="16.68359375" bestFit="1" customWidth="1"/>
    <col min="8204" max="8204" width="18.26171875" bestFit="1" customWidth="1"/>
    <col min="8449" max="8450" width="24.68359375" bestFit="1" customWidth="1"/>
    <col min="8451" max="8451" width="9.83984375" bestFit="1" customWidth="1"/>
    <col min="8452" max="8452" width="14.83984375" customWidth="1"/>
    <col min="8453" max="8453" width="14" customWidth="1"/>
    <col min="8454" max="8454" width="11.578125" bestFit="1" customWidth="1"/>
    <col min="8455" max="8455" width="24.68359375" bestFit="1" customWidth="1"/>
    <col min="8456" max="8457" width="9" bestFit="1" customWidth="1"/>
    <col min="8458" max="8458" width="12.41796875" bestFit="1" customWidth="1"/>
    <col min="8459" max="8459" width="16.68359375" bestFit="1" customWidth="1"/>
    <col min="8460" max="8460" width="18.26171875" bestFit="1" customWidth="1"/>
    <col min="8705" max="8706" width="24.68359375" bestFit="1" customWidth="1"/>
    <col min="8707" max="8707" width="9.83984375" bestFit="1" customWidth="1"/>
    <col min="8708" max="8708" width="14.83984375" customWidth="1"/>
    <col min="8709" max="8709" width="14" customWidth="1"/>
    <col min="8710" max="8710" width="11.578125" bestFit="1" customWidth="1"/>
    <col min="8711" max="8711" width="24.68359375" bestFit="1" customWidth="1"/>
    <col min="8712" max="8713" width="9" bestFit="1" customWidth="1"/>
    <col min="8714" max="8714" width="12.41796875" bestFit="1" customWidth="1"/>
    <col min="8715" max="8715" width="16.68359375" bestFit="1" customWidth="1"/>
    <col min="8716" max="8716" width="18.26171875" bestFit="1" customWidth="1"/>
    <col min="8961" max="8962" width="24.68359375" bestFit="1" customWidth="1"/>
    <col min="8963" max="8963" width="9.83984375" bestFit="1" customWidth="1"/>
    <col min="8964" max="8964" width="14.83984375" customWidth="1"/>
    <col min="8965" max="8965" width="14" customWidth="1"/>
    <col min="8966" max="8966" width="11.578125" bestFit="1" customWidth="1"/>
    <col min="8967" max="8967" width="24.68359375" bestFit="1" customWidth="1"/>
    <col min="8968" max="8969" width="9" bestFit="1" customWidth="1"/>
    <col min="8970" max="8970" width="12.41796875" bestFit="1" customWidth="1"/>
    <col min="8971" max="8971" width="16.68359375" bestFit="1" customWidth="1"/>
    <col min="8972" max="8972" width="18.26171875" bestFit="1" customWidth="1"/>
    <col min="9217" max="9218" width="24.68359375" bestFit="1" customWidth="1"/>
    <col min="9219" max="9219" width="9.83984375" bestFit="1" customWidth="1"/>
    <col min="9220" max="9220" width="14.83984375" customWidth="1"/>
    <col min="9221" max="9221" width="14" customWidth="1"/>
    <col min="9222" max="9222" width="11.578125" bestFit="1" customWidth="1"/>
    <col min="9223" max="9223" width="24.68359375" bestFit="1" customWidth="1"/>
    <col min="9224" max="9225" width="9" bestFit="1" customWidth="1"/>
    <col min="9226" max="9226" width="12.41796875" bestFit="1" customWidth="1"/>
    <col min="9227" max="9227" width="16.68359375" bestFit="1" customWidth="1"/>
    <col min="9228" max="9228" width="18.26171875" bestFit="1" customWidth="1"/>
    <col min="9473" max="9474" width="24.68359375" bestFit="1" customWidth="1"/>
    <col min="9475" max="9475" width="9.83984375" bestFit="1" customWidth="1"/>
    <col min="9476" max="9476" width="14.83984375" customWidth="1"/>
    <col min="9477" max="9477" width="14" customWidth="1"/>
    <col min="9478" max="9478" width="11.578125" bestFit="1" customWidth="1"/>
    <col min="9479" max="9479" width="24.68359375" bestFit="1" customWidth="1"/>
    <col min="9480" max="9481" width="9" bestFit="1" customWidth="1"/>
    <col min="9482" max="9482" width="12.41796875" bestFit="1" customWidth="1"/>
    <col min="9483" max="9483" width="16.68359375" bestFit="1" customWidth="1"/>
    <col min="9484" max="9484" width="18.26171875" bestFit="1" customWidth="1"/>
    <col min="9729" max="9730" width="24.68359375" bestFit="1" customWidth="1"/>
    <col min="9731" max="9731" width="9.83984375" bestFit="1" customWidth="1"/>
    <col min="9732" max="9732" width="14.83984375" customWidth="1"/>
    <col min="9733" max="9733" width="14" customWidth="1"/>
    <col min="9734" max="9734" width="11.578125" bestFit="1" customWidth="1"/>
    <col min="9735" max="9735" width="24.68359375" bestFit="1" customWidth="1"/>
    <col min="9736" max="9737" width="9" bestFit="1" customWidth="1"/>
    <col min="9738" max="9738" width="12.41796875" bestFit="1" customWidth="1"/>
    <col min="9739" max="9739" width="16.68359375" bestFit="1" customWidth="1"/>
    <col min="9740" max="9740" width="18.26171875" bestFit="1" customWidth="1"/>
    <col min="9985" max="9986" width="24.68359375" bestFit="1" customWidth="1"/>
    <col min="9987" max="9987" width="9.83984375" bestFit="1" customWidth="1"/>
    <col min="9988" max="9988" width="14.83984375" customWidth="1"/>
    <col min="9989" max="9989" width="14" customWidth="1"/>
    <col min="9990" max="9990" width="11.578125" bestFit="1" customWidth="1"/>
    <col min="9991" max="9991" width="24.68359375" bestFit="1" customWidth="1"/>
    <col min="9992" max="9993" width="9" bestFit="1" customWidth="1"/>
    <col min="9994" max="9994" width="12.41796875" bestFit="1" customWidth="1"/>
    <col min="9995" max="9995" width="16.68359375" bestFit="1" customWidth="1"/>
    <col min="9996" max="9996" width="18.26171875" bestFit="1" customWidth="1"/>
    <col min="10241" max="10242" width="24.68359375" bestFit="1" customWidth="1"/>
    <col min="10243" max="10243" width="9.83984375" bestFit="1" customWidth="1"/>
    <col min="10244" max="10244" width="14.83984375" customWidth="1"/>
    <col min="10245" max="10245" width="14" customWidth="1"/>
    <col min="10246" max="10246" width="11.578125" bestFit="1" customWidth="1"/>
    <col min="10247" max="10247" width="24.68359375" bestFit="1" customWidth="1"/>
    <col min="10248" max="10249" width="9" bestFit="1" customWidth="1"/>
    <col min="10250" max="10250" width="12.41796875" bestFit="1" customWidth="1"/>
    <col min="10251" max="10251" width="16.68359375" bestFit="1" customWidth="1"/>
    <col min="10252" max="10252" width="18.26171875" bestFit="1" customWidth="1"/>
    <col min="10497" max="10498" width="24.68359375" bestFit="1" customWidth="1"/>
    <col min="10499" max="10499" width="9.83984375" bestFit="1" customWidth="1"/>
    <col min="10500" max="10500" width="14.83984375" customWidth="1"/>
    <col min="10501" max="10501" width="14" customWidth="1"/>
    <col min="10502" max="10502" width="11.578125" bestFit="1" customWidth="1"/>
    <col min="10503" max="10503" width="24.68359375" bestFit="1" customWidth="1"/>
    <col min="10504" max="10505" width="9" bestFit="1" customWidth="1"/>
    <col min="10506" max="10506" width="12.41796875" bestFit="1" customWidth="1"/>
    <col min="10507" max="10507" width="16.68359375" bestFit="1" customWidth="1"/>
    <col min="10508" max="10508" width="18.26171875" bestFit="1" customWidth="1"/>
    <col min="10753" max="10754" width="24.68359375" bestFit="1" customWidth="1"/>
    <col min="10755" max="10755" width="9.83984375" bestFit="1" customWidth="1"/>
    <col min="10756" max="10756" width="14.83984375" customWidth="1"/>
    <col min="10757" max="10757" width="14" customWidth="1"/>
    <col min="10758" max="10758" width="11.578125" bestFit="1" customWidth="1"/>
    <col min="10759" max="10759" width="24.68359375" bestFit="1" customWidth="1"/>
    <col min="10760" max="10761" width="9" bestFit="1" customWidth="1"/>
    <col min="10762" max="10762" width="12.41796875" bestFit="1" customWidth="1"/>
    <col min="10763" max="10763" width="16.68359375" bestFit="1" customWidth="1"/>
    <col min="10764" max="10764" width="18.26171875" bestFit="1" customWidth="1"/>
    <col min="11009" max="11010" width="24.68359375" bestFit="1" customWidth="1"/>
    <col min="11011" max="11011" width="9.83984375" bestFit="1" customWidth="1"/>
    <col min="11012" max="11012" width="14.83984375" customWidth="1"/>
    <col min="11013" max="11013" width="14" customWidth="1"/>
    <col min="11014" max="11014" width="11.578125" bestFit="1" customWidth="1"/>
    <col min="11015" max="11015" width="24.68359375" bestFit="1" customWidth="1"/>
    <col min="11016" max="11017" width="9" bestFit="1" customWidth="1"/>
    <col min="11018" max="11018" width="12.41796875" bestFit="1" customWidth="1"/>
    <col min="11019" max="11019" width="16.68359375" bestFit="1" customWidth="1"/>
    <col min="11020" max="11020" width="18.26171875" bestFit="1" customWidth="1"/>
    <col min="11265" max="11266" width="24.68359375" bestFit="1" customWidth="1"/>
    <col min="11267" max="11267" width="9.83984375" bestFit="1" customWidth="1"/>
    <col min="11268" max="11268" width="14.83984375" customWidth="1"/>
    <col min="11269" max="11269" width="14" customWidth="1"/>
    <col min="11270" max="11270" width="11.578125" bestFit="1" customWidth="1"/>
    <col min="11271" max="11271" width="24.68359375" bestFit="1" customWidth="1"/>
    <col min="11272" max="11273" width="9" bestFit="1" customWidth="1"/>
    <col min="11274" max="11274" width="12.41796875" bestFit="1" customWidth="1"/>
    <col min="11275" max="11275" width="16.68359375" bestFit="1" customWidth="1"/>
    <col min="11276" max="11276" width="18.26171875" bestFit="1" customWidth="1"/>
    <col min="11521" max="11522" width="24.68359375" bestFit="1" customWidth="1"/>
    <col min="11523" max="11523" width="9.83984375" bestFit="1" customWidth="1"/>
    <col min="11524" max="11524" width="14.83984375" customWidth="1"/>
    <col min="11525" max="11525" width="14" customWidth="1"/>
    <col min="11526" max="11526" width="11.578125" bestFit="1" customWidth="1"/>
    <col min="11527" max="11527" width="24.68359375" bestFit="1" customWidth="1"/>
    <col min="11528" max="11529" width="9" bestFit="1" customWidth="1"/>
    <col min="11530" max="11530" width="12.41796875" bestFit="1" customWidth="1"/>
    <col min="11531" max="11531" width="16.68359375" bestFit="1" customWidth="1"/>
    <col min="11532" max="11532" width="18.26171875" bestFit="1" customWidth="1"/>
    <col min="11777" max="11778" width="24.68359375" bestFit="1" customWidth="1"/>
    <col min="11779" max="11779" width="9.83984375" bestFit="1" customWidth="1"/>
    <col min="11780" max="11780" width="14.83984375" customWidth="1"/>
    <col min="11781" max="11781" width="14" customWidth="1"/>
    <col min="11782" max="11782" width="11.578125" bestFit="1" customWidth="1"/>
    <col min="11783" max="11783" width="24.68359375" bestFit="1" customWidth="1"/>
    <col min="11784" max="11785" width="9" bestFit="1" customWidth="1"/>
    <col min="11786" max="11786" width="12.41796875" bestFit="1" customWidth="1"/>
    <col min="11787" max="11787" width="16.68359375" bestFit="1" customWidth="1"/>
    <col min="11788" max="11788" width="18.26171875" bestFit="1" customWidth="1"/>
    <col min="12033" max="12034" width="24.68359375" bestFit="1" customWidth="1"/>
    <col min="12035" max="12035" width="9.83984375" bestFit="1" customWidth="1"/>
    <col min="12036" max="12036" width="14.83984375" customWidth="1"/>
    <col min="12037" max="12037" width="14" customWidth="1"/>
    <col min="12038" max="12038" width="11.578125" bestFit="1" customWidth="1"/>
    <col min="12039" max="12039" width="24.68359375" bestFit="1" customWidth="1"/>
    <col min="12040" max="12041" width="9" bestFit="1" customWidth="1"/>
    <col min="12042" max="12042" width="12.41796875" bestFit="1" customWidth="1"/>
    <col min="12043" max="12043" width="16.68359375" bestFit="1" customWidth="1"/>
    <col min="12044" max="12044" width="18.26171875" bestFit="1" customWidth="1"/>
    <col min="12289" max="12290" width="24.68359375" bestFit="1" customWidth="1"/>
    <col min="12291" max="12291" width="9.83984375" bestFit="1" customWidth="1"/>
    <col min="12292" max="12292" width="14.83984375" customWidth="1"/>
    <col min="12293" max="12293" width="14" customWidth="1"/>
    <col min="12294" max="12294" width="11.578125" bestFit="1" customWidth="1"/>
    <col min="12295" max="12295" width="24.68359375" bestFit="1" customWidth="1"/>
    <col min="12296" max="12297" width="9" bestFit="1" customWidth="1"/>
    <col min="12298" max="12298" width="12.41796875" bestFit="1" customWidth="1"/>
    <col min="12299" max="12299" width="16.68359375" bestFit="1" customWidth="1"/>
    <col min="12300" max="12300" width="18.26171875" bestFit="1" customWidth="1"/>
    <col min="12545" max="12546" width="24.68359375" bestFit="1" customWidth="1"/>
    <col min="12547" max="12547" width="9.83984375" bestFit="1" customWidth="1"/>
    <col min="12548" max="12548" width="14.83984375" customWidth="1"/>
    <col min="12549" max="12549" width="14" customWidth="1"/>
    <col min="12550" max="12550" width="11.578125" bestFit="1" customWidth="1"/>
    <col min="12551" max="12551" width="24.68359375" bestFit="1" customWidth="1"/>
    <col min="12552" max="12553" width="9" bestFit="1" customWidth="1"/>
    <col min="12554" max="12554" width="12.41796875" bestFit="1" customWidth="1"/>
    <col min="12555" max="12555" width="16.68359375" bestFit="1" customWidth="1"/>
    <col min="12556" max="12556" width="18.26171875" bestFit="1" customWidth="1"/>
    <col min="12801" max="12802" width="24.68359375" bestFit="1" customWidth="1"/>
    <col min="12803" max="12803" width="9.83984375" bestFit="1" customWidth="1"/>
    <col min="12804" max="12804" width="14.83984375" customWidth="1"/>
    <col min="12805" max="12805" width="14" customWidth="1"/>
    <col min="12806" max="12806" width="11.578125" bestFit="1" customWidth="1"/>
    <col min="12807" max="12807" width="24.68359375" bestFit="1" customWidth="1"/>
    <col min="12808" max="12809" width="9" bestFit="1" customWidth="1"/>
    <col min="12810" max="12810" width="12.41796875" bestFit="1" customWidth="1"/>
    <col min="12811" max="12811" width="16.68359375" bestFit="1" customWidth="1"/>
    <col min="12812" max="12812" width="18.26171875" bestFit="1" customWidth="1"/>
    <col min="13057" max="13058" width="24.68359375" bestFit="1" customWidth="1"/>
    <col min="13059" max="13059" width="9.83984375" bestFit="1" customWidth="1"/>
    <col min="13060" max="13060" width="14.83984375" customWidth="1"/>
    <col min="13061" max="13061" width="14" customWidth="1"/>
    <col min="13062" max="13062" width="11.578125" bestFit="1" customWidth="1"/>
    <col min="13063" max="13063" width="24.68359375" bestFit="1" customWidth="1"/>
    <col min="13064" max="13065" width="9" bestFit="1" customWidth="1"/>
    <col min="13066" max="13066" width="12.41796875" bestFit="1" customWidth="1"/>
    <col min="13067" max="13067" width="16.68359375" bestFit="1" customWidth="1"/>
    <col min="13068" max="13068" width="18.26171875" bestFit="1" customWidth="1"/>
    <col min="13313" max="13314" width="24.68359375" bestFit="1" customWidth="1"/>
    <col min="13315" max="13315" width="9.83984375" bestFit="1" customWidth="1"/>
    <col min="13316" max="13316" width="14.83984375" customWidth="1"/>
    <col min="13317" max="13317" width="14" customWidth="1"/>
    <col min="13318" max="13318" width="11.578125" bestFit="1" customWidth="1"/>
    <col min="13319" max="13319" width="24.68359375" bestFit="1" customWidth="1"/>
    <col min="13320" max="13321" width="9" bestFit="1" customWidth="1"/>
    <col min="13322" max="13322" width="12.41796875" bestFit="1" customWidth="1"/>
    <col min="13323" max="13323" width="16.68359375" bestFit="1" customWidth="1"/>
    <col min="13324" max="13324" width="18.26171875" bestFit="1" customWidth="1"/>
    <col min="13569" max="13570" width="24.68359375" bestFit="1" customWidth="1"/>
    <col min="13571" max="13571" width="9.83984375" bestFit="1" customWidth="1"/>
    <col min="13572" max="13572" width="14.83984375" customWidth="1"/>
    <col min="13573" max="13573" width="14" customWidth="1"/>
    <col min="13574" max="13574" width="11.578125" bestFit="1" customWidth="1"/>
    <col min="13575" max="13575" width="24.68359375" bestFit="1" customWidth="1"/>
    <col min="13576" max="13577" width="9" bestFit="1" customWidth="1"/>
    <col min="13578" max="13578" width="12.41796875" bestFit="1" customWidth="1"/>
    <col min="13579" max="13579" width="16.68359375" bestFit="1" customWidth="1"/>
    <col min="13580" max="13580" width="18.26171875" bestFit="1" customWidth="1"/>
    <col min="13825" max="13826" width="24.68359375" bestFit="1" customWidth="1"/>
    <col min="13827" max="13827" width="9.83984375" bestFit="1" customWidth="1"/>
    <col min="13828" max="13828" width="14.83984375" customWidth="1"/>
    <col min="13829" max="13829" width="14" customWidth="1"/>
    <col min="13830" max="13830" width="11.578125" bestFit="1" customWidth="1"/>
    <col min="13831" max="13831" width="24.68359375" bestFit="1" customWidth="1"/>
    <col min="13832" max="13833" width="9" bestFit="1" customWidth="1"/>
    <col min="13834" max="13834" width="12.41796875" bestFit="1" customWidth="1"/>
    <col min="13835" max="13835" width="16.68359375" bestFit="1" customWidth="1"/>
    <col min="13836" max="13836" width="18.26171875" bestFit="1" customWidth="1"/>
    <col min="14081" max="14082" width="24.68359375" bestFit="1" customWidth="1"/>
    <col min="14083" max="14083" width="9.83984375" bestFit="1" customWidth="1"/>
    <col min="14084" max="14084" width="14.83984375" customWidth="1"/>
    <col min="14085" max="14085" width="14" customWidth="1"/>
    <col min="14086" max="14086" width="11.578125" bestFit="1" customWidth="1"/>
    <col min="14087" max="14087" width="24.68359375" bestFit="1" customWidth="1"/>
    <col min="14088" max="14089" width="9" bestFit="1" customWidth="1"/>
    <col min="14090" max="14090" width="12.41796875" bestFit="1" customWidth="1"/>
    <col min="14091" max="14091" width="16.68359375" bestFit="1" customWidth="1"/>
    <col min="14092" max="14092" width="18.26171875" bestFit="1" customWidth="1"/>
    <col min="14337" max="14338" width="24.68359375" bestFit="1" customWidth="1"/>
    <col min="14339" max="14339" width="9.83984375" bestFit="1" customWidth="1"/>
    <col min="14340" max="14340" width="14.83984375" customWidth="1"/>
    <col min="14341" max="14341" width="14" customWidth="1"/>
    <col min="14342" max="14342" width="11.578125" bestFit="1" customWidth="1"/>
    <col min="14343" max="14343" width="24.68359375" bestFit="1" customWidth="1"/>
    <col min="14344" max="14345" width="9" bestFit="1" customWidth="1"/>
    <col min="14346" max="14346" width="12.41796875" bestFit="1" customWidth="1"/>
    <col min="14347" max="14347" width="16.68359375" bestFit="1" customWidth="1"/>
    <col min="14348" max="14348" width="18.26171875" bestFit="1" customWidth="1"/>
    <col min="14593" max="14594" width="24.68359375" bestFit="1" customWidth="1"/>
    <col min="14595" max="14595" width="9.83984375" bestFit="1" customWidth="1"/>
    <col min="14596" max="14596" width="14.83984375" customWidth="1"/>
    <col min="14597" max="14597" width="14" customWidth="1"/>
    <col min="14598" max="14598" width="11.578125" bestFit="1" customWidth="1"/>
    <col min="14599" max="14599" width="24.68359375" bestFit="1" customWidth="1"/>
    <col min="14600" max="14601" width="9" bestFit="1" customWidth="1"/>
    <col min="14602" max="14602" width="12.41796875" bestFit="1" customWidth="1"/>
    <col min="14603" max="14603" width="16.68359375" bestFit="1" customWidth="1"/>
    <col min="14604" max="14604" width="18.26171875" bestFit="1" customWidth="1"/>
    <col min="14849" max="14850" width="24.68359375" bestFit="1" customWidth="1"/>
    <col min="14851" max="14851" width="9.83984375" bestFit="1" customWidth="1"/>
    <col min="14852" max="14852" width="14.83984375" customWidth="1"/>
    <col min="14853" max="14853" width="14" customWidth="1"/>
    <col min="14854" max="14854" width="11.578125" bestFit="1" customWidth="1"/>
    <col min="14855" max="14855" width="24.68359375" bestFit="1" customWidth="1"/>
    <col min="14856" max="14857" width="9" bestFit="1" customWidth="1"/>
    <col min="14858" max="14858" width="12.41796875" bestFit="1" customWidth="1"/>
    <col min="14859" max="14859" width="16.68359375" bestFit="1" customWidth="1"/>
    <col min="14860" max="14860" width="18.26171875" bestFit="1" customWidth="1"/>
    <col min="15105" max="15106" width="24.68359375" bestFit="1" customWidth="1"/>
    <col min="15107" max="15107" width="9.83984375" bestFit="1" customWidth="1"/>
    <col min="15108" max="15108" width="14.83984375" customWidth="1"/>
    <col min="15109" max="15109" width="14" customWidth="1"/>
    <col min="15110" max="15110" width="11.578125" bestFit="1" customWidth="1"/>
    <col min="15111" max="15111" width="24.68359375" bestFit="1" customWidth="1"/>
    <col min="15112" max="15113" width="9" bestFit="1" customWidth="1"/>
    <col min="15114" max="15114" width="12.41796875" bestFit="1" customWidth="1"/>
    <col min="15115" max="15115" width="16.68359375" bestFit="1" customWidth="1"/>
    <col min="15116" max="15116" width="18.26171875" bestFit="1" customWidth="1"/>
    <col min="15361" max="15362" width="24.68359375" bestFit="1" customWidth="1"/>
    <col min="15363" max="15363" width="9.83984375" bestFit="1" customWidth="1"/>
    <col min="15364" max="15364" width="14.83984375" customWidth="1"/>
    <col min="15365" max="15365" width="14" customWidth="1"/>
    <col min="15366" max="15366" width="11.578125" bestFit="1" customWidth="1"/>
    <col min="15367" max="15367" width="24.68359375" bestFit="1" customWidth="1"/>
    <col min="15368" max="15369" width="9" bestFit="1" customWidth="1"/>
    <col min="15370" max="15370" width="12.41796875" bestFit="1" customWidth="1"/>
    <col min="15371" max="15371" width="16.68359375" bestFit="1" customWidth="1"/>
    <col min="15372" max="15372" width="18.26171875" bestFit="1" customWidth="1"/>
    <col min="15617" max="15618" width="24.68359375" bestFit="1" customWidth="1"/>
    <col min="15619" max="15619" width="9.83984375" bestFit="1" customWidth="1"/>
    <col min="15620" max="15620" width="14.83984375" customWidth="1"/>
    <col min="15621" max="15621" width="14" customWidth="1"/>
    <col min="15622" max="15622" width="11.578125" bestFit="1" customWidth="1"/>
    <col min="15623" max="15623" width="24.68359375" bestFit="1" customWidth="1"/>
    <col min="15624" max="15625" width="9" bestFit="1" customWidth="1"/>
    <col min="15626" max="15626" width="12.41796875" bestFit="1" customWidth="1"/>
    <col min="15627" max="15627" width="16.68359375" bestFit="1" customWidth="1"/>
    <col min="15628" max="15628" width="18.26171875" bestFit="1" customWidth="1"/>
    <col min="15873" max="15874" width="24.68359375" bestFit="1" customWidth="1"/>
    <col min="15875" max="15875" width="9.83984375" bestFit="1" customWidth="1"/>
    <col min="15876" max="15876" width="14.83984375" customWidth="1"/>
    <col min="15877" max="15877" width="14" customWidth="1"/>
    <col min="15878" max="15878" width="11.578125" bestFit="1" customWidth="1"/>
    <col min="15879" max="15879" width="24.68359375" bestFit="1" customWidth="1"/>
    <col min="15880" max="15881" width="9" bestFit="1" customWidth="1"/>
    <col min="15882" max="15882" width="12.41796875" bestFit="1" customWidth="1"/>
    <col min="15883" max="15883" width="16.68359375" bestFit="1" customWidth="1"/>
    <col min="15884" max="15884" width="18.26171875" bestFit="1" customWidth="1"/>
    <col min="16129" max="16130" width="24.68359375" bestFit="1" customWidth="1"/>
    <col min="16131" max="16131" width="9.83984375" bestFit="1" customWidth="1"/>
    <col min="16132" max="16132" width="14.83984375" customWidth="1"/>
    <col min="16133" max="16133" width="14" customWidth="1"/>
    <col min="16134" max="16134" width="11.578125" bestFit="1" customWidth="1"/>
    <col min="16135" max="16135" width="24.68359375" bestFit="1" customWidth="1"/>
    <col min="16136" max="16137" width="9" bestFit="1" customWidth="1"/>
    <col min="16138" max="16138" width="12.41796875" bestFit="1" customWidth="1"/>
    <col min="16139" max="16139" width="16.68359375" bestFit="1" customWidth="1"/>
    <col min="16140" max="16140" width="18.26171875" bestFit="1" customWidth="1"/>
  </cols>
  <sheetData>
    <row r="1" spans="1:6" x14ac:dyDescent="0.55000000000000004">
      <c r="A1" s="38" t="s">
        <v>316</v>
      </c>
      <c r="B1" s="38"/>
      <c r="C1" s="38"/>
      <c r="D1" s="38"/>
      <c r="E1" s="38"/>
      <c r="F1" s="38"/>
    </row>
    <row r="2" spans="1:6" x14ac:dyDescent="0.55000000000000004">
      <c r="A2" s="38" t="s">
        <v>317</v>
      </c>
      <c r="B2" s="38"/>
      <c r="C2" s="38"/>
      <c r="D2" s="38"/>
      <c r="E2" s="38"/>
      <c r="F2" s="38"/>
    </row>
    <row r="5" spans="1:6" x14ac:dyDescent="0.55000000000000004">
      <c r="A5" s="39" t="s">
        <v>318</v>
      </c>
      <c r="B5" s="39"/>
      <c r="C5" s="39"/>
      <c r="D5" s="39"/>
    </row>
    <row r="6" spans="1:6" x14ac:dyDescent="0.55000000000000004">
      <c r="A6" s="12" t="s">
        <v>319</v>
      </c>
      <c r="B6" s="12" t="s">
        <v>320</v>
      </c>
    </row>
    <row r="7" spans="1:6" x14ac:dyDescent="0.55000000000000004">
      <c r="A7" s="14" t="s">
        <v>321</v>
      </c>
      <c r="B7" s="14" t="s">
        <v>322</v>
      </c>
    </row>
    <row r="8" spans="1:6" x14ac:dyDescent="0.55000000000000004">
      <c r="A8" s="14" t="s">
        <v>323</v>
      </c>
      <c r="B8" s="14" t="s">
        <v>324</v>
      </c>
    </row>
    <row r="9" spans="1:6" x14ac:dyDescent="0.55000000000000004">
      <c r="A9" s="14" t="s">
        <v>325</v>
      </c>
      <c r="B9" s="14" t="s">
        <v>326</v>
      </c>
    </row>
    <row r="10" spans="1:6" x14ac:dyDescent="0.55000000000000004">
      <c r="A10" s="14" t="s">
        <v>327</v>
      </c>
      <c r="B10" s="14" t="s">
        <v>328</v>
      </c>
    </row>
    <row r="12" spans="1:6" x14ac:dyDescent="0.55000000000000004">
      <c r="A12" s="40" t="s">
        <v>329</v>
      </c>
      <c r="B12" s="40" t="str">
        <f>A6</f>
        <v>Producer</v>
      </c>
    </row>
    <row r="13" spans="1:6" x14ac:dyDescent="0.55000000000000004">
      <c r="A13" s="14" t="s">
        <v>330</v>
      </c>
      <c r="B13" s="19" t="str">
        <f>VLOOKUP("*"&amp;A13&amp;"*",A6:B10,2,0)</f>
        <v>Good Beer</v>
      </c>
    </row>
    <row r="14" spans="1:6" x14ac:dyDescent="0.55000000000000004">
      <c r="A14" s="14" t="s">
        <v>323</v>
      </c>
      <c r="B14" s="19" t="str">
        <f t="shared" ref="B14:B16" si="0">VLOOKUP("*"&amp;A14&amp;"*",A7:B11,2,0)</f>
        <v>Long Hammer</v>
      </c>
    </row>
    <row r="15" spans="1:6" x14ac:dyDescent="0.55000000000000004">
      <c r="A15" s="14" t="s">
        <v>331</v>
      </c>
      <c r="B15" s="19" t="str">
        <f t="shared" si="0"/>
        <v>IPA</v>
      </c>
    </row>
    <row r="16" spans="1:6" x14ac:dyDescent="0.55000000000000004">
      <c r="A16" s="14" t="s">
        <v>332</v>
      </c>
      <c r="B16" s="19" t="str">
        <f t="shared" si="0"/>
        <v>Pale Ale</v>
      </c>
    </row>
    <row r="18" spans="1:1" x14ac:dyDescent="0.55000000000000004">
      <c r="A18" s="63" t="s">
        <v>411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K35"/>
  <sheetViews>
    <sheetView topLeftCell="A13" zoomScale="90" zoomScaleNormal="90" workbookViewId="0">
      <selection activeCell="B22" sqref="B22"/>
    </sheetView>
  </sheetViews>
  <sheetFormatPr defaultRowHeight="14.4" x14ac:dyDescent="0.55000000000000004"/>
  <cols>
    <col min="1" max="1" width="2.83984375" bestFit="1" customWidth="1"/>
    <col min="2" max="2" width="14.68359375" customWidth="1"/>
    <col min="3" max="3" width="9.26171875" bestFit="1" customWidth="1"/>
    <col min="4" max="4" width="19.15625" bestFit="1" customWidth="1"/>
    <col min="5" max="5" width="9.15625" customWidth="1"/>
    <col min="6" max="6" width="11.15625" customWidth="1"/>
    <col min="7" max="7" width="10.68359375" bestFit="1" customWidth="1"/>
    <col min="8" max="8" width="10.41796875" bestFit="1" customWidth="1"/>
    <col min="9" max="9" width="11.41796875" bestFit="1" customWidth="1"/>
    <col min="10" max="13" width="9.68359375" bestFit="1" customWidth="1"/>
    <col min="257" max="257" width="2.83984375" bestFit="1" customWidth="1"/>
    <col min="258" max="258" width="9.83984375" bestFit="1" customWidth="1"/>
    <col min="259" max="259" width="9.26171875" bestFit="1" customWidth="1"/>
    <col min="260" max="260" width="19.15625" bestFit="1" customWidth="1"/>
    <col min="261" max="261" width="9.15625" customWidth="1"/>
    <col min="262" max="262" width="11.15625" customWidth="1"/>
    <col min="263" max="263" width="10.68359375" bestFit="1" customWidth="1"/>
    <col min="264" max="264" width="10.41796875" bestFit="1" customWidth="1"/>
    <col min="265" max="265" width="11.41796875" bestFit="1" customWidth="1"/>
    <col min="266" max="269" width="9.68359375" bestFit="1" customWidth="1"/>
    <col min="513" max="513" width="2.83984375" bestFit="1" customWidth="1"/>
    <col min="514" max="514" width="9.83984375" bestFit="1" customWidth="1"/>
    <col min="515" max="515" width="9.26171875" bestFit="1" customWidth="1"/>
    <col min="516" max="516" width="19.15625" bestFit="1" customWidth="1"/>
    <col min="517" max="517" width="9.15625" customWidth="1"/>
    <col min="518" max="518" width="11.15625" customWidth="1"/>
    <col min="519" max="519" width="10.68359375" bestFit="1" customWidth="1"/>
    <col min="520" max="520" width="10.41796875" bestFit="1" customWidth="1"/>
    <col min="521" max="521" width="11.41796875" bestFit="1" customWidth="1"/>
    <col min="522" max="525" width="9.68359375" bestFit="1" customWidth="1"/>
    <col min="769" max="769" width="2.83984375" bestFit="1" customWidth="1"/>
    <col min="770" max="770" width="9.83984375" bestFit="1" customWidth="1"/>
    <col min="771" max="771" width="9.26171875" bestFit="1" customWidth="1"/>
    <col min="772" max="772" width="19.15625" bestFit="1" customWidth="1"/>
    <col min="773" max="773" width="9.15625" customWidth="1"/>
    <col min="774" max="774" width="11.15625" customWidth="1"/>
    <col min="775" max="775" width="10.68359375" bestFit="1" customWidth="1"/>
    <col min="776" max="776" width="10.41796875" bestFit="1" customWidth="1"/>
    <col min="777" max="777" width="11.41796875" bestFit="1" customWidth="1"/>
    <col min="778" max="781" width="9.68359375" bestFit="1" customWidth="1"/>
    <col min="1025" max="1025" width="2.83984375" bestFit="1" customWidth="1"/>
    <col min="1026" max="1026" width="9.83984375" bestFit="1" customWidth="1"/>
    <col min="1027" max="1027" width="9.26171875" bestFit="1" customWidth="1"/>
    <col min="1028" max="1028" width="19.15625" bestFit="1" customWidth="1"/>
    <col min="1029" max="1029" width="9.15625" customWidth="1"/>
    <col min="1030" max="1030" width="11.15625" customWidth="1"/>
    <col min="1031" max="1031" width="10.68359375" bestFit="1" customWidth="1"/>
    <col min="1032" max="1032" width="10.41796875" bestFit="1" customWidth="1"/>
    <col min="1033" max="1033" width="11.41796875" bestFit="1" customWidth="1"/>
    <col min="1034" max="1037" width="9.68359375" bestFit="1" customWidth="1"/>
    <col min="1281" max="1281" width="2.83984375" bestFit="1" customWidth="1"/>
    <col min="1282" max="1282" width="9.83984375" bestFit="1" customWidth="1"/>
    <col min="1283" max="1283" width="9.26171875" bestFit="1" customWidth="1"/>
    <col min="1284" max="1284" width="19.15625" bestFit="1" customWidth="1"/>
    <col min="1285" max="1285" width="9.15625" customWidth="1"/>
    <col min="1286" max="1286" width="11.15625" customWidth="1"/>
    <col min="1287" max="1287" width="10.68359375" bestFit="1" customWidth="1"/>
    <col min="1288" max="1288" width="10.41796875" bestFit="1" customWidth="1"/>
    <col min="1289" max="1289" width="11.41796875" bestFit="1" customWidth="1"/>
    <col min="1290" max="1293" width="9.68359375" bestFit="1" customWidth="1"/>
    <col min="1537" max="1537" width="2.83984375" bestFit="1" customWidth="1"/>
    <col min="1538" max="1538" width="9.83984375" bestFit="1" customWidth="1"/>
    <col min="1539" max="1539" width="9.26171875" bestFit="1" customWidth="1"/>
    <col min="1540" max="1540" width="19.15625" bestFit="1" customWidth="1"/>
    <col min="1541" max="1541" width="9.15625" customWidth="1"/>
    <col min="1542" max="1542" width="11.15625" customWidth="1"/>
    <col min="1543" max="1543" width="10.68359375" bestFit="1" customWidth="1"/>
    <col min="1544" max="1544" width="10.41796875" bestFit="1" customWidth="1"/>
    <col min="1545" max="1545" width="11.41796875" bestFit="1" customWidth="1"/>
    <col min="1546" max="1549" width="9.68359375" bestFit="1" customWidth="1"/>
    <col min="1793" max="1793" width="2.83984375" bestFit="1" customWidth="1"/>
    <col min="1794" max="1794" width="9.83984375" bestFit="1" customWidth="1"/>
    <col min="1795" max="1795" width="9.26171875" bestFit="1" customWidth="1"/>
    <col min="1796" max="1796" width="19.15625" bestFit="1" customWidth="1"/>
    <col min="1797" max="1797" width="9.15625" customWidth="1"/>
    <col min="1798" max="1798" width="11.15625" customWidth="1"/>
    <col min="1799" max="1799" width="10.68359375" bestFit="1" customWidth="1"/>
    <col min="1800" max="1800" width="10.41796875" bestFit="1" customWidth="1"/>
    <col min="1801" max="1801" width="11.41796875" bestFit="1" customWidth="1"/>
    <col min="1802" max="1805" width="9.68359375" bestFit="1" customWidth="1"/>
    <col min="2049" max="2049" width="2.83984375" bestFit="1" customWidth="1"/>
    <col min="2050" max="2050" width="9.83984375" bestFit="1" customWidth="1"/>
    <col min="2051" max="2051" width="9.26171875" bestFit="1" customWidth="1"/>
    <col min="2052" max="2052" width="19.15625" bestFit="1" customWidth="1"/>
    <col min="2053" max="2053" width="9.15625" customWidth="1"/>
    <col min="2054" max="2054" width="11.15625" customWidth="1"/>
    <col min="2055" max="2055" width="10.68359375" bestFit="1" customWidth="1"/>
    <col min="2056" max="2056" width="10.41796875" bestFit="1" customWidth="1"/>
    <col min="2057" max="2057" width="11.41796875" bestFit="1" customWidth="1"/>
    <col min="2058" max="2061" width="9.68359375" bestFit="1" customWidth="1"/>
    <col min="2305" max="2305" width="2.83984375" bestFit="1" customWidth="1"/>
    <col min="2306" max="2306" width="9.83984375" bestFit="1" customWidth="1"/>
    <col min="2307" max="2307" width="9.26171875" bestFit="1" customWidth="1"/>
    <col min="2308" max="2308" width="19.15625" bestFit="1" customWidth="1"/>
    <col min="2309" max="2309" width="9.15625" customWidth="1"/>
    <col min="2310" max="2310" width="11.15625" customWidth="1"/>
    <col min="2311" max="2311" width="10.68359375" bestFit="1" customWidth="1"/>
    <col min="2312" max="2312" width="10.41796875" bestFit="1" customWidth="1"/>
    <col min="2313" max="2313" width="11.41796875" bestFit="1" customWidth="1"/>
    <col min="2314" max="2317" width="9.68359375" bestFit="1" customWidth="1"/>
    <col min="2561" max="2561" width="2.83984375" bestFit="1" customWidth="1"/>
    <col min="2562" max="2562" width="9.83984375" bestFit="1" customWidth="1"/>
    <col min="2563" max="2563" width="9.26171875" bestFit="1" customWidth="1"/>
    <col min="2564" max="2564" width="19.15625" bestFit="1" customWidth="1"/>
    <col min="2565" max="2565" width="9.15625" customWidth="1"/>
    <col min="2566" max="2566" width="11.15625" customWidth="1"/>
    <col min="2567" max="2567" width="10.68359375" bestFit="1" customWidth="1"/>
    <col min="2568" max="2568" width="10.41796875" bestFit="1" customWidth="1"/>
    <col min="2569" max="2569" width="11.41796875" bestFit="1" customWidth="1"/>
    <col min="2570" max="2573" width="9.68359375" bestFit="1" customWidth="1"/>
    <col min="2817" max="2817" width="2.83984375" bestFit="1" customWidth="1"/>
    <col min="2818" max="2818" width="9.83984375" bestFit="1" customWidth="1"/>
    <col min="2819" max="2819" width="9.26171875" bestFit="1" customWidth="1"/>
    <col min="2820" max="2820" width="19.15625" bestFit="1" customWidth="1"/>
    <col min="2821" max="2821" width="9.15625" customWidth="1"/>
    <col min="2822" max="2822" width="11.15625" customWidth="1"/>
    <col min="2823" max="2823" width="10.68359375" bestFit="1" customWidth="1"/>
    <col min="2824" max="2824" width="10.41796875" bestFit="1" customWidth="1"/>
    <col min="2825" max="2825" width="11.41796875" bestFit="1" customWidth="1"/>
    <col min="2826" max="2829" width="9.68359375" bestFit="1" customWidth="1"/>
    <col min="3073" max="3073" width="2.83984375" bestFit="1" customWidth="1"/>
    <col min="3074" max="3074" width="9.83984375" bestFit="1" customWidth="1"/>
    <col min="3075" max="3075" width="9.26171875" bestFit="1" customWidth="1"/>
    <col min="3076" max="3076" width="19.15625" bestFit="1" customWidth="1"/>
    <col min="3077" max="3077" width="9.15625" customWidth="1"/>
    <col min="3078" max="3078" width="11.15625" customWidth="1"/>
    <col min="3079" max="3079" width="10.68359375" bestFit="1" customWidth="1"/>
    <col min="3080" max="3080" width="10.41796875" bestFit="1" customWidth="1"/>
    <col min="3081" max="3081" width="11.41796875" bestFit="1" customWidth="1"/>
    <col min="3082" max="3085" width="9.68359375" bestFit="1" customWidth="1"/>
    <col min="3329" max="3329" width="2.83984375" bestFit="1" customWidth="1"/>
    <col min="3330" max="3330" width="9.83984375" bestFit="1" customWidth="1"/>
    <col min="3331" max="3331" width="9.26171875" bestFit="1" customWidth="1"/>
    <col min="3332" max="3332" width="19.15625" bestFit="1" customWidth="1"/>
    <col min="3333" max="3333" width="9.15625" customWidth="1"/>
    <col min="3334" max="3334" width="11.15625" customWidth="1"/>
    <col min="3335" max="3335" width="10.68359375" bestFit="1" customWidth="1"/>
    <col min="3336" max="3336" width="10.41796875" bestFit="1" customWidth="1"/>
    <col min="3337" max="3337" width="11.41796875" bestFit="1" customWidth="1"/>
    <col min="3338" max="3341" width="9.68359375" bestFit="1" customWidth="1"/>
    <col min="3585" max="3585" width="2.83984375" bestFit="1" customWidth="1"/>
    <col min="3586" max="3586" width="9.83984375" bestFit="1" customWidth="1"/>
    <col min="3587" max="3587" width="9.26171875" bestFit="1" customWidth="1"/>
    <col min="3588" max="3588" width="19.15625" bestFit="1" customWidth="1"/>
    <col min="3589" max="3589" width="9.15625" customWidth="1"/>
    <col min="3590" max="3590" width="11.15625" customWidth="1"/>
    <col min="3591" max="3591" width="10.68359375" bestFit="1" customWidth="1"/>
    <col min="3592" max="3592" width="10.41796875" bestFit="1" customWidth="1"/>
    <col min="3593" max="3593" width="11.41796875" bestFit="1" customWidth="1"/>
    <col min="3594" max="3597" width="9.68359375" bestFit="1" customWidth="1"/>
    <col min="3841" max="3841" width="2.83984375" bestFit="1" customWidth="1"/>
    <col min="3842" max="3842" width="9.83984375" bestFit="1" customWidth="1"/>
    <col min="3843" max="3843" width="9.26171875" bestFit="1" customWidth="1"/>
    <col min="3844" max="3844" width="19.15625" bestFit="1" customWidth="1"/>
    <col min="3845" max="3845" width="9.15625" customWidth="1"/>
    <col min="3846" max="3846" width="11.15625" customWidth="1"/>
    <col min="3847" max="3847" width="10.68359375" bestFit="1" customWidth="1"/>
    <col min="3848" max="3848" width="10.41796875" bestFit="1" customWidth="1"/>
    <col min="3849" max="3849" width="11.41796875" bestFit="1" customWidth="1"/>
    <col min="3850" max="3853" width="9.68359375" bestFit="1" customWidth="1"/>
    <col min="4097" max="4097" width="2.83984375" bestFit="1" customWidth="1"/>
    <col min="4098" max="4098" width="9.83984375" bestFit="1" customWidth="1"/>
    <col min="4099" max="4099" width="9.26171875" bestFit="1" customWidth="1"/>
    <col min="4100" max="4100" width="19.15625" bestFit="1" customWidth="1"/>
    <col min="4101" max="4101" width="9.15625" customWidth="1"/>
    <col min="4102" max="4102" width="11.15625" customWidth="1"/>
    <col min="4103" max="4103" width="10.68359375" bestFit="1" customWidth="1"/>
    <col min="4104" max="4104" width="10.41796875" bestFit="1" customWidth="1"/>
    <col min="4105" max="4105" width="11.41796875" bestFit="1" customWidth="1"/>
    <col min="4106" max="4109" width="9.68359375" bestFit="1" customWidth="1"/>
    <col min="4353" max="4353" width="2.83984375" bestFit="1" customWidth="1"/>
    <col min="4354" max="4354" width="9.83984375" bestFit="1" customWidth="1"/>
    <col min="4355" max="4355" width="9.26171875" bestFit="1" customWidth="1"/>
    <col min="4356" max="4356" width="19.15625" bestFit="1" customWidth="1"/>
    <col min="4357" max="4357" width="9.15625" customWidth="1"/>
    <col min="4358" max="4358" width="11.15625" customWidth="1"/>
    <col min="4359" max="4359" width="10.68359375" bestFit="1" customWidth="1"/>
    <col min="4360" max="4360" width="10.41796875" bestFit="1" customWidth="1"/>
    <col min="4361" max="4361" width="11.41796875" bestFit="1" customWidth="1"/>
    <col min="4362" max="4365" width="9.68359375" bestFit="1" customWidth="1"/>
    <col min="4609" max="4609" width="2.83984375" bestFit="1" customWidth="1"/>
    <col min="4610" max="4610" width="9.83984375" bestFit="1" customWidth="1"/>
    <col min="4611" max="4611" width="9.26171875" bestFit="1" customWidth="1"/>
    <col min="4612" max="4612" width="19.15625" bestFit="1" customWidth="1"/>
    <col min="4613" max="4613" width="9.15625" customWidth="1"/>
    <col min="4614" max="4614" width="11.15625" customWidth="1"/>
    <col min="4615" max="4615" width="10.68359375" bestFit="1" customWidth="1"/>
    <col min="4616" max="4616" width="10.41796875" bestFit="1" customWidth="1"/>
    <col min="4617" max="4617" width="11.41796875" bestFit="1" customWidth="1"/>
    <col min="4618" max="4621" width="9.68359375" bestFit="1" customWidth="1"/>
    <col min="4865" max="4865" width="2.83984375" bestFit="1" customWidth="1"/>
    <col min="4866" max="4866" width="9.83984375" bestFit="1" customWidth="1"/>
    <col min="4867" max="4867" width="9.26171875" bestFit="1" customWidth="1"/>
    <col min="4868" max="4868" width="19.15625" bestFit="1" customWidth="1"/>
    <col min="4869" max="4869" width="9.15625" customWidth="1"/>
    <col min="4870" max="4870" width="11.15625" customWidth="1"/>
    <col min="4871" max="4871" width="10.68359375" bestFit="1" customWidth="1"/>
    <col min="4872" max="4872" width="10.41796875" bestFit="1" customWidth="1"/>
    <col min="4873" max="4873" width="11.41796875" bestFit="1" customWidth="1"/>
    <col min="4874" max="4877" width="9.68359375" bestFit="1" customWidth="1"/>
    <col min="5121" max="5121" width="2.83984375" bestFit="1" customWidth="1"/>
    <col min="5122" max="5122" width="9.83984375" bestFit="1" customWidth="1"/>
    <col min="5123" max="5123" width="9.26171875" bestFit="1" customWidth="1"/>
    <col min="5124" max="5124" width="19.15625" bestFit="1" customWidth="1"/>
    <col min="5125" max="5125" width="9.15625" customWidth="1"/>
    <col min="5126" max="5126" width="11.15625" customWidth="1"/>
    <col min="5127" max="5127" width="10.68359375" bestFit="1" customWidth="1"/>
    <col min="5128" max="5128" width="10.41796875" bestFit="1" customWidth="1"/>
    <col min="5129" max="5129" width="11.41796875" bestFit="1" customWidth="1"/>
    <col min="5130" max="5133" width="9.68359375" bestFit="1" customWidth="1"/>
    <col min="5377" max="5377" width="2.83984375" bestFit="1" customWidth="1"/>
    <col min="5378" max="5378" width="9.83984375" bestFit="1" customWidth="1"/>
    <col min="5379" max="5379" width="9.26171875" bestFit="1" customWidth="1"/>
    <col min="5380" max="5380" width="19.15625" bestFit="1" customWidth="1"/>
    <col min="5381" max="5381" width="9.15625" customWidth="1"/>
    <col min="5382" max="5382" width="11.15625" customWidth="1"/>
    <col min="5383" max="5383" width="10.68359375" bestFit="1" customWidth="1"/>
    <col min="5384" max="5384" width="10.41796875" bestFit="1" customWidth="1"/>
    <col min="5385" max="5385" width="11.41796875" bestFit="1" customWidth="1"/>
    <col min="5386" max="5389" width="9.68359375" bestFit="1" customWidth="1"/>
    <col min="5633" max="5633" width="2.83984375" bestFit="1" customWidth="1"/>
    <col min="5634" max="5634" width="9.83984375" bestFit="1" customWidth="1"/>
    <col min="5635" max="5635" width="9.26171875" bestFit="1" customWidth="1"/>
    <col min="5636" max="5636" width="19.15625" bestFit="1" customWidth="1"/>
    <col min="5637" max="5637" width="9.15625" customWidth="1"/>
    <col min="5638" max="5638" width="11.15625" customWidth="1"/>
    <col min="5639" max="5639" width="10.68359375" bestFit="1" customWidth="1"/>
    <col min="5640" max="5640" width="10.41796875" bestFit="1" customWidth="1"/>
    <col min="5641" max="5641" width="11.41796875" bestFit="1" customWidth="1"/>
    <col min="5642" max="5645" width="9.68359375" bestFit="1" customWidth="1"/>
    <col min="5889" max="5889" width="2.83984375" bestFit="1" customWidth="1"/>
    <col min="5890" max="5890" width="9.83984375" bestFit="1" customWidth="1"/>
    <col min="5891" max="5891" width="9.26171875" bestFit="1" customWidth="1"/>
    <col min="5892" max="5892" width="19.15625" bestFit="1" customWidth="1"/>
    <col min="5893" max="5893" width="9.15625" customWidth="1"/>
    <col min="5894" max="5894" width="11.15625" customWidth="1"/>
    <col min="5895" max="5895" width="10.68359375" bestFit="1" customWidth="1"/>
    <col min="5896" max="5896" width="10.41796875" bestFit="1" customWidth="1"/>
    <col min="5897" max="5897" width="11.41796875" bestFit="1" customWidth="1"/>
    <col min="5898" max="5901" width="9.68359375" bestFit="1" customWidth="1"/>
    <col min="6145" max="6145" width="2.83984375" bestFit="1" customWidth="1"/>
    <col min="6146" max="6146" width="9.83984375" bestFit="1" customWidth="1"/>
    <col min="6147" max="6147" width="9.26171875" bestFit="1" customWidth="1"/>
    <col min="6148" max="6148" width="19.15625" bestFit="1" customWidth="1"/>
    <col min="6149" max="6149" width="9.15625" customWidth="1"/>
    <col min="6150" max="6150" width="11.15625" customWidth="1"/>
    <col min="6151" max="6151" width="10.68359375" bestFit="1" customWidth="1"/>
    <col min="6152" max="6152" width="10.41796875" bestFit="1" customWidth="1"/>
    <col min="6153" max="6153" width="11.41796875" bestFit="1" customWidth="1"/>
    <col min="6154" max="6157" width="9.68359375" bestFit="1" customWidth="1"/>
    <col min="6401" max="6401" width="2.83984375" bestFit="1" customWidth="1"/>
    <col min="6402" max="6402" width="9.83984375" bestFit="1" customWidth="1"/>
    <col min="6403" max="6403" width="9.26171875" bestFit="1" customWidth="1"/>
    <col min="6404" max="6404" width="19.15625" bestFit="1" customWidth="1"/>
    <col min="6405" max="6405" width="9.15625" customWidth="1"/>
    <col min="6406" max="6406" width="11.15625" customWidth="1"/>
    <col min="6407" max="6407" width="10.68359375" bestFit="1" customWidth="1"/>
    <col min="6408" max="6408" width="10.41796875" bestFit="1" customWidth="1"/>
    <col min="6409" max="6409" width="11.41796875" bestFit="1" customWidth="1"/>
    <col min="6410" max="6413" width="9.68359375" bestFit="1" customWidth="1"/>
    <col min="6657" max="6657" width="2.83984375" bestFit="1" customWidth="1"/>
    <col min="6658" max="6658" width="9.83984375" bestFit="1" customWidth="1"/>
    <col min="6659" max="6659" width="9.26171875" bestFit="1" customWidth="1"/>
    <col min="6660" max="6660" width="19.15625" bestFit="1" customWidth="1"/>
    <col min="6661" max="6661" width="9.15625" customWidth="1"/>
    <col min="6662" max="6662" width="11.15625" customWidth="1"/>
    <col min="6663" max="6663" width="10.68359375" bestFit="1" customWidth="1"/>
    <col min="6664" max="6664" width="10.41796875" bestFit="1" customWidth="1"/>
    <col min="6665" max="6665" width="11.41796875" bestFit="1" customWidth="1"/>
    <col min="6666" max="6669" width="9.68359375" bestFit="1" customWidth="1"/>
    <col min="6913" max="6913" width="2.83984375" bestFit="1" customWidth="1"/>
    <col min="6914" max="6914" width="9.83984375" bestFit="1" customWidth="1"/>
    <col min="6915" max="6915" width="9.26171875" bestFit="1" customWidth="1"/>
    <col min="6916" max="6916" width="19.15625" bestFit="1" customWidth="1"/>
    <col min="6917" max="6917" width="9.15625" customWidth="1"/>
    <col min="6918" max="6918" width="11.15625" customWidth="1"/>
    <col min="6919" max="6919" width="10.68359375" bestFit="1" customWidth="1"/>
    <col min="6920" max="6920" width="10.41796875" bestFit="1" customWidth="1"/>
    <col min="6921" max="6921" width="11.41796875" bestFit="1" customWidth="1"/>
    <col min="6922" max="6925" width="9.68359375" bestFit="1" customWidth="1"/>
    <col min="7169" max="7169" width="2.83984375" bestFit="1" customWidth="1"/>
    <col min="7170" max="7170" width="9.83984375" bestFit="1" customWidth="1"/>
    <col min="7171" max="7171" width="9.26171875" bestFit="1" customWidth="1"/>
    <col min="7172" max="7172" width="19.15625" bestFit="1" customWidth="1"/>
    <col min="7173" max="7173" width="9.15625" customWidth="1"/>
    <col min="7174" max="7174" width="11.15625" customWidth="1"/>
    <col min="7175" max="7175" width="10.68359375" bestFit="1" customWidth="1"/>
    <col min="7176" max="7176" width="10.41796875" bestFit="1" customWidth="1"/>
    <col min="7177" max="7177" width="11.41796875" bestFit="1" customWidth="1"/>
    <col min="7178" max="7181" width="9.68359375" bestFit="1" customWidth="1"/>
    <col min="7425" max="7425" width="2.83984375" bestFit="1" customWidth="1"/>
    <col min="7426" max="7426" width="9.83984375" bestFit="1" customWidth="1"/>
    <col min="7427" max="7427" width="9.26171875" bestFit="1" customWidth="1"/>
    <col min="7428" max="7428" width="19.15625" bestFit="1" customWidth="1"/>
    <col min="7429" max="7429" width="9.15625" customWidth="1"/>
    <col min="7430" max="7430" width="11.15625" customWidth="1"/>
    <col min="7431" max="7431" width="10.68359375" bestFit="1" customWidth="1"/>
    <col min="7432" max="7432" width="10.41796875" bestFit="1" customWidth="1"/>
    <col min="7433" max="7433" width="11.41796875" bestFit="1" customWidth="1"/>
    <col min="7434" max="7437" width="9.68359375" bestFit="1" customWidth="1"/>
    <col min="7681" max="7681" width="2.83984375" bestFit="1" customWidth="1"/>
    <col min="7682" max="7682" width="9.83984375" bestFit="1" customWidth="1"/>
    <col min="7683" max="7683" width="9.26171875" bestFit="1" customWidth="1"/>
    <col min="7684" max="7684" width="19.15625" bestFit="1" customWidth="1"/>
    <col min="7685" max="7685" width="9.15625" customWidth="1"/>
    <col min="7686" max="7686" width="11.15625" customWidth="1"/>
    <col min="7687" max="7687" width="10.68359375" bestFit="1" customWidth="1"/>
    <col min="7688" max="7688" width="10.41796875" bestFit="1" customWidth="1"/>
    <col min="7689" max="7689" width="11.41796875" bestFit="1" customWidth="1"/>
    <col min="7690" max="7693" width="9.68359375" bestFit="1" customWidth="1"/>
    <col min="7937" max="7937" width="2.83984375" bestFit="1" customWidth="1"/>
    <col min="7938" max="7938" width="9.83984375" bestFit="1" customWidth="1"/>
    <col min="7939" max="7939" width="9.26171875" bestFit="1" customWidth="1"/>
    <col min="7940" max="7940" width="19.15625" bestFit="1" customWidth="1"/>
    <col min="7941" max="7941" width="9.15625" customWidth="1"/>
    <col min="7942" max="7942" width="11.15625" customWidth="1"/>
    <col min="7943" max="7943" width="10.68359375" bestFit="1" customWidth="1"/>
    <col min="7944" max="7944" width="10.41796875" bestFit="1" customWidth="1"/>
    <col min="7945" max="7945" width="11.41796875" bestFit="1" customWidth="1"/>
    <col min="7946" max="7949" width="9.68359375" bestFit="1" customWidth="1"/>
    <col min="8193" max="8193" width="2.83984375" bestFit="1" customWidth="1"/>
    <col min="8194" max="8194" width="9.83984375" bestFit="1" customWidth="1"/>
    <col min="8195" max="8195" width="9.26171875" bestFit="1" customWidth="1"/>
    <col min="8196" max="8196" width="19.15625" bestFit="1" customWidth="1"/>
    <col min="8197" max="8197" width="9.15625" customWidth="1"/>
    <col min="8198" max="8198" width="11.15625" customWidth="1"/>
    <col min="8199" max="8199" width="10.68359375" bestFit="1" customWidth="1"/>
    <col min="8200" max="8200" width="10.41796875" bestFit="1" customWidth="1"/>
    <col min="8201" max="8201" width="11.41796875" bestFit="1" customWidth="1"/>
    <col min="8202" max="8205" width="9.68359375" bestFit="1" customWidth="1"/>
    <col min="8449" max="8449" width="2.83984375" bestFit="1" customWidth="1"/>
    <col min="8450" max="8450" width="9.83984375" bestFit="1" customWidth="1"/>
    <col min="8451" max="8451" width="9.26171875" bestFit="1" customWidth="1"/>
    <col min="8452" max="8452" width="19.15625" bestFit="1" customWidth="1"/>
    <col min="8453" max="8453" width="9.15625" customWidth="1"/>
    <col min="8454" max="8454" width="11.15625" customWidth="1"/>
    <col min="8455" max="8455" width="10.68359375" bestFit="1" customWidth="1"/>
    <col min="8456" max="8456" width="10.41796875" bestFit="1" customWidth="1"/>
    <col min="8457" max="8457" width="11.41796875" bestFit="1" customWidth="1"/>
    <col min="8458" max="8461" width="9.68359375" bestFit="1" customWidth="1"/>
    <col min="8705" max="8705" width="2.83984375" bestFit="1" customWidth="1"/>
    <col min="8706" max="8706" width="9.83984375" bestFit="1" customWidth="1"/>
    <col min="8707" max="8707" width="9.26171875" bestFit="1" customWidth="1"/>
    <col min="8708" max="8708" width="19.15625" bestFit="1" customWidth="1"/>
    <col min="8709" max="8709" width="9.15625" customWidth="1"/>
    <col min="8710" max="8710" width="11.15625" customWidth="1"/>
    <col min="8711" max="8711" width="10.68359375" bestFit="1" customWidth="1"/>
    <col min="8712" max="8712" width="10.41796875" bestFit="1" customWidth="1"/>
    <col min="8713" max="8713" width="11.41796875" bestFit="1" customWidth="1"/>
    <col min="8714" max="8717" width="9.68359375" bestFit="1" customWidth="1"/>
    <col min="8961" max="8961" width="2.83984375" bestFit="1" customWidth="1"/>
    <col min="8962" max="8962" width="9.83984375" bestFit="1" customWidth="1"/>
    <col min="8963" max="8963" width="9.26171875" bestFit="1" customWidth="1"/>
    <col min="8964" max="8964" width="19.15625" bestFit="1" customWidth="1"/>
    <col min="8965" max="8965" width="9.15625" customWidth="1"/>
    <col min="8966" max="8966" width="11.15625" customWidth="1"/>
    <col min="8967" max="8967" width="10.68359375" bestFit="1" customWidth="1"/>
    <col min="8968" max="8968" width="10.41796875" bestFit="1" customWidth="1"/>
    <col min="8969" max="8969" width="11.41796875" bestFit="1" customWidth="1"/>
    <col min="8970" max="8973" width="9.68359375" bestFit="1" customWidth="1"/>
    <col min="9217" max="9217" width="2.83984375" bestFit="1" customWidth="1"/>
    <col min="9218" max="9218" width="9.83984375" bestFit="1" customWidth="1"/>
    <col min="9219" max="9219" width="9.26171875" bestFit="1" customWidth="1"/>
    <col min="9220" max="9220" width="19.15625" bestFit="1" customWidth="1"/>
    <col min="9221" max="9221" width="9.15625" customWidth="1"/>
    <col min="9222" max="9222" width="11.15625" customWidth="1"/>
    <col min="9223" max="9223" width="10.68359375" bestFit="1" customWidth="1"/>
    <col min="9224" max="9224" width="10.41796875" bestFit="1" customWidth="1"/>
    <col min="9225" max="9225" width="11.41796875" bestFit="1" customWidth="1"/>
    <col min="9226" max="9229" width="9.68359375" bestFit="1" customWidth="1"/>
    <col min="9473" max="9473" width="2.83984375" bestFit="1" customWidth="1"/>
    <col min="9474" max="9474" width="9.83984375" bestFit="1" customWidth="1"/>
    <col min="9475" max="9475" width="9.26171875" bestFit="1" customWidth="1"/>
    <col min="9476" max="9476" width="19.15625" bestFit="1" customWidth="1"/>
    <col min="9477" max="9477" width="9.15625" customWidth="1"/>
    <col min="9478" max="9478" width="11.15625" customWidth="1"/>
    <col min="9479" max="9479" width="10.68359375" bestFit="1" customWidth="1"/>
    <col min="9480" max="9480" width="10.41796875" bestFit="1" customWidth="1"/>
    <col min="9481" max="9481" width="11.41796875" bestFit="1" customWidth="1"/>
    <col min="9482" max="9485" width="9.68359375" bestFit="1" customWidth="1"/>
    <col min="9729" max="9729" width="2.83984375" bestFit="1" customWidth="1"/>
    <col min="9730" max="9730" width="9.83984375" bestFit="1" customWidth="1"/>
    <col min="9731" max="9731" width="9.26171875" bestFit="1" customWidth="1"/>
    <col min="9732" max="9732" width="19.15625" bestFit="1" customWidth="1"/>
    <col min="9733" max="9733" width="9.15625" customWidth="1"/>
    <col min="9734" max="9734" width="11.15625" customWidth="1"/>
    <col min="9735" max="9735" width="10.68359375" bestFit="1" customWidth="1"/>
    <col min="9736" max="9736" width="10.41796875" bestFit="1" customWidth="1"/>
    <col min="9737" max="9737" width="11.41796875" bestFit="1" customWidth="1"/>
    <col min="9738" max="9741" width="9.68359375" bestFit="1" customWidth="1"/>
    <col min="9985" max="9985" width="2.83984375" bestFit="1" customWidth="1"/>
    <col min="9986" max="9986" width="9.83984375" bestFit="1" customWidth="1"/>
    <col min="9987" max="9987" width="9.26171875" bestFit="1" customWidth="1"/>
    <col min="9988" max="9988" width="19.15625" bestFit="1" customWidth="1"/>
    <col min="9989" max="9989" width="9.15625" customWidth="1"/>
    <col min="9990" max="9990" width="11.15625" customWidth="1"/>
    <col min="9991" max="9991" width="10.68359375" bestFit="1" customWidth="1"/>
    <col min="9992" max="9992" width="10.41796875" bestFit="1" customWidth="1"/>
    <col min="9993" max="9993" width="11.41796875" bestFit="1" customWidth="1"/>
    <col min="9994" max="9997" width="9.68359375" bestFit="1" customWidth="1"/>
    <col min="10241" max="10241" width="2.83984375" bestFit="1" customWidth="1"/>
    <col min="10242" max="10242" width="9.83984375" bestFit="1" customWidth="1"/>
    <col min="10243" max="10243" width="9.26171875" bestFit="1" customWidth="1"/>
    <col min="10244" max="10244" width="19.15625" bestFit="1" customWidth="1"/>
    <col min="10245" max="10245" width="9.15625" customWidth="1"/>
    <col min="10246" max="10246" width="11.15625" customWidth="1"/>
    <col min="10247" max="10247" width="10.68359375" bestFit="1" customWidth="1"/>
    <col min="10248" max="10248" width="10.41796875" bestFit="1" customWidth="1"/>
    <col min="10249" max="10249" width="11.41796875" bestFit="1" customWidth="1"/>
    <col min="10250" max="10253" width="9.68359375" bestFit="1" customWidth="1"/>
    <col min="10497" max="10497" width="2.83984375" bestFit="1" customWidth="1"/>
    <col min="10498" max="10498" width="9.83984375" bestFit="1" customWidth="1"/>
    <col min="10499" max="10499" width="9.26171875" bestFit="1" customWidth="1"/>
    <col min="10500" max="10500" width="19.15625" bestFit="1" customWidth="1"/>
    <col min="10501" max="10501" width="9.15625" customWidth="1"/>
    <col min="10502" max="10502" width="11.15625" customWidth="1"/>
    <col min="10503" max="10503" width="10.68359375" bestFit="1" customWidth="1"/>
    <col min="10504" max="10504" width="10.41796875" bestFit="1" customWidth="1"/>
    <col min="10505" max="10505" width="11.41796875" bestFit="1" customWidth="1"/>
    <col min="10506" max="10509" width="9.68359375" bestFit="1" customWidth="1"/>
    <col min="10753" max="10753" width="2.83984375" bestFit="1" customWidth="1"/>
    <col min="10754" max="10754" width="9.83984375" bestFit="1" customWidth="1"/>
    <col min="10755" max="10755" width="9.26171875" bestFit="1" customWidth="1"/>
    <col min="10756" max="10756" width="19.15625" bestFit="1" customWidth="1"/>
    <col min="10757" max="10757" width="9.15625" customWidth="1"/>
    <col min="10758" max="10758" width="11.15625" customWidth="1"/>
    <col min="10759" max="10759" width="10.68359375" bestFit="1" customWidth="1"/>
    <col min="10760" max="10760" width="10.41796875" bestFit="1" customWidth="1"/>
    <col min="10761" max="10761" width="11.41796875" bestFit="1" customWidth="1"/>
    <col min="10762" max="10765" width="9.68359375" bestFit="1" customWidth="1"/>
    <col min="11009" max="11009" width="2.83984375" bestFit="1" customWidth="1"/>
    <col min="11010" max="11010" width="9.83984375" bestFit="1" customWidth="1"/>
    <col min="11011" max="11011" width="9.26171875" bestFit="1" customWidth="1"/>
    <col min="11012" max="11012" width="19.15625" bestFit="1" customWidth="1"/>
    <col min="11013" max="11013" width="9.15625" customWidth="1"/>
    <col min="11014" max="11014" width="11.15625" customWidth="1"/>
    <col min="11015" max="11015" width="10.68359375" bestFit="1" customWidth="1"/>
    <col min="11016" max="11016" width="10.41796875" bestFit="1" customWidth="1"/>
    <col min="11017" max="11017" width="11.41796875" bestFit="1" customWidth="1"/>
    <col min="11018" max="11021" width="9.68359375" bestFit="1" customWidth="1"/>
    <col min="11265" max="11265" width="2.83984375" bestFit="1" customWidth="1"/>
    <col min="11266" max="11266" width="9.83984375" bestFit="1" customWidth="1"/>
    <col min="11267" max="11267" width="9.26171875" bestFit="1" customWidth="1"/>
    <col min="11268" max="11268" width="19.15625" bestFit="1" customWidth="1"/>
    <col min="11269" max="11269" width="9.15625" customWidth="1"/>
    <col min="11270" max="11270" width="11.15625" customWidth="1"/>
    <col min="11271" max="11271" width="10.68359375" bestFit="1" customWidth="1"/>
    <col min="11272" max="11272" width="10.41796875" bestFit="1" customWidth="1"/>
    <col min="11273" max="11273" width="11.41796875" bestFit="1" customWidth="1"/>
    <col min="11274" max="11277" width="9.68359375" bestFit="1" customWidth="1"/>
    <col min="11521" max="11521" width="2.83984375" bestFit="1" customWidth="1"/>
    <col min="11522" max="11522" width="9.83984375" bestFit="1" customWidth="1"/>
    <col min="11523" max="11523" width="9.26171875" bestFit="1" customWidth="1"/>
    <col min="11524" max="11524" width="19.15625" bestFit="1" customWidth="1"/>
    <col min="11525" max="11525" width="9.15625" customWidth="1"/>
    <col min="11526" max="11526" width="11.15625" customWidth="1"/>
    <col min="11527" max="11527" width="10.68359375" bestFit="1" customWidth="1"/>
    <col min="11528" max="11528" width="10.41796875" bestFit="1" customWidth="1"/>
    <col min="11529" max="11529" width="11.41796875" bestFit="1" customWidth="1"/>
    <col min="11530" max="11533" width="9.68359375" bestFit="1" customWidth="1"/>
    <col min="11777" max="11777" width="2.83984375" bestFit="1" customWidth="1"/>
    <col min="11778" max="11778" width="9.83984375" bestFit="1" customWidth="1"/>
    <col min="11779" max="11779" width="9.26171875" bestFit="1" customWidth="1"/>
    <col min="11780" max="11780" width="19.15625" bestFit="1" customWidth="1"/>
    <col min="11781" max="11781" width="9.15625" customWidth="1"/>
    <col min="11782" max="11782" width="11.15625" customWidth="1"/>
    <col min="11783" max="11783" width="10.68359375" bestFit="1" customWidth="1"/>
    <col min="11784" max="11784" width="10.41796875" bestFit="1" customWidth="1"/>
    <col min="11785" max="11785" width="11.41796875" bestFit="1" customWidth="1"/>
    <col min="11786" max="11789" width="9.68359375" bestFit="1" customWidth="1"/>
    <col min="12033" max="12033" width="2.83984375" bestFit="1" customWidth="1"/>
    <col min="12034" max="12034" width="9.83984375" bestFit="1" customWidth="1"/>
    <col min="12035" max="12035" width="9.26171875" bestFit="1" customWidth="1"/>
    <col min="12036" max="12036" width="19.15625" bestFit="1" customWidth="1"/>
    <col min="12037" max="12037" width="9.15625" customWidth="1"/>
    <col min="12038" max="12038" width="11.15625" customWidth="1"/>
    <col min="12039" max="12039" width="10.68359375" bestFit="1" customWidth="1"/>
    <col min="12040" max="12040" width="10.41796875" bestFit="1" customWidth="1"/>
    <col min="12041" max="12041" width="11.41796875" bestFit="1" customWidth="1"/>
    <col min="12042" max="12045" width="9.68359375" bestFit="1" customWidth="1"/>
    <col min="12289" max="12289" width="2.83984375" bestFit="1" customWidth="1"/>
    <col min="12290" max="12290" width="9.83984375" bestFit="1" customWidth="1"/>
    <col min="12291" max="12291" width="9.26171875" bestFit="1" customWidth="1"/>
    <col min="12292" max="12292" width="19.15625" bestFit="1" customWidth="1"/>
    <col min="12293" max="12293" width="9.15625" customWidth="1"/>
    <col min="12294" max="12294" width="11.15625" customWidth="1"/>
    <col min="12295" max="12295" width="10.68359375" bestFit="1" customWidth="1"/>
    <col min="12296" max="12296" width="10.41796875" bestFit="1" customWidth="1"/>
    <col min="12297" max="12297" width="11.41796875" bestFit="1" customWidth="1"/>
    <col min="12298" max="12301" width="9.68359375" bestFit="1" customWidth="1"/>
    <col min="12545" max="12545" width="2.83984375" bestFit="1" customWidth="1"/>
    <col min="12546" max="12546" width="9.83984375" bestFit="1" customWidth="1"/>
    <col min="12547" max="12547" width="9.26171875" bestFit="1" customWidth="1"/>
    <col min="12548" max="12548" width="19.15625" bestFit="1" customWidth="1"/>
    <col min="12549" max="12549" width="9.15625" customWidth="1"/>
    <col min="12550" max="12550" width="11.15625" customWidth="1"/>
    <col min="12551" max="12551" width="10.68359375" bestFit="1" customWidth="1"/>
    <col min="12552" max="12552" width="10.41796875" bestFit="1" customWidth="1"/>
    <col min="12553" max="12553" width="11.41796875" bestFit="1" customWidth="1"/>
    <col min="12554" max="12557" width="9.68359375" bestFit="1" customWidth="1"/>
    <col min="12801" max="12801" width="2.83984375" bestFit="1" customWidth="1"/>
    <col min="12802" max="12802" width="9.83984375" bestFit="1" customWidth="1"/>
    <col min="12803" max="12803" width="9.26171875" bestFit="1" customWidth="1"/>
    <col min="12804" max="12804" width="19.15625" bestFit="1" customWidth="1"/>
    <col min="12805" max="12805" width="9.15625" customWidth="1"/>
    <col min="12806" max="12806" width="11.15625" customWidth="1"/>
    <col min="12807" max="12807" width="10.68359375" bestFit="1" customWidth="1"/>
    <col min="12808" max="12808" width="10.41796875" bestFit="1" customWidth="1"/>
    <col min="12809" max="12809" width="11.41796875" bestFit="1" customWidth="1"/>
    <col min="12810" max="12813" width="9.68359375" bestFit="1" customWidth="1"/>
    <col min="13057" max="13057" width="2.83984375" bestFit="1" customWidth="1"/>
    <col min="13058" max="13058" width="9.83984375" bestFit="1" customWidth="1"/>
    <col min="13059" max="13059" width="9.26171875" bestFit="1" customWidth="1"/>
    <col min="13060" max="13060" width="19.15625" bestFit="1" customWidth="1"/>
    <col min="13061" max="13061" width="9.15625" customWidth="1"/>
    <col min="13062" max="13062" width="11.15625" customWidth="1"/>
    <col min="13063" max="13063" width="10.68359375" bestFit="1" customWidth="1"/>
    <col min="13064" max="13064" width="10.41796875" bestFit="1" customWidth="1"/>
    <col min="13065" max="13065" width="11.41796875" bestFit="1" customWidth="1"/>
    <col min="13066" max="13069" width="9.68359375" bestFit="1" customWidth="1"/>
    <col min="13313" max="13313" width="2.83984375" bestFit="1" customWidth="1"/>
    <col min="13314" max="13314" width="9.83984375" bestFit="1" customWidth="1"/>
    <col min="13315" max="13315" width="9.26171875" bestFit="1" customWidth="1"/>
    <col min="13316" max="13316" width="19.15625" bestFit="1" customWidth="1"/>
    <col min="13317" max="13317" width="9.15625" customWidth="1"/>
    <col min="13318" max="13318" width="11.15625" customWidth="1"/>
    <col min="13319" max="13319" width="10.68359375" bestFit="1" customWidth="1"/>
    <col min="13320" max="13320" width="10.41796875" bestFit="1" customWidth="1"/>
    <col min="13321" max="13321" width="11.41796875" bestFit="1" customWidth="1"/>
    <col min="13322" max="13325" width="9.68359375" bestFit="1" customWidth="1"/>
    <col min="13569" max="13569" width="2.83984375" bestFit="1" customWidth="1"/>
    <col min="13570" max="13570" width="9.83984375" bestFit="1" customWidth="1"/>
    <col min="13571" max="13571" width="9.26171875" bestFit="1" customWidth="1"/>
    <col min="13572" max="13572" width="19.15625" bestFit="1" customWidth="1"/>
    <col min="13573" max="13573" width="9.15625" customWidth="1"/>
    <col min="13574" max="13574" width="11.15625" customWidth="1"/>
    <col min="13575" max="13575" width="10.68359375" bestFit="1" customWidth="1"/>
    <col min="13576" max="13576" width="10.41796875" bestFit="1" customWidth="1"/>
    <col min="13577" max="13577" width="11.41796875" bestFit="1" customWidth="1"/>
    <col min="13578" max="13581" width="9.68359375" bestFit="1" customWidth="1"/>
    <col min="13825" max="13825" width="2.83984375" bestFit="1" customWidth="1"/>
    <col min="13826" max="13826" width="9.83984375" bestFit="1" customWidth="1"/>
    <col min="13827" max="13827" width="9.26171875" bestFit="1" customWidth="1"/>
    <col min="13828" max="13828" width="19.15625" bestFit="1" customWidth="1"/>
    <col min="13829" max="13829" width="9.15625" customWidth="1"/>
    <col min="13830" max="13830" width="11.15625" customWidth="1"/>
    <col min="13831" max="13831" width="10.68359375" bestFit="1" customWidth="1"/>
    <col min="13832" max="13832" width="10.41796875" bestFit="1" customWidth="1"/>
    <col min="13833" max="13833" width="11.41796875" bestFit="1" customWidth="1"/>
    <col min="13834" max="13837" width="9.68359375" bestFit="1" customWidth="1"/>
    <col min="14081" max="14081" width="2.83984375" bestFit="1" customWidth="1"/>
    <col min="14082" max="14082" width="9.83984375" bestFit="1" customWidth="1"/>
    <col min="14083" max="14083" width="9.26171875" bestFit="1" customWidth="1"/>
    <col min="14084" max="14084" width="19.15625" bestFit="1" customWidth="1"/>
    <col min="14085" max="14085" width="9.15625" customWidth="1"/>
    <col min="14086" max="14086" width="11.15625" customWidth="1"/>
    <col min="14087" max="14087" width="10.68359375" bestFit="1" customWidth="1"/>
    <col min="14088" max="14088" width="10.41796875" bestFit="1" customWidth="1"/>
    <col min="14089" max="14089" width="11.41796875" bestFit="1" customWidth="1"/>
    <col min="14090" max="14093" width="9.68359375" bestFit="1" customWidth="1"/>
    <col min="14337" max="14337" width="2.83984375" bestFit="1" customWidth="1"/>
    <col min="14338" max="14338" width="9.83984375" bestFit="1" customWidth="1"/>
    <col min="14339" max="14339" width="9.26171875" bestFit="1" customWidth="1"/>
    <col min="14340" max="14340" width="19.15625" bestFit="1" customWidth="1"/>
    <col min="14341" max="14341" width="9.15625" customWidth="1"/>
    <col min="14342" max="14342" width="11.15625" customWidth="1"/>
    <col min="14343" max="14343" width="10.68359375" bestFit="1" customWidth="1"/>
    <col min="14344" max="14344" width="10.41796875" bestFit="1" customWidth="1"/>
    <col min="14345" max="14345" width="11.41796875" bestFit="1" customWidth="1"/>
    <col min="14346" max="14349" width="9.68359375" bestFit="1" customWidth="1"/>
    <col min="14593" max="14593" width="2.83984375" bestFit="1" customWidth="1"/>
    <col min="14594" max="14594" width="9.83984375" bestFit="1" customWidth="1"/>
    <col min="14595" max="14595" width="9.26171875" bestFit="1" customWidth="1"/>
    <col min="14596" max="14596" width="19.15625" bestFit="1" customWidth="1"/>
    <col min="14597" max="14597" width="9.15625" customWidth="1"/>
    <col min="14598" max="14598" width="11.15625" customWidth="1"/>
    <col min="14599" max="14599" width="10.68359375" bestFit="1" customWidth="1"/>
    <col min="14600" max="14600" width="10.41796875" bestFit="1" customWidth="1"/>
    <col min="14601" max="14601" width="11.41796875" bestFit="1" customWidth="1"/>
    <col min="14602" max="14605" width="9.68359375" bestFit="1" customWidth="1"/>
    <col min="14849" max="14849" width="2.83984375" bestFit="1" customWidth="1"/>
    <col min="14850" max="14850" width="9.83984375" bestFit="1" customWidth="1"/>
    <col min="14851" max="14851" width="9.26171875" bestFit="1" customWidth="1"/>
    <col min="14852" max="14852" width="19.15625" bestFit="1" customWidth="1"/>
    <col min="14853" max="14853" width="9.15625" customWidth="1"/>
    <col min="14854" max="14854" width="11.15625" customWidth="1"/>
    <col min="14855" max="14855" width="10.68359375" bestFit="1" customWidth="1"/>
    <col min="14856" max="14856" width="10.41796875" bestFit="1" customWidth="1"/>
    <col min="14857" max="14857" width="11.41796875" bestFit="1" customWidth="1"/>
    <col min="14858" max="14861" width="9.68359375" bestFit="1" customWidth="1"/>
    <col min="15105" max="15105" width="2.83984375" bestFit="1" customWidth="1"/>
    <col min="15106" max="15106" width="9.83984375" bestFit="1" customWidth="1"/>
    <col min="15107" max="15107" width="9.26171875" bestFit="1" customWidth="1"/>
    <col min="15108" max="15108" width="19.15625" bestFit="1" customWidth="1"/>
    <col min="15109" max="15109" width="9.15625" customWidth="1"/>
    <col min="15110" max="15110" width="11.15625" customWidth="1"/>
    <col min="15111" max="15111" width="10.68359375" bestFit="1" customWidth="1"/>
    <col min="15112" max="15112" width="10.41796875" bestFit="1" customWidth="1"/>
    <col min="15113" max="15113" width="11.41796875" bestFit="1" customWidth="1"/>
    <col min="15114" max="15117" width="9.68359375" bestFit="1" customWidth="1"/>
    <col min="15361" max="15361" width="2.83984375" bestFit="1" customWidth="1"/>
    <col min="15362" max="15362" width="9.83984375" bestFit="1" customWidth="1"/>
    <col min="15363" max="15363" width="9.26171875" bestFit="1" customWidth="1"/>
    <col min="15364" max="15364" width="19.15625" bestFit="1" customWidth="1"/>
    <col min="15365" max="15365" width="9.15625" customWidth="1"/>
    <col min="15366" max="15366" width="11.15625" customWidth="1"/>
    <col min="15367" max="15367" width="10.68359375" bestFit="1" customWidth="1"/>
    <col min="15368" max="15368" width="10.41796875" bestFit="1" customWidth="1"/>
    <col min="15369" max="15369" width="11.41796875" bestFit="1" customWidth="1"/>
    <col min="15370" max="15373" width="9.68359375" bestFit="1" customWidth="1"/>
    <col min="15617" max="15617" width="2.83984375" bestFit="1" customWidth="1"/>
    <col min="15618" max="15618" width="9.83984375" bestFit="1" customWidth="1"/>
    <col min="15619" max="15619" width="9.26171875" bestFit="1" customWidth="1"/>
    <col min="15620" max="15620" width="19.15625" bestFit="1" customWidth="1"/>
    <col min="15621" max="15621" width="9.15625" customWidth="1"/>
    <col min="15622" max="15622" width="11.15625" customWidth="1"/>
    <col min="15623" max="15623" width="10.68359375" bestFit="1" customWidth="1"/>
    <col min="15624" max="15624" width="10.41796875" bestFit="1" customWidth="1"/>
    <col min="15625" max="15625" width="11.41796875" bestFit="1" customWidth="1"/>
    <col min="15626" max="15629" width="9.68359375" bestFit="1" customWidth="1"/>
    <col min="15873" max="15873" width="2.83984375" bestFit="1" customWidth="1"/>
    <col min="15874" max="15874" width="9.83984375" bestFit="1" customWidth="1"/>
    <col min="15875" max="15875" width="9.26171875" bestFit="1" customWidth="1"/>
    <col min="15876" max="15876" width="19.15625" bestFit="1" customWidth="1"/>
    <col min="15877" max="15877" width="9.15625" customWidth="1"/>
    <col min="15878" max="15878" width="11.15625" customWidth="1"/>
    <col min="15879" max="15879" width="10.68359375" bestFit="1" customWidth="1"/>
    <col min="15880" max="15880" width="10.41796875" bestFit="1" customWidth="1"/>
    <col min="15881" max="15881" width="11.41796875" bestFit="1" customWidth="1"/>
    <col min="15882" max="15885" width="9.68359375" bestFit="1" customWidth="1"/>
    <col min="16129" max="16129" width="2.83984375" bestFit="1" customWidth="1"/>
    <col min="16130" max="16130" width="9.83984375" bestFit="1" customWidth="1"/>
    <col min="16131" max="16131" width="9.26171875" bestFit="1" customWidth="1"/>
    <col min="16132" max="16132" width="19.15625" bestFit="1" customWidth="1"/>
    <col min="16133" max="16133" width="9.15625" customWidth="1"/>
    <col min="16134" max="16134" width="11.15625" customWidth="1"/>
    <col min="16135" max="16135" width="10.68359375" bestFit="1" customWidth="1"/>
    <col min="16136" max="16136" width="10.41796875" bestFit="1" customWidth="1"/>
    <col min="16137" max="16137" width="11.41796875" bestFit="1" customWidth="1"/>
    <col min="16138" max="16141" width="9.68359375" bestFit="1" customWidth="1"/>
  </cols>
  <sheetData>
    <row r="1" spans="1:11" x14ac:dyDescent="0.55000000000000004">
      <c r="A1" s="27" t="str">
        <f>ROW()&amp;")"</f>
        <v>1)</v>
      </c>
      <c r="B1" s="31" t="s">
        <v>333</v>
      </c>
      <c r="C1" s="31"/>
      <c r="D1" s="31"/>
      <c r="E1" s="31"/>
      <c r="F1" s="31"/>
      <c r="G1" s="31"/>
      <c r="H1" s="31"/>
      <c r="I1" s="31"/>
      <c r="J1" s="31"/>
      <c r="K1" s="31"/>
    </row>
    <row r="2" spans="1:11" ht="28.8" x14ac:dyDescent="0.55000000000000004">
      <c r="A2" s="27" t="str">
        <f t="shared" ref="A2:A8" si="0">ROW()&amp;")"</f>
        <v>2)</v>
      </c>
      <c r="B2" s="31" t="s">
        <v>334</v>
      </c>
      <c r="C2" s="31"/>
      <c r="D2" s="31"/>
      <c r="E2" s="31"/>
      <c r="F2" s="31"/>
      <c r="G2" s="31"/>
      <c r="H2" s="31"/>
      <c r="I2" s="31"/>
      <c r="J2" s="31"/>
      <c r="K2" s="31"/>
    </row>
    <row r="3" spans="1:11" ht="28.8" x14ac:dyDescent="0.55000000000000004">
      <c r="A3" s="27" t="str">
        <f t="shared" si="0"/>
        <v>3)</v>
      </c>
      <c r="B3" s="31" t="s">
        <v>335</v>
      </c>
      <c r="C3" s="31"/>
      <c r="D3" s="31"/>
      <c r="E3" s="31"/>
      <c r="F3" s="31"/>
      <c r="G3" s="31"/>
      <c r="H3" s="31"/>
      <c r="I3" s="31"/>
      <c r="J3" s="31"/>
      <c r="K3" s="31"/>
    </row>
    <row r="4" spans="1:11" ht="28.8" x14ac:dyDescent="0.55000000000000004">
      <c r="A4" s="27" t="str">
        <f t="shared" si="0"/>
        <v>4)</v>
      </c>
      <c r="B4" s="31" t="s">
        <v>336</v>
      </c>
      <c r="C4" s="31"/>
      <c r="D4" s="31"/>
      <c r="E4" s="31"/>
      <c r="F4" s="31"/>
      <c r="G4" s="31"/>
      <c r="H4" s="31"/>
      <c r="I4" s="31"/>
      <c r="J4" s="31"/>
      <c r="K4" s="31"/>
    </row>
    <row r="5" spans="1:11" ht="28.8" x14ac:dyDescent="0.55000000000000004">
      <c r="A5" s="27" t="str">
        <f t="shared" si="0"/>
        <v>5)</v>
      </c>
      <c r="B5" s="31" t="s">
        <v>337</v>
      </c>
      <c r="C5" s="31"/>
      <c r="D5" s="31"/>
      <c r="E5" s="31"/>
      <c r="F5" s="31"/>
      <c r="G5" s="31"/>
      <c r="H5" s="31"/>
      <c r="I5" s="31"/>
      <c r="J5" s="31"/>
      <c r="K5" s="31"/>
    </row>
    <row r="6" spans="1:11" ht="57.6" x14ac:dyDescent="0.55000000000000004">
      <c r="A6" s="27" t="str">
        <f t="shared" si="0"/>
        <v>6)</v>
      </c>
      <c r="B6" s="31" t="s">
        <v>338</v>
      </c>
      <c r="C6" s="31"/>
      <c r="D6" s="31"/>
      <c r="E6" s="31"/>
      <c r="F6" s="31"/>
      <c r="G6" s="31"/>
      <c r="H6" s="31"/>
      <c r="I6" s="31"/>
      <c r="J6" s="31"/>
      <c r="K6" s="31"/>
    </row>
    <row r="7" spans="1:11" ht="28.8" x14ac:dyDescent="0.55000000000000004">
      <c r="A7" s="27" t="str">
        <f t="shared" si="0"/>
        <v>7)</v>
      </c>
      <c r="B7" s="31" t="s">
        <v>339</v>
      </c>
      <c r="C7" s="31"/>
      <c r="D7" s="31"/>
      <c r="E7" s="31"/>
      <c r="F7" s="31"/>
      <c r="G7" s="31"/>
      <c r="H7" s="31"/>
      <c r="I7" s="31"/>
      <c r="J7" s="31"/>
      <c r="K7" s="31"/>
    </row>
    <row r="8" spans="1:11" ht="28.8" x14ac:dyDescent="0.55000000000000004">
      <c r="A8" s="27" t="str">
        <f t="shared" si="0"/>
        <v>8)</v>
      </c>
      <c r="B8" s="31" t="s">
        <v>340</v>
      </c>
      <c r="C8" s="31"/>
      <c r="D8" s="31"/>
      <c r="E8" s="31"/>
      <c r="F8" s="31"/>
      <c r="G8" s="31"/>
      <c r="H8" s="31"/>
      <c r="I8" s="31"/>
      <c r="J8" s="31"/>
      <c r="K8" s="31"/>
    </row>
    <row r="10" spans="1:11" ht="30" customHeight="1" x14ac:dyDescent="0.55000000000000004">
      <c r="B10" s="39" t="s">
        <v>341</v>
      </c>
      <c r="C10" s="39"/>
      <c r="D10" s="39"/>
    </row>
    <row r="11" spans="1:11" x14ac:dyDescent="0.55000000000000004">
      <c r="B11" s="41" t="s">
        <v>342</v>
      </c>
      <c r="C11" s="41"/>
      <c r="D11" s="41"/>
    </row>
    <row r="12" spans="1:11" ht="30" customHeight="1" x14ac:dyDescent="0.55000000000000004">
      <c r="B12" s="42" t="s">
        <v>265</v>
      </c>
      <c r="C12" s="42" t="s">
        <v>343</v>
      </c>
      <c r="D12" s="42" t="s">
        <v>344</v>
      </c>
    </row>
    <row r="13" spans="1:11" x14ac:dyDescent="0.55000000000000004">
      <c r="B13" s="43">
        <v>0</v>
      </c>
      <c r="C13" s="44">
        <v>0</v>
      </c>
      <c r="D13" s="43"/>
      <c r="F13" t="s">
        <v>345</v>
      </c>
    </row>
    <row r="14" spans="1:11" x14ac:dyDescent="0.55000000000000004">
      <c r="B14" s="43">
        <v>5000</v>
      </c>
      <c r="C14" s="44">
        <v>5.0000000000000001E-3</v>
      </c>
      <c r="D14" s="43">
        <v>0</v>
      </c>
      <c r="F14" t="s">
        <v>346</v>
      </c>
    </row>
    <row r="15" spans="1:11" x14ac:dyDescent="0.55000000000000004">
      <c r="B15" s="43">
        <v>10000</v>
      </c>
      <c r="C15" s="44">
        <v>0.01</v>
      </c>
      <c r="D15" s="43">
        <f>(B15-B14)*C14+D14</f>
        <v>25</v>
      </c>
      <c r="F15" t="s">
        <v>347</v>
      </c>
    </row>
    <row r="16" spans="1:11" x14ac:dyDescent="0.55000000000000004">
      <c r="B16" s="43">
        <v>20000</v>
      </c>
      <c r="C16" s="44">
        <v>0.02</v>
      </c>
      <c r="D16" s="43">
        <f>(B16-B15)*C15+D15</f>
        <v>125</v>
      </c>
      <c r="F16" t="s">
        <v>348</v>
      </c>
    </row>
    <row r="17" spans="2:9" x14ac:dyDescent="0.55000000000000004">
      <c r="B17" s="43">
        <v>30000</v>
      </c>
      <c r="C17" s="44">
        <v>0.03</v>
      </c>
      <c r="D17" s="43">
        <f>(B17-B16)*C16+D16</f>
        <v>325</v>
      </c>
      <c r="F17" t="s">
        <v>349</v>
      </c>
    </row>
    <row r="18" spans="2:9" x14ac:dyDescent="0.55000000000000004">
      <c r="B18" s="43">
        <v>50000</v>
      </c>
      <c r="C18" s="44">
        <v>0.06</v>
      </c>
      <c r="D18" s="43">
        <f>(B18-B17)*C17+D17</f>
        <v>925</v>
      </c>
      <c r="F18" t="s">
        <v>350</v>
      </c>
    </row>
    <row r="19" spans="2:9" x14ac:dyDescent="0.55000000000000004">
      <c r="B19" s="43">
        <v>100000</v>
      </c>
      <c r="C19" s="44">
        <v>0.1</v>
      </c>
      <c r="D19" s="43">
        <f>(B19-B18)*C18+D18</f>
        <v>3925</v>
      </c>
    </row>
    <row r="21" spans="2:9" x14ac:dyDescent="0.55000000000000004">
      <c r="B21" s="42" t="s">
        <v>265</v>
      </c>
      <c r="C21" s="42" t="s">
        <v>343</v>
      </c>
    </row>
    <row r="22" spans="2:9" x14ac:dyDescent="0.55000000000000004">
      <c r="B22" s="14">
        <v>100000</v>
      </c>
      <c r="C22" s="19">
        <f>LOOKUP(B22,B12:D19)</f>
        <v>3925</v>
      </c>
    </row>
    <row r="24" spans="2:9" ht="28.8" x14ac:dyDescent="0.55000000000000004">
      <c r="B24" s="39" t="s">
        <v>351</v>
      </c>
      <c r="C24" s="39"/>
      <c r="D24" s="39"/>
    </row>
    <row r="25" spans="2:9" x14ac:dyDescent="0.55000000000000004">
      <c r="B25" s="41" t="s">
        <v>342</v>
      </c>
      <c r="C25" s="41"/>
      <c r="D25" s="41"/>
    </row>
    <row r="26" spans="2:9" x14ac:dyDescent="0.55000000000000004">
      <c r="B26" s="42" t="str">
        <f t="array" ref="B26:I28">TRANSPOSE(B12:D19)</f>
        <v>Sales</v>
      </c>
      <c r="C26" s="43">
        <v>0</v>
      </c>
      <c r="D26" s="43">
        <v>5000</v>
      </c>
      <c r="E26" s="43">
        <v>10000</v>
      </c>
      <c r="F26" s="43">
        <v>20000</v>
      </c>
      <c r="G26" s="43">
        <v>30000</v>
      </c>
      <c r="H26" s="43">
        <v>50000</v>
      </c>
      <c r="I26" s="43">
        <v>100000</v>
      </c>
    </row>
    <row r="27" spans="2:9" x14ac:dyDescent="0.55000000000000004">
      <c r="B27" s="42" t="str">
        <v>Rate</v>
      </c>
      <c r="C27" s="44">
        <v>0</v>
      </c>
      <c r="D27" s="44">
        <v>5.0000000000000001E-3</v>
      </c>
      <c r="E27" s="44">
        <v>0.01</v>
      </c>
      <c r="F27" s="44">
        <v>0.02</v>
      </c>
      <c r="G27" s="44">
        <v>0.03</v>
      </c>
      <c r="H27" s="44">
        <v>0.06</v>
      </c>
      <c r="I27" s="44">
        <v>0.1</v>
      </c>
    </row>
    <row r="28" spans="2:9" x14ac:dyDescent="0.55000000000000004">
      <c r="B28" s="42" t="str">
        <v>Previous Bracket</v>
      </c>
      <c r="C28" s="43">
        <v>0</v>
      </c>
      <c r="D28" s="43">
        <v>0</v>
      </c>
      <c r="E28" s="43">
        <v>25</v>
      </c>
      <c r="F28" s="43">
        <v>125</v>
      </c>
      <c r="G28" s="43">
        <v>325</v>
      </c>
      <c r="H28" s="43">
        <v>925</v>
      </c>
      <c r="I28" s="43">
        <v>3925</v>
      </c>
    </row>
    <row r="30" spans="2:9" x14ac:dyDescent="0.55000000000000004">
      <c r="B30" s="42" t="s">
        <v>265</v>
      </c>
      <c r="C30" s="42" t="s">
        <v>343</v>
      </c>
      <c r="E30" t="s">
        <v>345</v>
      </c>
    </row>
    <row r="31" spans="2:9" x14ac:dyDescent="0.55000000000000004">
      <c r="B31" s="14">
        <f>B22</f>
        <v>100000</v>
      </c>
      <c r="C31" s="19"/>
      <c r="E31" t="s">
        <v>346</v>
      </c>
    </row>
    <row r="32" spans="2:9" x14ac:dyDescent="0.55000000000000004">
      <c r="E32" t="s">
        <v>347</v>
      </c>
    </row>
    <row r="33" spans="5:5" x14ac:dyDescent="0.55000000000000004">
      <c r="E33" t="s">
        <v>348</v>
      </c>
    </row>
    <row r="34" spans="5:5" x14ac:dyDescent="0.55000000000000004">
      <c r="E34" t="s">
        <v>349</v>
      </c>
    </row>
    <row r="35" spans="5:5" x14ac:dyDescent="0.55000000000000004">
      <c r="E35" t="s">
        <v>350</v>
      </c>
    </row>
  </sheetData>
  <conditionalFormatting sqref="B13:D19">
    <cfRule type="expression" dxfId="1" priority="2" stopIfTrue="1">
      <formula>$B13=LOOKUP($B$22,$B$13:$B$19)</formula>
    </cfRule>
  </conditionalFormatting>
  <conditionalFormatting sqref="C26:I28">
    <cfRule type="expression" dxfId="0" priority="1" stopIfTrue="1">
      <formula>C$26=LOOKUP($B$31,$C$26:$I$26)</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249977111117893"/>
  </sheetPr>
  <dimension ref="B1:L28"/>
  <sheetViews>
    <sheetView zoomScale="85" zoomScaleNormal="85" workbookViewId="0">
      <selection activeCell="M11" sqref="M11"/>
    </sheetView>
  </sheetViews>
  <sheetFormatPr defaultRowHeight="14.4" x14ac:dyDescent="0.55000000000000004"/>
  <cols>
    <col min="1" max="1" width="2.83984375" bestFit="1" customWidth="1"/>
    <col min="2" max="2" width="9.578125" bestFit="1" customWidth="1"/>
    <col min="3" max="3" width="9.15625" bestFit="1" customWidth="1"/>
    <col min="4" max="4" width="19" bestFit="1" customWidth="1"/>
    <col min="5" max="5" width="16.26171875" customWidth="1"/>
    <col min="6" max="8" width="12.15625" bestFit="1" customWidth="1"/>
    <col min="9" max="9" width="13.15625" bestFit="1" customWidth="1"/>
    <col min="10" max="13" width="9.68359375" bestFit="1" customWidth="1"/>
    <col min="257" max="257" width="2.83984375" bestFit="1" customWidth="1"/>
    <col min="258" max="258" width="9.578125" bestFit="1" customWidth="1"/>
    <col min="259" max="259" width="9.15625" bestFit="1" customWidth="1"/>
    <col min="260" max="260" width="19" bestFit="1" customWidth="1"/>
    <col min="261" max="261" width="16.26171875" customWidth="1"/>
    <col min="262" max="264" width="12.15625" bestFit="1" customWidth="1"/>
    <col min="265" max="265" width="13.15625" bestFit="1" customWidth="1"/>
    <col min="266" max="269" width="9.68359375" bestFit="1" customWidth="1"/>
    <col min="513" max="513" width="2.83984375" bestFit="1" customWidth="1"/>
    <col min="514" max="514" width="9.578125" bestFit="1" customWidth="1"/>
    <col min="515" max="515" width="9.15625" bestFit="1" customWidth="1"/>
    <col min="516" max="516" width="19" bestFit="1" customWidth="1"/>
    <col min="517" max="517" width="16.26171875" customWidth="1"/>
    <col min="518" max="520" width="12.15625" bestFit="1" customWidth="1"/>
    <col min="521" max="521" width="13.15625" bestFit="1" customWidth="1"/>
    <col min="522" max="525" width="9.68359375" bestFit="1" customWidth="1"/>
    <col min="769" max="769" width="2.83984375" bestFit="1" customWidth="1"/>
    <col min="770" max="770" width="9.578125" bestFit="1" customWidth="1"/>
    <col min="771" max="771" width="9.15625" bestFit="1" customWidth="1"/>
    <col min="772" max="772" width="19" bestFit="1" customWidth="1"/>
    <col min="773" max="773" width="16.26171875" customWidth="1"/>
    <col min="774" max="776" width="12.15625" bestFit="1" customWidth="1"/>
    <col min="777" max="777" width="13.15625" bestFit="1" customWidth="1"/>
    <col min="778" max="781" width="9.68359375" bestFit="1" customWidth="1"/>
    <col min="1025" max="1025" width="2.83984375" bestFit="1" customWidth="1"/>
    <col min="1026" max="1026" width="9.578125" bestFit="1" customWidth="1"/>
    <col min="1027" max="1027" width="9.15625" bestFit="1" customWidth="1"/>
    <col min="1028" max="1028" width="19" bestFit="1" customWidth="1"/>
    <col min="1029" max="1029" width="16.26171875" customWidth="1"/>
    <col min="1030" max="1032" width="12.15625" bestFit="1" customWidth="1"/>
    <col min="1033" max="1033" width="13.15625" bestFit="1" customWidth="1"/>
    <col min="1034" max="1037" width="9.68359375" bestFit="1" customWidth="1"/>
    <col min="1281" max="1281" width="2.83984375" bestFit="1" customWidth="1"/>
    <col min="1282" max="1282" width="9.578125" bestFit="1" customWidth="1"/>
    <col min="1283" max="1283" width="9.15625" bestFit="1" customWidth="1"/>
    <col min="1284" max="1284" width="19" bestFit="1" customWidth="1"/>
    <col min="1285" max="1285" width="16.26171875" customWidth="1"/>
    <col min="1286" max="1288" width="12.15625" bestFit="1" customWidth="1"/>
    <col min="1289" max="1289" width="13.15625" bestFit="1" customWidth="1"/>
    <col min="1290" max="1293" width="9.68359375" bestFit="1" customWidth="1"/>
    <col min="1537" max="1537" width="2.83984375" bestFit="1" customWidth="1"/>
    <col min="1538" max="1538" width="9.578125" bestFit="1" customWidth="1"/>
    <col min="1539" max="1539" width="9.15625" bestFit="1" customWidth="1"/>
    <col min="1540" max="1540" width="19" bestFit="1" customWidth="1"/>
    <col min="1541" max="1541" width="16.26171875" customWidth="1"/>
    <col min="1542" max="1544" width="12.15625" bestFit="1" customWidth="1"/>
    <col min="1545" max="1545" width="13.15625" bestFit="1" customWidth="1"/>
    <col min="1546" max="1549" width="9.68359375" bestFit="1" customWidth="1"/>
    <col min="1793" max="1793" width="2.83984375" bestFit="1" customWidth="1"/>
    <col min="1794" max="1794" width="9.578125" bestFit="1" customWidth="1"/>
    <col min="1795" max="1795" width="9.15625" bestFit="1" customWidth="1"/>
    <col min="1796" max="1796" width="19" bestFit="1" customWidth="1"/>
    <col min="1797" max="1797" width="16.26171875" customWidth="1"/>
    <col min="1798" max="1800" width="12.15625" bestFit="1" customWidth="1"/>
    <col min="1801" max="1801" width="13.15625" bestFit="1" customWidth="1"/>
    <col min="1802" max="1805" width="9.68359375" bestFit="1" customWidth="1"/>
    <col min="2049" max="2049" width="2.83984375" bestFit="1" customWidth="1"/>
    <col min="2050" max="2050" width="9.578125" bestFit="1" customWidth="1"/>
    <col min="2051" max="2051" width="9.15625" bestFit="1" customWidth="1"/>
    <col min="2052" max="2052" width="19" bestFit="1" customWidth="1"/>
    <col min="2053" max="2053" width="16.26171875" customWidth="1"/>
    <col min="2054" max="2056" width="12.15625" bestFit="1" customWidth="1"/>
    <col min="2057" max="2057" width="13.15625" bestFit="1" customWidth="1"/>
    <col min="2058" max="2061" width="9.68359375" bestFit="1" customWidth="1"/>
    <col min="2305" max="2305" width="2.83984375" bestFit="1" customWidth="1"/>
    <col min="2306" max="2306" width="9.578125" bestFit="1" customWidth="1"/>
    <col min="2307" max="2307" width="9.15625" bestFit="1" customWidth="1"/>
    <col min="2308" max="2308" width="19" bestFit="1" customWidth="1"/>
    <col min="2309" max="2309" width="16.26171875" customWidth="1"/>
    <col min="2310" max="2312" width="12.15625" bestFit="1" customWidth="1"/>
    <col min="2313" max="2313" width="13.15625" bestFit="1" customWidth="1"/>
    <col min="2314" max="2317" width="9.68359375" bestFit="1" customWidth="1"/>
    <col min="2561" max="2561" width="2.83984375" bestFit="1" customWidth="1"/>
    <col min="2562" max="2562" width="9.578125" bestFit="1" customWidth="1"/>
    <col min="2563" max="2563" width="9.15625" bestFit="1" customWidth="1"/>
    <col min="2564" max="2564" width="19" bestFit="1" customWidth="1"/>
    <col min="2565" max="2565" width="16.26171875" customWidth="1"/>
    <col min="2566" max="2568" width="12.15625" bestFit="1" customWidth="1"/>
    <col min="2569" max="2569" width="13.15625" bestFit="1" customWidth="1"/>
    <col min="2570" max="2573" width="9.68359375" bestFit="1" customWidth="1"/>
    <col min="2817" max="2817" width="2.83984375" bestFit="1" customWidth="1"/>
    <col min="2818" max="2818" width="9.578125" bestFit="1" customWidth="1"/>
    <col min="2819" max="2819" width="9.15625" bestFit="1" customWidth="1"/>
    <col min="2820" max="2820" width="19" bestFit="1" customWidth="1"/>
    <col min="2821" max="2821" width="16.26171875" customWidth="1"/>
    <col min="2822" max="2824" width="12.15625" bestFit="1" customWidth="1"/>
    <col min="2825" max="2825" width="13.15625" bestFit="1" customWidth="1"/>
    <col min="2826" max="2829" width="9.68359375" bestFit="1" customWidth="1"/>
    <col min="3073" max="3073" width="2.83984375" bestFit="1" customWidth="1"/>
    <col min="3074" max="3074" width="9.578125" bestFit="1" customWidth="1"/>
    <col min="3075" max="3075" width="9.15625" bestFit="1" customWidth="1"/>
    <col min="3076" max="3076" width="19" bestFit="1" customWidth="1"/>
    <col min="3077" max="3077" width="16.26171875" customWidth="1"/>
    <col min="3078" max="3080" width="12.15625" bestFit="1" customWidth="1"/>
    <col min="3081" max="3081" width="13.15625" bestFit="1" customWidth="1"/>
    <col min="3082" max="3085" width="9.68359375" bestFit="1" customWidth="1"/>
    <col min="3329" max="3329" width="2.83984375" bestFit="1" customWidth="1"/>
    <col min="3330" max="3330" width="9.578125" bestFit="1" customWidth="1"/>
    <col min="3331" max="3331" width="9.15625" bestFit="1" customWidth="1"/>
    <col min="3332" max="3332" width="19" bestFit="1" customWidth="1"/>
    <col min="3333" max="3333" width="16.26171875" customWidth="1"/>
    <col min="3334" max="3336" width="12.15625" bestFit="1" customWidth="1"/>
    <col min="3337" max="3337" width="13.15625" bestFit="1" customWidth="1"/>
    <col min="3338" max="3341" width="9.68359375" bestFit="1" customWidth="1"/>
    <col min="3585" max="3585" width="2.83984375" bestFit="1" customWidth="1"/>
    <col min="3586" max="3586" width="9.578125" bestFit="1" customWidth="1"/>
    <col min="3587" max="3587" width="9.15625" bestFit="1" customWidth="1"/>
    <col min="3588" max="3588" width="19" bestFit="1" customWidth="1"/>
    <col min="3589" max="3589" width="16.26171875" customWidth="1"/>
    <col min="3590" max="3592" width="12.15625" bestFit="1" customWidth="1"/>
    <col min="3593" max="3593" width="13.15625" bestFit="1" customWidth="1"/>
    <col min="3594" max="3597" width="9.68359375" bestFit="1" customWidth="1"/>
    <col min="3841" max="3841" width="2.83984375" bestFit="1" customWidth="1"/>
    <col min="3842" max="3842" width="9.578125" bestFit="1" customWidth="1"/>
    <col min="3843" max="3843" width="9.15625" bestFit="1" customWidth="1"/>
    <col min="3844" max="3844" width="19" bestFit="1" customWidth="1"/>
    <col min="3845" max="3845" width="16.26171875" customWidth="1"/>
    <col min="3846" max="3848" width="12.15625" bestFit="1" customWidth="1"/>
    <col min="3849" max="3849" width="13.15625" bestFit="1" customWidth="1"/>
    <col min="3850" max="3853" width="9.68359375" bestFit="1" customWidth="1"/>
    <col min="4097" max="4097" width="2.83984375" bestFit="1" customWidth="1"/>
    <col min="4098" max="4098" width="9.578125" bestFit="1" customWidth="1"/>
    <col min="4099" max="4099" width="9.15625" bestFit="1" customWidth="1"/>
    <col min="4100" max="4100" width="19" bestFit="1" customWidth="1"/>
    <col min="4101" max="4101" width="16.26171875" customWidth="1"/>
    <col min="4102" max="4104" width="12.15625" bestFit="1" customWidth="1"/>
    <col min="4105" max="4105" width="13.15625" bestFit="1" customWidth="1"/>
    <col min="4106" max="4109" width="9.68359375" bestFit="1" customWidth="1"/>
    <col min="4353" max="4353" width="2.83984375" bestFit="1" customWidth="1"/>
    <col min="4354" max="4354" width="9.578125" bestFit="1" customWidth="1"/>
    <col min="4355" max="4355" width="9.15625" bestFit="1" customWidth="1"/>
    <col min="4356" max="4356" width="19" bestFit="1" customWidth="1"/>
    <col min="4357" max="4357" width="16.26171875" customWidth="1"/>
    <col min="4358" max="4360" width="12.15625" bestFit="1" customWidth="1"/>
    <col min="4361" max="4361" width="13.15625" bestFit="1" customWidth="1"/>
    <col min="4362" max="4365" width="9.68359375" bestFit="1" customWidth="1"/>
    <col min="4609" max="4609" width="2.83984375" bestFit="1" customWidth="1"/>
    <col min="4610" max="4610" width="9.578125" bestFit="1" customWidth="1"/>
    <col min="4611" max="4611" width="9.15625" bestFit="1" customWidth="1"/>
    <col min="4612" max="4612" width="19" bestFit="1" customWidth="1"/>
    <col min="4613" max="4613" width="16.26171875" customWidth="1"/>
    <col min="4614" max="4616" width="12.15625" bestFit="1" customWidth="1"/>
    <col min="4617" max="4617" width="13.15625" bestFit="1" customWidth="1"/>
    <col min="4618" max="4621" width="9.68359375" bestFit="1" customWidth="1"/>
    <col min="4865" max="4865" width="2.83984375" bestFit="1" customWidth="1"/>
    <col min="4866" max="4866" width="9.578125" bestFit="1" customWidth="1"/>
    <col min="4867" max="4867" width="9.15625" bestFit="1" customWidth="1"/>
    <col min="4868" max="4868" width="19" bestFit="1" customWidth="1"/>
    <col min="4869" max="4869" width="16.26171875" customWidth="1"/>
    <col min="4870" max="4872" width="12.15625" bestFit="1" customWidth="1"/>
    <col min="4873" max="4873" width="13.15625" bestFit="1" customWidth="1"/>
    <col min="4874" max="4877" width="9.68359375" bestFit="1" customWidth="1"/>
    <col min="5121" max="5121" width="2.83984375" bestFit="1" customWidth="1"/>
    <col min="5122" max="5122" width="9.578125" bestFit="1" customWidth="1"/>
    <col min="5123" max="5123" width="9.15625" bestFit="1" customWidth="1"/>
    <col min="5124" max="5124" width="19" bestFit="1" customWidth="1"/>
    <col min="5125" max="5125" width="16.26171875" customWidth="1"/>
    <col min="5126" max="5128" width="12.15625" bestFit="1" customWidth="1"/>
    <col min="5129" max="5129" width="13.15625" bestFit="1" customWidth="1"/>
    <col min="5130" max="5133" width="9.68359375" bestFit="1" customWidth="1"/>
    <col min="5377" max="5377" width="2.83984375" bestFit="1" customWidth="1"/>
    <col min="5378" max="5378" width="9.578125" bestFit="1" customWidth="1"/>
    <col min="5379" max="5379" width="9.15625" bestFit="1" customWidth="1"/>
    <col min="5380" max="5380" width="19" bestFit="1" customWidth="1"/>
    <col min="5381" max="5381" width="16.26171875" customWidth="1"/>
    <col min="5382" max="5384" width="12.15625" bestFit="1" customWidth="1"/>
    <col min="5385" max="5385" width="13.15625" bestFit="1" customWidth="1"/>
    <col min="5386" max="5389" width="9.68359375" bestFit="1" customWidth="1"/>
    <col min="5633" max="5633" width="2.83984375" bestFit="1" customWidth="1"/>
    <col min="5634" max="5634" width="9.578125" bestFit="1" customWidth="1"/>
    <col min="5635" max="5635" width="9.15625" bestFit="1" customWidth="1"/>
    <col min="5636" max="5636" width="19" bestFit="1" customWidth="1"/>
    <col min="5637" max="5637" width="16.26171875" customWidth="1"/>
    <col min="5638" max="5640" width="12.15625" bestFit="1" customWidth="1"/>
    <col min="5641" max="5641" width="13.15625" bestFit="1" customWidth="1"/>
    <col min="5642" max="5645" width="9.68359375" bestFit="1" customWidth="1"/>
    <col min="5889" max="5889" width="2.83984375" bestFit="1" customWidth="1"/>
    <col min="5890" max="5890" width="9.578125" bestFit="1" customWidth="1"/>
    <col min="5891" max="5891" width="9.15625" bestFit="1" customWidth="1"/>
    <col min="5892" max="5892" width="19" bestFit="1" customWidth="1"/>
    <col min="5893" max="5893" width="16.26171875" customWidth="1"/>
    <col min="5894" max="5896" width="12.15625" bestFit="1" customWidth="1"/>
    <col min="5897" max="5897" width="13.15625" bestFit="1" customWidth="1"/>
    <col min="5898" max="5901" width="9.68359375" bestFit="1" customWidth="1"/>
    <col min="6145" max="6145" width="2.83984375" bestFit="1" customWidth="1"/>
    <col min="6146" max="6146" width="9.578125" bestFit="1" customWidth="1"/>
    <col min="6147" max="6147" width="9.15625" bestFit="1" customWidth="1"/>
    <col min="6148" max="6148" width="19" bestFit="1" customWidth="1"/>
    <col min="6149" max="6149" width="16.26171875" customWidth="1"/>
    <col min="6150" max="6152" width="12.15625" bestFit="1" customWidth="1"/>
    <col min="6153" max="6153" width="13.15625" bestFit="1" customWidth="1"/>
    <col min="6154" max="6157" width="9.68359375" bestFit="1" customWidth="1"/>
    <col min="6401" max="6401" width="2.83984375" bestFit="1" customWidth="1"/>
    <col min="6402" max="6402" width="9.578125" bestFit="1" customWidth="1"/>
    <col min="6403" max="6403" width="9.15625" bestFit="1" customWidth="1"/>
    <col min="6404" max="6404" width="19" bestFit="1" customWidth="1"/>
    <col min="6405" max="6405" width="16.26171875" customWidth="1"/>
    <col min="6406" max="6408" width="12.15625" bestFit="1" customWidth="1"/>
    <col min="6409" max="6409" width="13.15625" bestFit="1" customWidth="1"/>
    <col min="6410" max="6413" width="9.68359375" bestFit="1" customWidth="1"/>
    <col min="6657" max="6657" width="2.83984375" bestFit="1" customWidth="1"/>
    <col min="6658" max="6658" width="9.578125" bestFit="1" customWidth="1"/>
    <col min="6659" max="6659" width="9.15625" bestFit="1" customWidth="1"/>
    <col min="6660" max="6660" width="19" bestFit="1" customWidth="1"/>
    <col min="6661" max="6661" width="16.26171875" customWidth="1"/>
    <col min="6662" max="6664" width="12.15625" bestFit="1" customWidth="1"/>
    <col min="6665" max="6665" width="13.15625" bestFit="1" customWidth="1"/>
    <col min="6666" max="6669" width="9.68359375" bestFit="1" customWidth="1"/>
    <col min="6913" max="6913" width="2.83984375" bestFit="1" customWidth="1"/>
    <col min="6914" max="6914" width="9.578125" bestFit="1" customWidth="1"/>
    <col min="6915" max="6915" width="9.15625" bestFit="1" customWidth="1"/>
    <col min="6916" max="6916" width="19" bestFit="1" customWidth="1"/>
    <col min="6917" max="6917" width="16.26171875" customWidth="1"/>
    <col min="6918" max="6920" width="12.15625" bestFit="1" customWidth="1"/>
    <col min="6921" max="6921" width="13.15625" bestFit="1" customWidth="1"/>
    <col min="6922" max="6925" width="9.68359375" bestFit="1" customWidth="1"/>
    <col min="7169" max="7169" width="2.83984375" bestFit="1" customWidth="1"/>
    <col min="7170" max="7170" width="9.578125" bestFit="1" customWidth="1"/>
    <col min="7171" max="7171" width="9.15625" bestFit="1" customWidth="1"/>
    <col min="7172" max="7172" width="19" bestFit="1" customWidth="1"/>
    <col min="7173" max="7173" width="16.26171875" customWidth="1"/>
    <col min="7174" max="7176" width="12.15625" bestFit="1" customWidth="1"/>
    <col min="7177" max="7177" width="13.15625" bestFit="1" customWidth="1"/>
    <col min="7178" max="7181" width="9.68359375" bestFit="1" customWidth="1"/>
    <col min="7425" max="7425" width="2.83984375" bestFit="1" customWidth="1"/>
    <col min="7426" max="7426" width="9.578125" bestFit="1" customWidth="1"/>
    <col min="7427" max="7427" width="9.15625" bestFit="1" customWidth="1"/>
    <col min="7428" max="7428" width="19" bestFit="1" customWidth="1"/>
    <col min="7429" max="7429" width="16.26171875" customWidth="1"/>
    <col min="7430" max="7432" width="12.15625" bestFit="1" customWidth="1"/>
    <col min="7433" max="7433" width="13.15625" bestFit="1" customWidth="1"/>
    <col min="7434" max="7437" width="9.68359375" bestFit="1" customWidth="1"/>
    <col min="7681" max="7681" width="2.83984375" bestFit="1" customWidth="1"/>
    <col min="7682" max="7682" width="9.578125" bestFit="1" customWidth="1"/>
    <col min="7683" max="7683" width="9.15625" bestFit="1" customWidth="1"/>
    <col min="7684" max="7684" width="19" bestFit="1" customWidth="1"/>
    <col min="7685" max="7685" width="16.26171875" customWidth="1"/>
    <col min="7686" max="7688" width="12.15625" bestFit="1" customWidth="1"/>
    <col min="7689" max="7689" width="13.15625" bestFit="1" customWidth="1"/>
    <col min="7690" max="7693" width="9.68359375" bestFit="1" customWidth="1"/>
    <col min="7937" max="7937" width="2.83984375" bestFit="1" customWidth="1"/>
    <col min="7938" max="7938" width="9.578125" bestFit="1" customWidth="1"/>
    <col min="7939" max="7939" width="9.15625" bestFit="1" customWidth="1"/>
    <col min="7940" max="7940" width="19" bestFit="1" customWidth="1"/>
    <col min="7941" max="7941" width="16.26171875" customWidth="1"/>
    <col min="7942" max="7944" width="12.15625" bestFit="1" customWidth="1"/>
    <col min="7945" max="7945" width="13.15625" bestFit="1" customWidth="1"/>
    <col min="7946" max="7949" width="9.68359375" bestFit="1" customWidth="1"/>
    <col min="8193" max="8193" width="2.83984375" bestFit="1" customWidth="1"/>
    <col min="8194" max="8194" width="9.578125" bestFit="1" customWidth="1"/>
    <col min="8195" max="8195" width="9.15625" bestFit="1" customWidth="1"/>
    <col min="8196" max="8196" width="19" bestFit="1" customWidth="1"/>
    <col min="8197" max="8197" width="16.26171875" customWidth="1"/>
    <col min="8198" max="8200" width="12.15625" bestFit="1" customWidth="1"/>
    <col min="8201" max="8201" width="13.15625" bestFit="1" customWidth="1"/>
    <col min="8202" max="8205" width="9.68359375" bestFit="1" customWidth="1"/>
    <col min="8449" max="8449" width="2.83984375" bestFit="1" customWidth="1"/>
    <col min="8450" max="8450" width="9.578125" bestFit="1" customWidth="1"/>
    <col min="8451" max="8451" width="9.15625" bestFit="1" customWidth="1"/>
    <col min="8452" max="8452" width="19" bestFit="1" customWidth="1"/>
    <col min="8453" max="8453" width="16.26171875" customWidth="1"/>
    <col min="8454" max="8456" width="12.15625" bestFit="1" customWidth="1"/>
    <col min="8457" max="8457" width="13.15625" bestFit="1" customWidth="1"/>
    <col min="8458" max="8461" width="9.68359375" bestFit="1" customWidth="1"/>
    <col min="8705" max="8705" width="2.83984375" bestFit="1" customWidth="1"/>
    <col min="8706" max="8706" width="9.578125" bestFit="1" customWidth="1"/>
    <col min="8707" max="8707" width="9.15625" bestFit="1" customWidth="1"/>
    <col min="8708" max="8708" width="19" bestFit="1" customWidth="1"/>
    <col min="8709" max="8709" width="16.26171875" customWidth="1"/>
    <col min="8710" max="8712" width="12.15625" bestFit="1" customWidth="1"/>
    <col min="8713" max="8713" width="13.15625" bestFit="1" customWidth="1"/>
    <col min="8714" max="8717" width="9.68359375" bestFit="1" customWidth="1"/>
    <col min="8961" max="8961" width="2.83984375" bestFit="1" customWidth="1"/>
    <col min="8962" max="8962" width="9.578125" bestFit="1" customWidth="1"/>
    <col min="8963" max="8963" width="9.15625" bestFit="1" customWidth="1"/>
    <col min="8964" max="8964" width="19" bestFit="1" customWidth="1"/>
    <col min="8965" max="8965" width="16.26171875" customWidth="1"/>
    <col min="8966" max="8968" width="12.15625" bestFit="1" customWidth="1"/>
    <col min="8969" max="8969" width="13.15625" bestFit="1" customWidth="1"/>
    <col min="8970" max="8973" width="9.68359375" bestFit="1" customWidth="1"/>
    <col min="9217" max="9217" width="2.83984375" bestFit="1" customWidth="1"/>
    <col min="9218" max="9218" width="9.578125" bestFit="1" customWidth="1"/>
    <col min="9219" max="9219" width="9.15625" bestFit="1" customWidth="1"/>
    <col min="9220" max="9220" width="19" bestFit="1" customWidth="1"/>
    <col min="9221" max="9221" width="16.26171875" customWidth="1"/>
    <col min="9222" max="9224" width="12.15625" bestFit="1" customWidth="1"/>
    <col min="9225" max="9225" width="13.15625" bestFit="1" customWidth="1"/>
    <col min="9226" max="9229" width="9.68359375" bestFit="1" customWidth="1"/>
    <col min="9473" max="9473" width="2.83984375" bestFit="1" customWidth="1"/>
    <col min="9474" max="9474" width="9.578125" bestFit="1" customWidth="1"/>
    <col min="9475" max="9475" width="9.15625" bestFit="1" customWidth="1"/>
    <col min="9476" max="9476" width="19" bestFit="1" customWidth="1"/>
    <col min="9477" max="9477" width="16.26171875" customWidth="1"/>
    <col min="9478" max="9480" width="12.15625" bestFit="1" customWidth="1"/>
    <col min="9481" max="9481" width="13.15625" bestFit="1" customWidth="1"/>
    <col min="9482" max="9485" width="9.68359375" bestFit="1" customWidth="1"/>
    <col min="9729" max="9729" width="2.83984375" bestFit="1" customWidth="1"/>
    <col min="9730" max="9730" width="9.578125" bestFit="1" customWidth="1"/>
    <col min="9731" max="9731" width="9.15625" bestFit="1" customWidth="1"/>
    <col min="9732" max="9732" width="19" bestFit="1" customWidth="1"/>
    <col min="9733" max="9733" width="16.26171875" customWidth="1"/>
    <col min="9734" max="9736" width="12.15625" bestFit="1" customWidth="1"/>
    <col min="9737" max="9737" width="13.15625" bestFit="1" customWidth="1"/>
    <col min="9738" max="9741" width="9.68359375" bestFit="1" customWidth="1"/>
    <col min="9985" max="9985" width="2.83984375" bestFit="1" customWidth="1"/>
    <col min="9986" max="9986" width="9.578125" bestFit="1" customWidth="1"/>
    <col min="9987" max="9987" width="9.15625" bestFit="1" customWidth="1"/>
    <col min="9988" max="9988" width="19" bestFit="1" customWidth="1"/>
    <col min="9989" max="9989" width="16.26171875" customWidth="1"/>
    <col min="9990" max="9992" width="12.15625" bestFit="1" customWidth="1"/>
    <col min="9993" max="9993" width="13.15625" bestFit="1" customWidth="1"/>
    <col min="9994" max="9997" width="9.68359375" bestFit="1" customWidth="1"/>
    <col min="10241" max="10241" width="2.83984375" bestFit="1" customWidth="1"/>
    <col min="10242" max="10242" width="9.578125" bestFit="1" customWidth="1"/>
    <col min="10243" max="10243" width="9.15625" bestFit="1" customWidth="1"/>
    <col min="10244" max="10244" width="19" bestFit="1" customWidth="1"/>
    <col min="10245" max="10245" width="16.26171875" customWidth="1"/>
    <col min="10246" max="10248" width="12.15625" bestFit="1" customWidth="1"/>
    <col min="10249" max="10249" width="13.15625" bestFit="1" customWidth="1"/>
    <col min="10250" max="10253" width="9.68359375" bestFit="1" customWidth="1"/>
    <col min="10497" max="10497" width="2.83984375" bestFit="1" customWidth="1"/>
    <col min="10498" max="10498" width="9.578125" bestFit="1" customWidth="1"/>
    <col min="10499" max="10499" width="9.15625" bestFit="1" customWidth="1"/>
    <col min="10500" max="10500" width="19" bestFit="1" customWidth="1"/>
    <col min="10501" max="10501" width="16.26171875" customWidth="1"/>
    <col min="10502" max="10504" width="12.15625" bestFit="1" customWidth="1"/>
    <col min="10505" max="10505" width="13.15625" bestFit="1" customWidth="1"/>
    <col min="10506" max="10509" width="9.68359375" bestFit="1" customWidth="1"/>
    <col min="10753" max="10753" width="2.83984375" bestFit="1" customWidth="1"/>
    <col min="10754" max="10754" width="9.578125" bestFit="1" customWidth="1"/>
    <col min="10755" max="10755" width="9.15625" bestFit="1" customWidth="1"/>
    <col min="10756" max="10756" width="19" bestFit="1" customWidth="1"/>
    <col min="10757" max="10757" width="16.26171875" customWidth="1"/>
    <col min="10758" max="10760" width="12.15625" bestFit="1" customWidth="1"/>
    <col min="10761" max="10761" width="13.15625" bestFit="1" customWidth="1"/>
    <col min="10762" max="10765" width="9.68359375" bestFit="1" customWidth="1"/>
    <col min="11009" max="11009" width="2.83984375" bestFit="1" customWidth="1"/>
    <col min="11010" max="11010" width="9.578125" bestFit="1" customWidth="1"/>
    <col min="11011" max="11011" width="9.15625" bestFit="1" customWidth="1"/>
    <col min="11012" max="11012" width="19" bestFit="1" customWidth="1"/>
    <col min="11013" max="11013" width="16.26171875" customWidth="1"/>
    <col min="11014" max="11016" width="12.15625" bestFit="1" customWidth="1"/>
    <col min="11017" max="11017" width="13.15625" bestFit="1" customWidth="1"/>
    <col min="11018" max="11021" width="9.68359375" bestFit="1" customWidth="1"/>
    <col min="11265" max="11265" width="2.83984375" bestFit="1" customWidth="1"/>
    <col min="11266" max="11266" width="9.578125" bestFit="1" customWidth="1"/>
    <col min="11267" max="11267" width="9.15625" bestFit="1" customWidth="1"/>
    <col min="11268" max="11268" width="19" bestFit="1" customWidth="1"/>
    <col min="11269" max="11269" width="16.26171875" customWidth="1"/>
    <col min="11270" max="11272" width="12.15625" bestFit="1" customWidth="1"/>
    <col min="11273" max="11273" width="13.15625" bestFit="1" customWidth="1"/>
    <col min="11274" max="11277" width="9.68359375" bestFit="1" customWidth="1"/>
    <col min="11521" max="11521" width="2.83984375" bestFit="1" customWidth="1"/>
    <col min="11522" max="11522" width="9.578125" bestFit="1" customWidth="1"/>
    <col min="11523" max="11523" width="9.15625" bestFit="1" customWidth="1"/>
    <col min="11524" max="11524" width="19" bestFit="1" customWidth="1"/>
    <col min="11525" max="11525" width="16.26171875" customWidth="1"/>
    <col min="11526" max="11528" width="12.15625" bestFit="1" customWidth="1"/>
    <col min="11529" max="11529" width="13.15625" bestFit="1" customWidth="1"/>
    <col min="11530" max="11533" width="9.68359375" bestFit="1" customWidth="1"/>
    <col min="11777" max="11777" width="2.83984375" bestFit="1" customWidth="1"/>
    <col min="11778" max="11778" width="9.578125" bestFit="1" customWidth="1"/>
    <col min="11779" max="11779" width="9.15625" bestFit="1" customWidth="1"/>
    <col min="11780" max="11780" width="19" bestFit="1" customWidth="1"/>
    <col min="11781" max="11781" width="16.26171875" customWidth="1"/>
    <col min="11782" max="11784" width="12.15625" bestFit="1" customWidth="1"/>
    <col min="11785" max="11785" width="13.15625" bestFit="1" customWidth="1"/>
    <col min="11786" max="11789" width="9.68359375" bestFit="1" customWidth="1"/>
    <col min="12033" max="12033" width="2.83984375" bestFit="1" customWidth="1"/>
    <col min="12034" max="12034" width="9.578125" bestFit="1" customWidth="1"/>
    <col min="12035" max="12035" width="9.15625" bestFit="1" customWidth="1"/>
    <col min="12036" max="12036" width="19" bestFit="1" customWidth="1"/>
    <col min="12037" max="12037" width="16.26171875" customWidth="1"/>
    <col min="12038" max="12040" width="12.15625" bestFit="1" customWidth="1"/>
    <col min="12041" max="12041" width="13.15625" bestFit="1" customWidth="1"/>
    <col min="12042" max="12045" width="9.68359375" bestFit="1" customWidth="1"/>
    <col min="12289" max="12289" width="2.83984375" bestFit="1" customWidth="1"/>
    <col min="12290" max="12290" width="9.578125" bestFit="1" customWidth="1"/>
    <col min="12291" max="12291" width="9.15625" bestFit="1" customWidth="1"/>
    <col min="12292" max="12292" width="19" bestFit="1" customWidth="1"/>
    <col min="12293" max="12293" width="16.26171875" customWidth="1"/>
    <col min="12294" max="12296" width="12.15625" bestFit="1" customWidth="1"/>
    <col min="12297" max="12297" width="13.15625" bestFit="1" customWidth="1"/>
    <col min="12298" max="12301" width="9.68359375" bestFit="1" customWidth="1"/>
    <col min="12545" max="12545" width="2.83984375" bestFit="1" customWidth="1"/>
    <col min="12546" max="12546" width="9.578125" bestFit="1" customWidth="1"/>
    <col min="12547" max="12547" width="9.15625" bestFit="1" customWidth="1"/>
    <col min="12548" max="12548" width="19" bestFit="1" customWidth="1"/>
    <col min="12549" max="12549" width="16.26171875" customWidth="1"/>
    <col min="12550" max="12552" width="12.15625" bestFit="1" customWidth="1"/>
    <col min="12553" max="12553" width="13.15625" bestFit="1" customWidth="1"/>
    <col min="12554" max="12557" width="9.68359375" bestFit="1" customWidth="1"/>
    <col min="12801" max="12801" width="2.83984375" bestFit="1" customWidth="1"/>
    <col min="12802" max="12802" width="9.578125" bestFit="1" customWidth="1"/>
    <col min="12803" max="12803" width="9.15625" bestFit="1" customWidth="1"/>
    <col min="12804" max="12804" width="19" bestFit="1" customWidth="1"/>
    <col min="12805" max="12805" width="16.26171875" customWidth="1"/>
    <col min="12806" max="12808" width="12.15625" bestFit="1" customWidth="1"/>
    <col min="12809" max="12809" width="13.15625" bestFit="1" customWidth="1"/>
    <col min="12810" max="12813" width="9.68359375" bestFit="1" customWidth="1"/>
    <col min="13057" max="13057" width="2.83984375" bestFit="1" customWidth="1"/>
    <col min="13058" max="13058" width="9.578125" bestFit="1" customWidth="1"/>
    <col min="13059" max="13059" width="9.15625" bestFit="1" customWidth="1"/>
    <col min="13060" max="13060" width="19" bestFit="1" customWidth="1"/>
    <col min="13061" max="13061" width="16.26171875" customWidth="1"/>
    <col min="13062" max="13064" width="12.15625" bestFit="1" customWidth="1"/>
    <col min="13065" max="13065" width="13.15625" bestFit="1" customWidth="1"/>
    <col min="13066" max="13069" width="9.68359375" bestFit="1" customWidth="1"/>
    <col min="13313" max="13313" width="2.83984375" bestFit="1" customWidth="1"/>
    <col min="13314" max="13314" width="9.578125" bestFit="1" customWidth="1"/>
    <col min="13315" max="13315" width="9.15625" bestFit="1" customWidth="1"/>
    <col min="13316" max="13316" width="19" bestFit="1" customWidth="1"/>
    <col min="13317" max="13317" width="16.26171875" customWidth="1"/>
    <col min="13318" max="13320" width="12.15625" bestFit="1" customWidth="1"/>
    <col min="13321" max="13321" width="13.15625" bestFit="1" customWidth="1"/>
    <col min="13322" max="13325" width="9.68359375" bestFit="1" customWidth="1"/>
    <col min="13569" max="13569" width="2.83984375" bestFit="1" customWidth="1"/>
    <col min="13570" max="13570" width="9.578125" bestFit="1" customWidth="1"/>
    <col min="13571" max="13571" width="9.15625" bestFit="1" customWidth="1"/>
    <col min="13572" max="13572" width="19" bestFit="1" customWidth="1"/>
    <col min="13573" max="13573" width="16.26171875" customWidth="1"/>
    <col min="13574" max="13576" width="12.15625" bestFit="1" customWidth="1"/>
    <col min="13577" max="13577" width="13.15625" bestFit="1" customWidth="1"/>
    <col min="13578" max="13581" width="9.68359375" bestFit="1" customWidth="1"/>
    <col min="13825" max="13825" width="2.83984375" bestFit="1" customWidth="1"/>
    <col min="13826" max="13826" width="9.578125" bestFit="1" customWidth="1"/>
    <col min="13827" max="13827" width="9.15625" bestFit="1" customWidth="1"/>
    <col min="13828" max="13828" width="19" bestFit="1" customWidth="1"/>
    <col min="13829" max="13829" width="16.26171875" customWidth="1"/>
    <col min="13830" max="13832" width="12.15625" bestFit="1" customWidth="1"/>
    <col min="13833" max="13833" width="13.15625" bestFit="1" customWidth="1"/>
    <col min="13834" max="13837" width="9.68359375" bestFit="1" customWidth="1"/>
    <col min="14081" max="14081" width="2.83984375" bestFit="1" customWidth="1"/>
    <col min="14082" max="14082" width="9.578125" bestFit="1" customWidth="1"/>
    <col min="14083" max="14083" width="9.15625" bestFit="1" customWidth="1"/>
    <col min="14084" max="14084" width="19" bestFit="1" customWidth="1"/>
    <col min="14085" max="14085" width="16.26171875" customWidth="1"/>
    <col min="14086" max="14088" width="12.15625" bestFit="1" customWidth="1"/>
    <col min="14089" max="14089" width="13.15625" bestFit="1" customWidth="1"/>
    <col min="14090" max="14093" width="9.68359375" bestFit="1" customWidth="1"/>
    <col min="14337" max="14337" width="2.83984375" bestFit="1" customWidth="1"/>
    <col min="14338" max="14338" width="9.578125" bestFit="1" customWidth="1"/>
    <col min="14339" max="14339" width="9.15625" bestFit="1" customWidth="1"/>
    <col min="14340" max="14340" width="19" bestFit="1" customWidth="1"/>
    <col min="14341" max="14341" width="16.26171875" customWidth="1"/>
    <col min="14342" max="14344" width="12.15625" bestFit="1" customWidth="1"/>
    <col min="14345" max="14345" width="13.15625" bestFit="1" customWidth="1"/>
    <col min="14346" max="14349" width="9.68359375" bestFit="1" customWidth="1"/>
    <col min="14593" max="14593" width="2.83984375" bestFit="1" customWidth="1"/>
    <col min="14594" max="14594" width="9.578125" bestFit="1" customWidth="1"/>
    <col min="14595" max="14595" width="9.15625" bestFit="1" customWidth="1"/>
    <col min="14596" max="14596" width="19" bestFit="1" customWidth="1"/>
    <col min="14597" max="14597" width="16.26171875" customWidth="1"/>
    <col min="14598" max="14600" width="12.15625" bestFit="1" customWidth="1"/>
    <col min="14601" max="14601" width="13.15625" bestFit="1" customWidth="1"/>
    <col min="14602" max="14605" width="9.68359375" bestFit="1" customWidth="1"/>
    <col min="14849" max="14849" width="2.83984375" bestFit="1" customWidth="1"/>
    <col min="14850" max="14850" width="9.578125" bestFit="1" customWidth="1"/>
    <col min="14851" max="14851" width="9.15625" bestFit="1" customWidth="1"/>
    <col min="14852" max="14852" width="19" bestFit="1" customWidth="1"/>
    <col min="14853" max="14853" width="16.26171875" customWidth="1"/>
    <col min="14854" max="14856" width="12.15625" bestFit="1" customWidth="1"/>
    <col min="14857" max="14857" width="13.15625" bestFit="1" customWidth="1"/>
    <col min="14858" max="14861" width="9.68359375" bestFit="1" customWidth="1"/>
    <col min="15105" max="15105" width="2.83984375" bestFit="1" customWidth="1"/>
    <col min="15106" max="15106" width="9.578125" bestFit="1" customWidth="1"/>
    <col min="15107" max="15107" width="9.15625" bestFit="1" customWidth="1"/>
    <col min="15108" max="15108" width="19" bestFit="1" customWidth="1"/>
    <col min="15109" max="15109" width="16.26171875" customWidth="1"/>
    <col min="15110" max="15112" width="12.15625" bestFit="1" customWidth="1"/>
    <col min="15113" max="15113" width="13.15625" bestFit="1" customWidth="1"/>
    <col min="15114" max="15117" width="9.68359375" bestFit="1" customWidth="1"/>
    <col min="15361" max="15361" width="2.83984375" bestFit="1" customWidth="1"/>
    <col min="15362" max="15362" width="9.578125" bestFit="1" customWidth="1"/>
    <col min="15363" max="15363" width="9.15625" bestFit="1" customWidth="1"/>
    <col min="15364" max="15364" width="19" bestFit="1" customWidth="1"/>
    <col min="15365" max="15365" width="16.26171875" customWidth="1"/>
    <col min="15366" max="15368" width="12.15625" bestFit="1" customWidth="1"/>
    <col min="15369" max="15369" width="13.15625" bestFit="1" customWidth="1"/>
    <col min="15370" max="15373" width="9.68359375" bestFit="1" customWidth="1"/>
    <col min="15617" max="15617" width="2.83984375" bestFit="1" customWidth="1"/>
    <col min="15618" max="15618" width="9.578125" bestFit="1" customWidth="1"/>
    <col min="15619" max="15619" width="9.15625" bestFit="1" customWidth="1"/>
    <col min="15620" max="15620" width="19" bestFit="1" customWidth="1"/>
    <col min="15621" max="15621" width="16.26171875" customWidth="1"/>
    <col min="15622" max="15624" width="12.15625" bestFit="1" customWidth="1"/>
    <col min="15625" max="15625" width="13.15625" bestFit="1" customWidth="1"/>
    <col min="15626" max="15629" width="9.68359375" bestFit="1" customWidth="1"/>
    <col min="15873" max="15873" width="2.83984375" bestFit="1" customWidth="1"/>
    <col min="15874" max="15874" width="9.578125" bestFit="1" customWidth="1"/>
    <col min="15875" max="15875" width="9.15625" bestFit="1" customWidth="1"/>
    <col min="15876" max="15876" width="19" bestFit="1" customWidth="1"/>
    <col min="15877" max="15877" width="16.26171875" customWidth="1"/>
    <col min="15878" max="15880" width="12.15625" bestFit="1" customWidth="1"/>
    <col min="15881" max="15881" width="13.15625" bestFit="1" customWidth="1"/>
    <col min="15882" max="15885" width="9.68359375" bestFit="1" customWidth="1"/>
    <col min="16129" max="16129" width="2.83984375" bestFit="1" customWidth="1"/>
    <col min="16130" max="16130" width="9.578125" bestFit="1" customWidth="1"/>
    <col min="16131" max="16131" width="9.15625" bestFit="1" customWidth="1"/>
    <col min="16132" max="16132" width="19" bestFit="1" customWidth="1"/>
    <col min="16133" max="16133" width="16.26171875" customWidth="1"/>
    <col min="16134" max="16136" width="12.15625" bestFit="1" customWidth="1"/>
    <col min="16137" max="16137" width="13.15625" bestFit="1" customWidth="1"/>
    <col min="16138" max="16141" width="9.68359375" bestFit="1" customWidth="1"/>
  </cols>
  <sheetData>
    <row r="1" spans="2:7" x14ac:dyDescent="0.55000000000000004">
      <c r="B1" s="45" t="s">
        <v>352</v>
      </c>
      <c r="C1" s="45"/>
      <c r="D1" s="45"/>
    </row>
    <row r="2" spans="2:7" ht="43.2" x14ac:dyDescent="0.55000000000000004">
      <c r="B2" s="39" t="s">
        <v>353</v>
      </c>
      <c r="C2" s="39"/>
      <c r="D2" s="39"/>
      <c r="E2" s="39"/>
      <c r="F2" s="39"/>
      <c r="G2" s="39"/>
    </row>
    <row r="4" spans="2:7" x14ac:dyDescent="0.55000000000000004">
      <c r="B4" s="46" t="s">
        <v>240</v>
      </c>
      <c r="C4" s="46" t="s">
        <v>208</v>
      </c>
      <c r="D4" s="46" t="s">
        <v>244</v>
      </c>
    </row>
    <row r="5" spans="2:7" x14ac:dyDescent="0.55000000000000004">
      <c r="B5" s="47" t="s">
        <v>354</v>
      </c>
      <c r="C5" s="60">
        <v>15</v>
      </c>
      <c r="D5" s="47" t="s">
        <v>355</v>
      </c>
    </row>
    <row r="6" spans="2:7" x14ac:dyDescent="0.55000000000000004">
      <c r="B6" s="47" t="s">
        <v>356</v>
      </c>
      <c r="C6" s="60">
        <v>110</v>
      </c>
      <c r="D6" s="47" t="s">
        <v>357</v>
      </c>
    </row>
    <row r="7" spans="2:7" x14ac:dyDescent="0.55000000000000004">
      <c r="B7" s="47" t="s">
        <v>358</v>
      </c>
      <c r="C7" s="60">
        <v>165</v>
      </c>
      <c r="D7" s="47" t="s">
        <v>359</v>
      </c>
    </row>
    <row r="8" spans="2:7" x14ac:dyDescent="0.55000000000000004">
      <c r="B8" s="47" t="s">
        <v>360</v>
      </c>
      <c r="C8" s="60">
        <v>30</v>
      </c>
      <c r="D8" s="47" t="s">
        <v>361</v>
      </c>
    </row>
    <row r="9" spans="2:7" x14ac:dyDescent="0.55000000000000004">
      <c r="B9" s="47" t="s">
        <v>362</v>
      </c>
      <c r="C9" s="60">
        <v>40</v>
      </c>
      <c r="D9" s="47" t="s">
        <v>363</v>
      </c>
    </row>
    <row r="10" spans="2:7" x14ac:dyDescent="0.55000000000000004">
      <c r="B10" s="47" t="s">
        <v>364</v>
      </c>
      <c r="C10" s="60">
        <v>45</v>
      </c>
      <c r="D10" s="47" t="s">
        <v>365</v>
      </c>
    </row>
    <row r="11" spans="2:7" x14ac:dyDescent="0.55000000000000004">
      <c r="B11" s="47" t="s">
        <v>366</v>
      </c>
      <c r="C11" s="60">
        <v>65</v>
      </c>
      <c r="D11" s="47" t="s">
        <v>367</v>
      </c>
    </row>
    <row r="12" spans="2:7" x14ac:dyDescent="0.55000000000000004">
      <c r="B12" s="47" t="s">
        <v>368</v>
      </c>
      <c r="C12" s="60">
        <v>69</v>
      </c>
      <c r="D12" s="47" t="s">
        <v>369</v>
      </c>
    </row>
    <row r="13" spans="2:7" x14ac:dyDescent="0.55000000000000004">
      <c r="B13" s="47" t="s">
        <v>370</v>
      </c>
      <c r="C13" s="60">
        <v>100</v>
      </c>
      <c r="D13" s="47" t="s">
        <v>371</v>
      </c>
    </row>
    <row r="15" spans="2:7" x14ac:dyDescent="0.55000000000000004">
      <c r="D15" s="48" t="s">
        <v>244</v>
      </c>
      <c r="E15" s="48" t="s">
        <v>240</v>
      </c>
    </row>
    <row r="16" spans="2:7" x14ac:dyDescent="0.55000000000000004">
      <c r="D16" s="49" t="s">
        <v>359</v>
      </c>
      <c r="E16" s="19"/>
    </row>
    <row r="17" spans="2:12" x14ac:dyDescent="0.55000000000000004">
      <c r="E17" s="19"/>
      <c r="F17" t="s">
        <v>372</v>
      </c>
    </row>
    <row r="19" spans="2:12" x14ac:dyDescent="0.55000000000000004">
      <c r="B19" s="45" t="s">
        <v>373</v>
      </c>
      <c r="C19" s="45"/>
      <c r="D19" s="45"/>
    </row>
    <row r="20" spans="2:12" x14ac:dyDescent="0.55000000000000004">
      <c r="B20" s="12" t="s">
        <v>374</v>
      </c>
      <c r="D20" s="50" t="s">
        <v>375</v>
      </c>
      <c r="E20" s="51">
        <v>39384</v>
      </c>
      <c r="F20" s="51">
        <v>39617</v>
      </c>
      <c r="G20" s="51">
        <v>39509</v>
      </c>
      <c r="H20" s="51">
        <v>39258</v>
      </c>
      <c r="I20" s="51">
        <v>39308</v>
      </c>
      <c r="J20" s="51">
        <v>39256</v>
      </c>
      <c r="K20" s="51">
        <v>39201</v>
      </c>
      <c r="L20" s="51">
        <v>39160</v>
      </c>
    </row>
    <row r="21" spans="2:12" x14ac:dyDescent="0.55000000000000004">
      <c r="B21" s="14" t="s">
        <v>376</v>
      </c>
    </row>
    <row r="22" spans="2:12" x14ac:dyDescent="0.55000000000000004">
      <c r="B22" s="14" t="s">
        <v>377</v>
      </c>
      <c r="D22" s="52" t="s">
        <v>374</v>
      </c>
      <c r="E22" s="50" t="s">
        <v>375</v>
      </c>
    </row>
    <row r="23" spans="2:12" x14ac:dyDescent="0.55000000000000004">
      <c r="B23" s="14" t="s">
        <v>378</v>
      </c>
      <c r="D23" s="14" t="s">
        <v>377</v>
      </c>
      <c r="E23" s="53"/>
      <c r="F23" t="s">
        <v>379</v>
      </c>
    </row>
    <row r="24" spans="2:12" x14ac:dyDescent="0.55000000000000004">
      <c r="B24" s="14" t="s">
        <v>380</v>
      </c>
      <c r="E24" s="53"/>
    </row>
    <row r="25" spans="2:12" x14ac:dyDescent="0.55000000000000004">
      <c r="B25" s="14" t="s">
        <v>381</v>
      </c>
    </row>
    <row r="26" spans="2:12" x14ac:dyDescent="0.55000000000000004">
      <c r="B26" s="14" t="s">
        <v>382</v>
      </c>
      <c r="E26" s="54"/>
    </row>
    <row r="27" spans="2:12" x14ac:dyDescent="0.55000000000000004">
      <c r="B27" s="14" t="s">
        <v>383</v>
      </c>
    </row>
    <row r="28" spans="2:12" x14ac:dyDescent="0.55000000000000004">
      <c r="B28" s="14" t="s">
        <v>384</v>
      </c>
      <c r="E28" s="54"/>
    </row>
  </sheetData>
  <dataValidations count="2">
    <dataValidation type="list" allowBlank="1" showInputMessage="1" showErrorMessage="1" sqref="D16 IZ16 SV16 ACR16 AMN16 AWJ16 BGF16 BQB16 BZX16 CJT16 CTP16 DDL16 DNH16 DXD16 EGZ16 EQV16 FAR16 FKN16 FUJ16 GEF16 GOB16 GXX16 HHT16 HRP16 IBL16 ILH16 IVD16 JEZ16 JOV16 JYR16 KIN16 KSJ16 LCF16 LMB16 LVX16 MFT16 MPP16 MZL16 NJH16 NTD16 OCZ16 OMV16 OWR16 PGN16 PQJ16 QAF16 QKB16 QTX16 RDT16 RNP16 RXL16 SHH16 SRD16 TAZ16 TKV16 TUR16 UEN16 UOJ16 UYF16 VIB16 VRX16 WBT16 WLP16 WVL16 D65552 IZ65552 SV65552 ACR65552 AMN65552 AWJ65552 BGF65552 BQB65552 BZX65552 CJT65552 CTP65552 DDL65552 DNH65552 DXD65552 EGZ65552 EQV65552 FAR65552 FKN65552 FUJ65552 GEF65552 GOB65552 GXX65552 HHT65552 HRP65552 IBL65552 ILH65552 IVD65552 JEZ65552 JOV65552 JYR65552 KIN65552 KSJ65552 LCF65552 LMB65552 LVX65552 MFT65552 MPP65552 MZL65552 NJH65552 NTD65552 OCZ65552 OMV65552 OWR65552 PGN65552 PQJ65552 QAF65552 QKB65552 QTX65552 RDT65552 RNP65552 RXL65552 SHH65552 SRD65552 TAZ65552 TKV65552 TUR65552 UEN65552 UOJ65552 UYF65552 VIB65552 VRX65552 WBT65552 WLP65552 WVL65552 D131088 IZ131088 SV131088 ACR131088 AMN131088 AWJ131088 BGF131088 BQB131088 BZX131088 CJT131088 CTP131088 DDL131088 DNH131088 DXD131088 EGZ131088 EQV131088 FAR131088 FKN131088 FUJ131088 GEF131088 GOB131088 GXX131088 HHT131088 HRP131088 IBL131088 ILH131088 IVD131088 JEZ131088 JOV131088 JYR131088 KIN131088 KSJ131088 LCF131088 LMB131088 LVX131088 MFT131088 MPP131088 MZL131088 NJH131088 NTD131088 OCZ131088 OMV131088 OWR131088 PGN131088 PQJ131088 QAF131088 QKB131088 QTX131088 RDT131088 RNP131088 RXL131088 SHH131088 SRD131088 TAZ131088 TKV131088 TUR131088 UEN131088 UOJ131088 UYF131088 VIB131088 VRX131088 WBT131088 WLP131088 WVL131088 D196624 IZ196624 SV196624 ACR196624 AMN196624 AWJ196624 BGF196624 BQB196624 BZX196624 CJT196624 CTP196624 DDL196624 DNH196624 DXD196624 EGZ196624 EQV196624 FAR196624 FKN196624 FUJ196624 GEF196624 GOB196624 GXX196624 HHT196624 HRP196624 IBL196624 ILH196624 IVD196624 JEZ196624 JOV196624 JYR196624 KIN196624 KSJ196624 LCF196624 LMB196624 LVX196624 MFT196624 MPP196624 MZL196624 NJH196624 NTD196624 OCZ196624 OMV196624 OWR196624 PGN196624 PQJ196624 QAF196624 QKB196624 QTX196624 RDT196624 RNP196624 RXL196624 SHH196624 SRD196624 TAZ196624 TKV196624 TUR196624 UEN196624 UOJ196624 UYF196624 VIB196624 VRX196624 WBT196624 WLP196624 WVL196624 D262160 IZ262160 SV262160 ACR262160 AMN262160 AWJ262160 BGF262160 BQB262160 BZX262160 CJT262160 CTP262160 DDL262160 DNH262160 DXD262160 EGZ262160 EQV262160 FAR262160 FKN262160 FUJ262160 GEF262160 GOB262160 GXX262160 HHT262160 HRP262160 IBL262160 ILH262160 IVD262160 JEZ262160 JOV262160 JYR262160 KIN262160 KSJ262160 LCF262160 LMB262160 LVX262160 MFT262160 MPP262160 MZL262160 NJH262160 NTD262160 OCZ262160 OMV262160 OWR262160 PGN262160 PQJ262160 QAF262160 QKB262160 QTX262160 RDT262160 RNP262160 RXL262160 SHH262160 SRD262160 TAZ262160 TKV262160 TUR262160 UEN262160 UOJ262160 UYF262160 VIB262160 VRX262160 WBT262160 WLP262160 WVL262160 D327696 IZ327696 SV327696 ACR327696 AMN327696 AWJ327696 BGF327696 BQB327696 BZX327696 CJT327696 CTP327696 DDL327696 DNH327696 DXD327696 EGZ327696 EQV327696 FAR327696 FKN327696 FUJ327696 GEF327696 GOB327696 GXX327696 HHT327696 HRP327696 IBL327696 ILH327696 IVD327696 JEZ327696 JOV327696 JYR327696 KIN327696 KSJ327696 LCF327696 LMB327696 LVX327696 MFT327696 MPP327696 MZL327696 NJH327696 NTD327696 OCZ327696 OMV327696 OWR327696 PGN327696 PQJ327696 QAF327696 QKB327696 QTX327696 RDT327696 RNP327696 RXL327696 SHH327696 SRD327696 TAZ327696 TKV327696 TUR327696 UEN327696 UOJ327696 UYF327696 VIB327696 VRX327696 WBT327696 WLP327696 WVL327696 D393232 IZ393232 SV393232 ACR393232 AMN393232 AWJ393232 BGF393232 BQB393232 BZX393232 CJT393232 CTP393232 DDL393232 DNH393232 DXD393232 EGZ393232 EQV393232 FAR393232 FKN393232 FUJ393232 GEF393232 GOB393232 GXX393232 HHT393232 HRP393232 IBL393232 ILH393232 IVD393232 JEZ393232 JOV393232 JYR393232 KIN393232 KSJ393232 LCF393232 LMB393232 LVX393232 MFT393232 MPP393232 MZL393232 NJH393232 NTD393232 OCZ393232 OMV393232 OWR393232 PGN393232 PQJ393232 QAF393232 QKB393232 QTX393232 RDT393232 RNP393232 RXL393232 SHH393232 SRD393232 TAZ393232 TKV393232 TUR393232 UEN393232 UOJ393232 UYF393232 VIB393232 VRX393232 WBT393232 WLP393232 WVL393232 D458768 IZ458768 SV458768 ACR458768 AMN458768 AWJ458768 BGF458768 BQB458768 BZX458768 CJT458768 CTP458768 DDL458768 DNH458768 DXD458768 EGZ458768 EQV458768 FAR458768 FKN458768 FUJ458768 GEF458768 GOB458768 GXX458768 HHT458768 HRP458768 IBL458768 ILH458768 IVD458768 JEZ458768 JOV458768 JYR458768 KIN458768 KSJ458768 LCF458768 LMB458768 LVX458768 MFT458768 MPP458768 MZL458768 NJH458768 NTD458768 OCZ458768 OMV458768 OWR458768 PGN458768 PQJ458768 QAF458768 QKB458768 QTX458768 RDT458768 RNP458768 RXL458768 SHH458768 SRD458768 TAZ458768 TKV458768 TUR458768 UEN458768 UOJ458768 UYF458768 VIB458768 VRX458768 WBT458768 WLP458768 WVL458768 D524304 IZ524304 SV524304 ACR524304 AMN524304 AWJ524304 BGF524304 BQB524304 BZX524304 CJT524304 CTP524304 DDL524304 DNH524304 DXD524304 EGZ524304 EQV524304 FAR524304 FKN524304 FUJ524304 GEF524304 GOB524304 GXX524304 HHT524304 HRP524304 IBL524304 ILH524304 IVD524304 JEZ524304 JOV524304 JYR524304 KIN524304 KSJ524304 LCF524304 LMB524304 LVX524304 MFT524304 MPP524304 MZL524304 NJH524304 NTD524304 OCZ524304 OMV524304 OWR524304 PGN524304 PQJ524304 QAF524304 QKB524304 QTX524304 RDT524304 RNP524304 RXL524304 SHH524304 SRD524304 TAZ524304 TKV524304 TUR524304 UEN524304 UOJ524304 UYF524304 VIB524304 VRX524304 WBT524304 WLP524304 WVL524304 D589840 IZ589840 SV589840 ACR589840 AMN589840 AWJ589840 BGF589840 BQB589840 BZX589840 CJT589840 CTP589840 DDL589840 DNH589840 DXD589840 EGZ589840 EQV589840 FAR589840 FKN589840 FUJ589840 GEF589840 GOB589840 GXX589840 HHT589840 HRP589840 IBL589840 ILH589840 IVD589840 JEZ589840 JOV589840 JYR589840 KIN589840 KSJ589840 LCF589840 LMB589840 LVX589840 MFT589840 MPP589840 MZL589840 NJH589840 NTD589840 OCZ589840 OMV589840 OWR589840 PGN589840 PQJ589840 QAF589840 QKB589840 QTX589840 RDT589840 RNP589840 RXL589840 SHH589840 SRD589840 TAZ589840 TKV589840 TUR589840 UEN589840 UOJ589840 UYF589840 VIB589840 VRX589840 WBT589840 WLP589840 WVL589840 D655376 IZ655376 SV655376 ACR655376 AMN655376 AWJ655376 BGF655376 BQB655376 BZX655376 CJT655376 CTP655376 DDL655376 DNH655376 DXD655376 EGZ655376 EQV655376 FAR655376 FKN655376 FUJ655376 GEF655376 GOB655376 GXX655376 HHT655376 HRP655376 IBL655376 ILH655376 IVD655376 JEZ655376 JOV655376 JYR655376 KIN655376 KSJ655376 LCF655376 LMB655376 LVX655376 MFT655376 MPP655376 MZL655376 NJH655376 NTD655376 OCZ655376 OMV655376 OWR655376 PGN655376 PQJ655376 QAF655376 QKB655376 QTX655376 RDT655376 RNP655376 RXL655376 SHH655376 SRD655376 TAZ655376 TKV655376 TUR655376 UEN655376 UOJ655376 UYF655376 VIB655376 VRX655376 WBT655376 WLP655376 WVL655376 D720912 IZ720912 SV720912 ACR720912 AMN720912 AWJ720912 BGF720912 BQB720912 BZX720912 CJT720912 CTP720912 DDL720912 DNH720912 DXD720912 EGZ720912 EQV720912 FAR720912 FKN720912 FUJ720912 GEF720912 GOB720912 GXX720912 HHT720912 HRP720912 IBL720912 ILH720912 IVD720912 JEZ720912 JOV720912 JYR720912 KIN720912 KSJ720912 LCF720912 LMB720912 LVX720912 MFT720912 MPP720912 MZL720912 NJH720912 NTD720912 OCZ720912 OMV720912 OWR720912 PGN720912 PQJ720912 QAF720912 QKB720912 QTX720912 RDT720912 RNP720912 RXL720912 SHH720912 SRD720912 TAZ720912 TKV720912 TUR720912 UEN720912 UOJ720912 UYF720912 VIB720912 VRX720912 WBT720912 WLP720912 WVL720912 D786448 IZ786448 SV786448 ACR786448 AMN786448 AWJ786448 BGF786448 BQB786448 BZX786448 CJT786448 CTP786448 DDL786448 DNH786448 DXD786448 EGZ786448 EQV786448 FAR786448 FKN786448 FUJ786448 GEF786448 GOB786448 GXX786448 HHT786448 HRP786448 IBL786448 ILH786448 IVD786448 JEZ786448 JOV786448 JYR786448 KIN786448 KSJ786448 LCF786448 LMB786448 LVX786448 MFT786448 MPP786448 MZL786448 NJH786448 NTD786448 OCZ786448 OMV786448 OWR786448 PGN786448 PQJ786448 QAF786448 QKB786448 QTX786448 RDT786448 RNP786448 RXL786448 SHH786448 SRD786448 TAZ786448 TKV786448 TUR786448 UEN786448 UOJ786448 UYF786448 VIB786448 VRX786448 WBT786448 WLP786448 WVL786448 D851984 IZ851984 SV851984 ACR851984 AMN851984 AWJ851984 BGF851984 BQB851984 BZX851984 CJT851984 CTP851984 DDL851984 DNH851984 DXD851984 EGZ851984 EQV851984 FAR851984 FKN851984 FUJ851984 GEF851984 GOB851984 GXX851984 HHT851984 HRP851984 IBL851984 ILH851984 IVD851984 JEZ851984 JOV851984 JYR851984 KIN851984 KSJ851984 LCF851984 LMB851984 LVX851984 MFT851984 MPP851984 MZL851984 NJH851984 NTD851984 OCZ851984 OMV851984 OWR851984 PGN851984 PQJ851984 QAF851984 QKB851984 QTX851984 RDT851984 RNP851984 RXL851984 SHH851984 SRD851984 TAZ851984 TKV851984 TUR851984 UEN851984 UOJ851984 UYF851984 VIB851984 VRX851984 WBT851984 WLP851984 WVL851984 D917520 IZ917520 SV917520 ACR917520 AMN917520 AWJ917520 BGF917520 BQB917520 BZX917520 CJT917520 CTP917520 DDL917520 DNH917520 DXD917520 EGZ917520 EQV917520 FAR917520 FKN917520 FUJ917520 GEF917520 GOB917520 GXX917520 HHT917520 HRP917520 IBL917520 ILH917520 IVD917520 JEZ917520 JOV917520 JYR917520 KIN917520 KSJ917520 LCF917520 LMB917520 LVX917520 MFT917520 MPP917520 MZL917520 NJH917520 NTD917520 OCZ917520 OMV917520 OWR917520 PGN917520 PQJ917520 QAF917520 QKB917520 QTX917520 RDT917520 RNP917520 RXL917520 SHH917520 SRD917520 TAZ917520 TKV917520 TUR917520 UEN917520 UOJ917520 UYF917520 VIB917520 VRX917520 WBT917520 WLP917520 WVL917520 D983056 IZ983056 SV983056 ACR983056 AMN983056 AWJ983056 BGF983056 BQB983056 BZX983056 CJT983056 CTP983056 DDL983056 DNH983056 DXD983056 EGZ983056 EQV983056 FAR983056 FKN983056 FUJ983056 GEF983056 GOB983056 GXX983056 HHT983056 HRP983056 IBL983056 ILH983056 IVD983056 JEZ983056 JOV983056 JYR983056 KIN983056 KSJ983056 LCF983056 LMB983056 LVX983056 MFT983056 MPP983056 MZL983056 NJH983056 NTD983056 OCZ983056 OMV983056 OWR983056 PGN983056 PQJ983056 QAF983056 QKB983056 QTX983056 RDT983056 RNP983056 RXL983056 SHH983056 SRD983056 TAZ983056 TKV983056 TUR983056 UEN983056 UOJ983056 UYF983056 VIB983056 VRX983056 WBT983056 WLP983056 WVL983056" xr:uid="{00000000-0002-0000-0900-000000000000}">
      <formula1>$D$7:$D$13</formula1>
    </dataValidation>
    <dataValidation type="list" allowBlank="1" showInputMessage="1" showErrorMessage="1" sqref="D23 IZ23 SV23 ACR23 AMN23 AWJ23 BGF23 BQB23 BZX23 CJT23 CTP23 DDL23 DNH23 DXD23 EGZ23 EQV23 FAR23 FKN23 FUJ23 GEF23 GOB23 GXX23 HHT23 HRP23 IBL23 ILH23 IVD23 JEZ23 JOV23 JYR23 KIN23 KSJ23 LCF23 LMB23 LVX23 MFT23 MPP23 MZL23 NJH23 NTD23 OCZ23 OMV23 OWR23 PGN23 PQJ23 QAF23 QKB23 QTX23 RDT23 RNP23 RXL23 SHH23 SRD23 TAZ23 TKV23 TUR23 UEN23 UOJ23 UYF23 VIB23 VRX23 WBT23 WLP23 WVL23 D65559 IZ65559 SV65559 ACR65559 AMN65559 AWJ65559 BGF65559 BQB65559 BZX65559 CJT65559 CTP65559 DDL65559 DNH65559 DXD65559 EGZ65559 EQV65559 FAR65559 FKN65559 FUJ65559 GEF65559 GOB65559 GXX65559 HHT65559 HRP65559 IBL65559 ILH65559 IVD65559 JEZ65559 JOV65559 JYR65559 KIN65559 KSJ65559 LCF65559 LMB65559 LVX65559 MFT65559 MPP65559 MZL65559 NJH65559 NTD65559 OCZ65559 OMV65559 OWR65559 PGN65559 PQJ65559 QAF65559 QKB65559 QTX65559 RDT65559 RNP65559 RXL65559 SHH65559 SRD65559 TAZ65559 TKV65559 TUR65559 UEN65559 UOJ65559 UYF65559 VIB65559 VRX65559 WBT65559 WLP65559 WVL65559 D131095 IZ131095 SV131095 ACR131095 AMN131095 AWJ131095 BGF131095 BQB131095 BZX131095 CJT131095 CTP131095 DDL131095 DNH131095 DXD131095 EGZ131095 EQV131095 FAR131095 FKN131095 FUJ131095 GEF131095 GOB131095 GXX131095 HHT131095 HRP131095 IBL131095 ILH131095 IVD131095 JEZ131095 JOV131095 JYR131095 KIN131095 KSJ131095 LCF131095 LMB131095 LVX131095 MFT131095 MPP131095 MZL131095 NJH131095 NTD131095 OCZ131095 OMV131095 OWR131095 PGN131095 PQJ131095 QAF131095 QKB131095 QTX131095 RDT131095 RNP131095 RXL131095 SHH131095 SRD131095 TAZ131095 TKV131095 TUR131095 UEN131095 UOJ131095 UYF131095 VIB131095 VRX131095 WBT131095 WLP131095 WVL131095 D196631 IZ196631 SV196631 ACR196631 AMN196631 AWJ196631 BGF196631 BQB196631 BZX196631 CJT196631 CTP196631 DDL196631 DNH196631 DXD196631 EGZ196631 EQV196631 FAR196631 FKN196631 FUJ196631 GEF196631 GOB196631 GXX196631 HHT196631 HRP196631 IBL196631 ILH196631 IVD196631 JEZ196631 JOV196631 JYR196631 KIN196631 KSJ196631 LCF196631 LMB196631 LVX196631 MFT196631 MPP196631 MZL196631 NJH196631 NTD196631 OCZ196631 OMV196631 OWR196631 PGN196631 PQJ196631 QAF196631 QKB196631 QTX196631 RDT196631 RNP196631 RXL196631 SHH196631 SRD196631 TAZ196631 TKV196631 TUR196631 UEN196631 UOJ196631 UYF196631 VIB196631 VRX196631 WBT196631 WLP196631 WVL196631 D262167 IZ262167 SV262167 ACR262167 AMN262167 AWJ262167 BGF262167 BQB262167 BZX262167 CJT262167 CTP262167 DDL262167 DNH262167 DXD262167 EGZ262167 EQV262167 FAR262167 FKN262167 FUJ262167 GEF262167 GOB262167 GXX262167 HHT262167 HRP262167 IBL262167 ILH262167 IVD262167 JEZ262167 JOV262167 JYR262167 KIN262167 KSJ262167 LCF262167 LMB262167 LVX262167 MFT262167 MPP262167 MZL262167 NJH262167 NTD262167 OCZ262167 OMV262167 OWR262167 PGN262167 PQJ262167 QAF262167 QKB262167 QTX262167 RDT262167 RNP262167 RXL262167 SHH262167 SRD262167 TAZ262167 TKV262167 TUR262167 UEN262167 UOJ262167 UYF262167 VIB262167 VRX262167 WBT262167 WLP262167 WVL262167 D327703 IZ327703 SV327703 ACR327703 AMN327703 AWJ327703 BGF327703 BQB327703 BZX327703 CJT327703 CTP327703 DDL327703 DNH327703 DXD327703 EGZ327703 EQV327703 FAR327703 FKN327703 FUJ327703 GEF327703 GOB327703 GXX327703 HHT327703 HRP327703 IBL327703 ILH327703 IVD327703 JEZ327703 JOV327703 JYR327703 KIN327703 KSJ327703 LCF327703 LMB327703 LVX327703 MFT327703 MPP327703 MZL327703 NJH327703 NTD327703 OCZ327703 OMV327703 OWR327703 PGN327703 PQJ327703 QAF327703 QKB327703 QTX327703 RDT327703 RNP327703 RXL327703 SHH327703 SRD327703 TAZ327703 TKV327703 TUR327703 UEN327703 UOJ327703 UYF327703 VIB327703 VRX327703 WBT327703 WLP327703 WVL327703 D393239 IZ393239 SV393239 ACR393239 AMN393239 AWJ393239 BGF393239 BQB393239 BZX393239 CJT393239 CTP393239 DDL393239 DNH393239 DXD393239 EGZ393239 EQV393239 FAR393239 FKN393239 FUJ393239 GEF393239 GOB393239 GXX393239 HHT393239 HRP393239 IBL393239 ILH393239 IVD393239 JEZ393239 JOV393239 JYR393239 KIN393239 KSJ393239 LCF393239 LMB393239 LVX393239 MFT393239 MPP393239 MZL393239 NJH393239 NTD393239 OCZ393239 OMV393239 OWR393239 PGN393239 PQJ393239 QAF393239 QKB393239 QTX393239 RDT393239 RNP393239 RXL393239 SHH393239 SRD393239 TAZ393239 TKV393239 TUR393239 UEN393239 UOJ393239 UYF393239 VIB393239 VRX393239 WBT393239 WLP393239 WVL393239 D458775 IZ458775 SV458775 ACR458775 AMN458775 AWJ458775 BGF458775 BQB458775 BZX458775 CJT458775 CTP458775 DDL458775 DNH458775 DXD458775 EGZ458775 EQV458775 FAR458775 FKN458775 FUJ458775 GEF458775 GOB458775 GXX458775 HHT458775 HRP458775 IBL458775 ILH458775 IVD458775 JEZ458775 JOV458775 JYR458775 KIN458775 KSJ458775 LCF458775 LMB458775 LVX458775 MFT458775 MPP458775 MZL458775 NJH458775 NTD458775 OCZ458775 OMV458775 OWR458775 PGN458775 PQJ458775 QAF458775 QKB458775 QTX458775 RDT458775 RNP458775 RXL458775 SHH458775 SRD458775 TAZ458775 TKV458775 TUR458775 UEN458775 UOJ458775 UYF458775 VIB458775 VRX458775 WBT458775 WLP458775 WVL458775 D524311 IZ524311 SV524311 ACR524311 AMN524311 AWJ524311 BGF524311 BQB524311 BZX524311 CJT524311 CTP524311 DDL524311 DNH524311 DXD524311 EGZ524311 EQV524311 FAR524311 FKN524311 FUJ524311 GEF524311 GOB524311 GXX524311 HHT524311 HRP524311 IBL524311 ILH524311 IVD524311 JEZ524311 JOV524311 JYR524311 KIN524311 KSJ524311 LCF524311 LMB524311 LVX524311 MFT524311 MPP524311 MZL524311 NJH524311 NTD524311 OCZ524311 OMV524311 OWR524311 PGN524311 PQJ524311 QAF524311 QKB524311 QTX524311 RDT524311 RNP524311 RXL524311 SHH524311 SRD524311 TAZ524311 TKV524311 TUR524311 UEN524311 UOJ524311 UYF524311 VIB524311 VRX524311 WBT524311 WLP524311 WVL524311 D589847 IZ589847 SV589847 ACR589847 AMN589847 AWJ589847 BGF589847 BQB589847 BZX589847 CJT589847 CTP589847 DDL589847 DNH589847 DXD589847 EGZ589847 EQV589847 FAR589847 FKN589847 FUJ589847 GEF589847 GOB589847 GXX589847 HHT589847 HRP589847 IBL589847 ILH589847 IVD589847 JEZ589847 JOV589847 JYR589847 KIN589847 KSJ589847 LCF589847 LMB589847 LVX589847 MFT589847 MPP589847 MZL589847 NJH589847 NTD589847 OCZ589847 OMV589847 OWR589847 PGN589847 PQJ589847 QAF589847 QKB589847 QTX589847 RDT589847 RNP589847 RXL589847 SHH589847 SRD589847 TAZ589847 TKV589847 TUR589847 UEN589847 UOJ589847 UYF589847 VIB589847 VRX589847 WBT589847 WLP589847 WVL589847 D655383 IZ655383 SV655383 ACR655383 AMN655383 AWJ655383 BGF655383 BQB655383 BZX655383 CJT655383 CTP655383 DDL655383 DNH655383 DXD655383 EGZ655383 EQV655383 FAR655383 FKN655383 FUJ655383 GEF655383 GOB655383 GXX655383 HHT655383 HRP655383 IBL655383 ILH655383 IVD655383 JEZ655383 JOV655383 JYR655383 KIN655383 KSJ655383 LCF655383 LMB655383 LVX655383 MFT655383 MPP655383 MZL655383 NJH655383 NTD655383 OCZ655383 OMV655383 OWR655383 PGN655383 PQJ655383 QAF655383 QKB655383 QTX655383 RDT655383 RNP655383 RXL655383 SHH655383 SRD655383 TAZ655383 TKV655383 TUR655383 UEN655383 UOJ655383 UYF655383 VIB655383 VRX655383 WBT655383 WLP655383 WVL655383 D720919 IZ720919 SV720919 ACR720919 AMN720919 AWJ720919 BGF720919 BQB720919 BZX720919 CJT720919 CTP720919 DDL720919 DNH720919 DXD720919 EGZ720919 EQV720919 FAR720919 FKN720919 FUJ720919 GEF720919 GOB720919 GXX720919 HHT720919 HRP720919 IBL720919 ILH720919 IVD720919 JEZ720919 JOV720919 JYR720919 KIN720919 KSJ720919 LCF720919 LMB720919 LVX720919 MFT720919 MPP720919 MZL720919 NJH720919 NTD720919 OCZ720919 OMV720919 OWR720919 PGN720919 PQJ720919 QAF720919 QKB720919 QTX720919 RDT720919 RNP720919 RXL720919 SHH720919 SRD720919 TAZ720919 TKV720919 TUR720919 UEN720919 UOJ720919 UYF720919 VIB720919 VRX720919 WBT720919 WLP720919 WVL720919 D786455 IZ786455 SV786455 ACR786455 AMN786455 AWJ786455 BGF786455 BQB786455 BZX786455 CJT786455 CTP786455 DDL786455 DNH786455 DXD786455 EGZ786455 EQV786455 FAR786455 FKN786455 FUJ786455 GEF786455 GOB786455 GXX786455 HHT786455 HRP786455 IBL786455 ILH786455 IVD786455 JEZ786455 JOV786455 JYR786455 KIN786455 KSJ786455 LCF786455 LMB786455 LVX786455 MFT786455 MPP786455 MZL786455 NJH786455 NTD786455 OCZ786455 OMV786455 OWR786455 PGN786455 PQJ786455 QAF786455 QKB786455 QTX786455 RDT786455 RNP786455 RXL786455 SHH786455 SRD786455 TAZ786455 TKV786455 TUR786455 UEN786455 UOJ786455 UYF786455 VIB786455 VRX786455 WBT786455 WLP786455 WVL786455 D851991 IZ851991 SV851991 ACR851991 AMN851991 AWJ851991 BGF851991 BQB851991 BZX851991 CJT851991 CTP851991 DDL851991 DNH851991 DXD851991 EGZ851991 EQV851991 FAR851991 FKN851991 FUJ851991 GEF851991 GOB851991 GXX851991 HHT851991 HRP851991 IBL851991 ILH851991 IVD851991 JEZ851991 JOV851991 JYR851991 KIN851991 KSJ851991 LCF851991 LMB851991 LVX851991 MFT851991 MPP851991 MZL851991 NJH851991 NTD851991 OCZ851991 OMV851991 OWR851991 PGN851991 PQJ851991 QAF851991 QKB851991 QTX851991 RDT851991 RNP851991 RXL851991 SHH851991 SRD851991 TAZ851991 TKV851991 TUR851991 UEN851991 UOJ851991 UYF851991 VIB851991 VRX851991 WBT851991 WLP851991 WVL851991 D917527 IZ917527 SV917527 ACR917527 AMN917527 AWJ917527 BGF917527 BQB917527 BZX917527 CJT917527 CTP917527 DDL917527 DNH917527 DXD917527 EGZ917527 EQV917527 FAR917527 FKN917527 FUJ917527 GEF917527 GOB917527 GXX917527 HHT917527 HRP917527 IBL917527 ILH917527 IVD917527 JEZ917527 JOV917527 JYR917527 KIN917527 KSJ917527 LCF917527 LMB917527 LVX917527 MFT917527 MPP917527 MZL917527 NJH917527 NTD917527 OCZ917527 OMV917527 OWR917527 PGN917527 PQJ917527 QAF917527 QKB917527 QTX917527 RDT917527 RNP917527 RXL917527 SHH917527 SRD917527 TAZ917527 TKV917527 TUR917527 UEN917527 UOJ917527 UYF917527 VIB917527 VRX917527 WBT917527 WLP917527 WVL917527 D983063 IZ983063 SV983063 ACR983063 AMN983063 AWJ983063 BGF983063 BQB983063 BZX983063 CJT983063 CTP983063 DDL983063 DNH983063 DXD983063 EGZ983063 EQV983063 FAR983063 FKN983063 FUJ983063 GEF983063 GOB983063 GXX983063 HHT983063 HRP983063 IBL983063 ILH983063 IVD983063 JEZ983063 JOV983063 JYR983063 KIN983063 KSJ983063 LCF983063 LMB983063 LVX983063 MFT983063 MPP983063 MZL983063 NJH983063 NTD983063 OCZ983063 OMV983063 OWR983063 PGN983063 PQJ983063 QAF983063 QKB983063 QTX983063 RDT983063 RNP983063 RXL983063 SHH983063 SRD983063 TAZ983063 TKV983063 TUR983063 UEN983063 UOJ983063 UYF983063 VIB983063 VRX983063 WBT983063 WLP983063 WVL983063" xr:uid="{00000000-0002-0000-0900-000001000000}">
      <formula1>$B$21:$B$28</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749992370372631"/>
  </sheetPr>
  <dimension ref="A1:D22"/>
  <sheetViews>
    <sheetView workbookViewId="0">
      <selection activeCell="D20" sqref="D20"/>
    </sheetView>
  </sheetViews>
  <sheetFormatPr defaultRowHeight="14.4" x14ac:dyDescent="0.55000000000000004"/>
  <cols>
    <col min="1" max="1" width="39.68359375" bestFit="1" customWidth="1"/>
    <col min="2" max="2" width="34.83984375" bestFit="1" customWidth="1"/>
    <col min="3" max="3" width="17.578125" customWidth="1"/>
    <col min="4" max="4" width="17.41796875" customWidth="1"/>
  </cols>
  <sheetData>
    <row r="1" spans="1:3" x14ac:dyDescent="0.55000000000000004">
      <c r="A1" s="25" t="s">
        <v>385</v>
      </c>
      <c r="B1" s="26" t="s">
        <v>386</v>
      </c>
    </row>
    <row r="2" spans="1:3" x14ac:dyDescent="0.55000000000000004">
      <c r="A2" s="27" t="s">
        <v>387</v>
      </c>
      <c r="B2" s="27" t="s">
        <v>388</v>
      </c>
    </row>
    <row r="3" spans="1:3" x14ac:dyDescent="0.55000000000000004">
      <c r="A3" s="27" t="s">
        <v>389</v>
      </c>
      <c r="B3" s="27" t="s">
        <v>390</v>
      </c>
    </row>
    <row r="4" spans="1:3" x14ac:dyDescent="0.55000000000000004">
      <c r="A4" s="27" t="s">
        <v>391</v>
      </c>
      <c r="B4" s="27" t="s">
        <v>392</v>
      </c>
    </row>
    <row r="5" spans="1:3" x14ac:dyDescent="0.55000000000000004">
      <c r="A5" s="27" t="s">
        <v>393</v>
      </c>
      <c r="B5" s="27" t="s">
        <v>394</v>
      </c>
    </row>
    <row r="6" spans="1:3" ht="15" x14ac:dyDescent="0.55000000000000004">
      <c r="A6" s="55"/>
      <c r="B6" s="55"/>
    </row>
    <row r="7" spans="1:3" ht="15" x14ac:dyDescent="0.55000000000000004">
      <c r="A7" s="55"/>
      <c r="B7" s="55"/>
    </row>
    <row r="8" spans="1:3" ht="28.8" x14ac:dyDescent="0.55000000000000004">
      <c r="A8" s="25" t="s">
        <v>395</v>
      </c>
      <c r="B8" s="26" t="s">
        <v>396</v>
      </c>
      <c r="C8" s="26" t="s">
        <v>397</v>
      </c>
    </row>
    <row r="9" spans="1:3" x14ac:dyDescent="0.55000000000000004">
      <c r="A9" s="27">
        <v>0</v>
      </c>
      <c r="B9" s="27">
        <v>0</v>
      </c>
      <c r="C9" s="27">
        <f>(A10-A9)*B9</f>
        <v>0</v>
      </c>
    </row>
    <row r="10" spans="1:3" x14ac:dyDescent="0.55000000000000004">
      <c r="A10" s="27">
        <v>250000</v>
      </c>
      <c r="B10" s="27">
        <v>0.1</v>
      </c>
      <c r="C10" s="28"/>
    </row>
    <row r="11" spans="1:3" x14ac:dyDescent="0.55000000000000004">
      <c r="A11" s="27">
        <v>500000</v>
      </c>
      <c r="B11" s="27">
        <v>0.2</v>
      </c>
      <c r="C11" s="27">
        <f>(A11-A10)*B10</f>
        <v>25000</v>
      </c>
    </row>
    <row r="12" spans="1:3" x14ac:dyDescent="0.55000000000000004">
      <c r="A12" s="27">
        <v>1000000</v>
      </c>
      <c r="B12" s="27">
        <v>0.3</v>
      </c>
      <c r="C12" s="27">
        <f>(A12-A11)*B11+C11</f>
        <v>125000</v>
      </c>
    </row>
    <row r="13" spans="1:3" x14ac:dyDescent="0.55000000000000004">
      <c r="A13" s="27"/>
      <c r="B13" s="27"/>
      <c r="C13" s="28"/>
    </row>
    <row r="14" spans="1:3" hidden="1" x14ac:dyDescent="0.55000000000000004">
      <c r="B14" s="56">
        <v>745000</v>
      </c>
    </row>
    <row r="17" spans="1:4" x14ac:dyDescent="0.55000000000000004">
      <c r="A17" s="14" t="s">
        <v>398</v>
      </c>
      <c r="B17" s="64">
        <v>745000</v>
      </c>
      <c r="D17" s="14" t="s">
        <v>399</v>
      </c>
    </row>
    <row r="18" spans="1:4" x14ac:dyDescent="0.55000000000000004">
      <c r="A18" s="57" t="str">
        <f>C8</f>
        <v>Tax From Previous Bracket</v>
      </c>
      <c r="B18" s="65">
        <f>VLOOKUP(B17,A8:C13,3,1)</f>
        <v>25000</v>
      </c>
      <c r="D18" s="66">
        <f>B22</f>
        <v>74000</v>
      </c>
    </row>
    <row r="19" spans="1:4" x14ac:dyDescent="0.55000000000000004">
      <c r="A19" s="14" t="s">
        <v>400</v>
      </c>
      <c r="B19" s="59">
        <f>VLOOKUP(B17,A8:C13,2,1)</f>
        <v>0.2</v>
      </c>
    </row>
    <row r="20" spans="1:4" x14ac:dyDescent="0.55000000000000004">
      <c r="A20" s="14" t="s">
        <v>401</v>
      </c>
      <c r="B20" s="58">
        <f>VLOOKUP(B17,A8:C13,1,1)</f>
        <v>500000</v>
      </c>
    </row>
    <row r="21" spans="1:4" x14ac:dyDescent="0.55000000000000004">
      <c r="A21" s="14" t="s">
        <v>402</v>
      </c>
      <c r="B21" s="58">
        <f>B17-B20</f>
        <v>245000</v>
      </c>
    </row>
    <row r="22" spans="1:4" x14ac:dyDescent="0.55000000000000004">
      <c r="A22" s="14" t="s">
        <v>399</v>
      </c>
      <c r="B22" s="58">
        <f>B18+(B21*B19)</f>
        <v>74000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Assumption Sheet</vt:lpstr>
      <vt:lpstr>VL_exact</vt:lpstr>
      <vt:lpstr>V Exact</vt:lpstr>
      <vt:lpstr>BB</vt:lpstr>
      <vt:lpstr>ERP</vt:lpstr>
      <vt:lpstr>VLOOKUP_T</vt:lpstr>
      <vt:lpstr>VL_combi</vt:lpstr>
      <vt:lpstr>V_search</vt:lpstr>
      <vt:lpstr>L(1)</vt:lpstr>
      <vt:lpstr>L(3)</vt:lpstr>
      <vt:lpstr>Indian Income Tax</vt:lpstr>
      <vt:lpstr>Bats</vt:lpstr>
      <vt:lpstr>CLT</vt:lpstr>
      <vt:lpstr>Commission</vt:lpstr>
      <vt:lpstr>Cricketbats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2019-02-22T07:11:53Z</dcterms:modified>
</cp:coreProperties>
</file>