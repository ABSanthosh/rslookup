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abir\College Work\Semester 4\CCC 806\Workbooks\"/>
    </mc:Choice>
  </mc:AlternateContent>
  <xr:revisionPtr revIDLastSave="0" documentId="13_ncr:1_{34FFB4DC-281D-4942-92F3-54ED40B12F25}" xr6:coauthVersionLast="40" xr6:coauthVersionMax="40" xr10:uidLastSave="{00000000-0000-0000-0000-000000000000}"/>
  <bookViews>
    <workbookView xWindow="-96" yWindow="-96" windowWidth="23232" windowHeight="12552" activeTab="7" xr2:uid="{00000000-000D-0000-FFFF-FFFF00000000}"/>
  </bookViews>
  <sheets>
    <sheet name="Formulas" sheetId="6" r:id="rId1"/>
    <sheet name="OrderOfOperations" sheetId="8" r:id="rId2"/>
    <sheet name="BuiltInFunctions" sheetId="9" r:id="rId3"/>
    <sheet name="EfficientFormulas" sheetId="10" r:id="rId4"/>
    <sheet name="Names" sheetId="11" r:id="rId5"/>
    <sheet name="CellReferences" sheetId="12" r:id="rId6"/>
    <sheet name="Data V" sheetId="1" r:id="rId7"/>
    <sheet name="Countif" sheetId="3" r:id="rId8"/>
  </sheets>
  <externalReferences>
    <externalReference r:id="rId9"/>
  </externalReferences>
  <definedNames>
    <definedName name="Bangalore">Names!$E$21:$J$21</definedName>
    <definedName name="Chennai">Names!$E$20:$J$20</definedName>
    <definedName name="Clinic_Plus">'Data V'!$H$60:$H$63</definedName>
    <definedName name="ClinicPlus">'Data V'!$H$60:$H$63</definedName>
    <definedName name="Delhi">Names!$E$22:$J$22</definedName>
    <definedName name="Dove">'Data V'!$I$60:$I$63</definedName>
    <definedName name="Fast">'Data V'!$H$59:$H$61</definedName>
    <definedName name="Freestyle">'Data V'!$G$59:$G$61</definedName>
    <definedName name="Garnier">'Data V'!$J$60:$J$63</definedName>
    <definedName name="Kolkatta">Names!$E$19:$J$19</definedName>
    <definedName name="Mango">'Data V'!$J$60:$J$63</definedName>
    <definedName name="Mumbai">Names!$E$18:$J$18</definedName>
    <definedName name="Onion">'Data V'!$H$60:$H$63</definedName>
    <definedName name="Potato">'Data V'!$G$60:$G$63</definedName>
    <definedName name="Products">'Data V'!$A$58:$A$61</definedName>
    <definedName name="Pune">Names!$E$17:$J$17</definedName>
    <definedName name="Sunsilk">'Data V'!$G$60:$G$63</definedName>
    <definedName name="Tomato">'Data V'!$I$60:$I$63</definedName>
    <definedName name="TypeANSWER">'[1]DV (an)'!$G$58:$J$58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9" i="3" l="1"/>
  <c r="B46" i="3"/>
  <c r="B47" i="3"/>
  <c r="B48" i="3"/>
  <c r="B45" i="3"/>
  <c r="E27" i="12"/>
  <c r="D27" i="12"/>
  <c r="B49" i="12" l="1"/>
  <c r="C49" i="12"/>
  <c r="D49" i="12"/>
  <c r="E49" i="12"/>
  <c r="F49" i="12"/>
  <c r="G49" i="12"/>
  <c r="H49" i="12"/>
  <c r="I49" i="12"/>
  <c r="J49" i="12"/>
  <c r="K49" i="12"/>
  <c r="L49" i="12"/>
  <c r="M49" i="12"/>
  <c r="N44" i="12"/>
  <c r="N45" i="12"/>
  <c r="N46" i="12"/>
  <c r="N47" i="12"/>
  <c r="N48" i="12"/>
  <c r="N49" i="12"/>
  <c r="N43" i="12"/>
  <c r="C44" i="12"/>
  <c r="D44" i="12" s="1"/>
  <c r="E44" i="12" s="1"/>
  <c r="F44" i="12" s="1"/>
  <c r="G44" i="12" s="1"/>
  <c r="H44" i="12" s="1"/>
  <c r="I44" i="12" s="1"/>
  <c r="J44" i="12" s="1"/>
  <c r="K44" i="12" s="1"/>
  <c r="L44" i="12" s="1"/>
  <c r="M44" i="12" s="1"/>
  <c r="C45" i="12"/>
  <c r="D45" i="12"/>
  <c r="E45" i="12"/>
  <c r="F45" i="12" s="1"/>
  <c r="G45" i="12" s="1"/>
  <c r="H45" i="12" s="1"/>
  <c r="I45" i="12" s="1"/>
  <c r="J45" i="12" s="1"/>
  <c r="K45" i="12" s="1"/>
  <c r="L45" i="12" s="1"/>
  <c r="M45" i="12" s="1"/>
  <c r="C46" i="12"/>
  <c r="D46" i="12"/>
  <c r="E46" i="12"/>
  <c r="F46" i="12" s="1"/>
  <c r="G46" i="12" s="1"/>
  <c r="H46" i="12" s="1"/>
  <c r="I46" i="12" s="1"/>
  <c r="J46" i="12" s="1"/>
  <c r="K46" i="12" s="1"/>
  <c r="L46" i="12" s="1"/>
  <c r="M46" i="12" s="1"/>
  <c r="C47" i="12"/>
  <c r="D47" i="12"/>
  <c r="E47" i="12" s="1"/>
  <c r="F47" i="12" s="1"/>
  <c r="G47" i="12" s="1"/>
  <c r="H47" i="12" s="1"/>
  <c r="I47" i="12" s="1"/>
  <c r="J47" i="12" s="1"/>
  <c r="K47" i="12" s="1"/>
  <c r="L47" i="12" s="1"/>
  <c r="M47" i="12" s="1"/>
  <c r="C48" i="12"/>
  <c r="D48" i="12"/>
  <c r="E48" i="12" s="1"/>
  <c r="F48" i="12" s="1"/>
  <c r="G48" i="12" s="1"/>
  <c r="H48" i="12" s="1"/>
  <c r="I48" i="12" s="1"/>
  <c r="J48" i="12" s="1"/>
  <c r="K48" i="12" s="1"/>
  <c r="L48" i="12" s="1"/>
  <c r="M48" i="12" s="1"/>
  <c r="G43" i="12"/>
  <c r="H43" i="12"/>
  <c r="I43" i="12" s="1"/>
  <c r="J43" i="12" s="1"/>
  <c r="K43" i="12" s="1"/>
  <c r="L43" i="12" s="1"/>
  <c r="M43" i="12" s="1"/>
  <c r="D43" i="12"/>
  <c r="E43" i="12"/>
  <c r="F43" i="12"/>
  <c r="C43" i="12"/>
  <c r="D33" i="12"/>
  <c r="E33" i="12" s="1"/>
  <c r="C33" i="12"/>
  <c r="D32" i="12"/>
  <c r="E32" i="12" s="1"/>
  <c r="C32" i="12"/>
  <c r="B33" i="12"/>
  <c r="B32" i="12"/>
  <c r="D20" i="12"/>
  <c r="E20" i="12"/>
  <c r="D21" i="12"/>
  <c r="E21" i="12"/>
  <c r="D22" i="12"/>
  <c r="E22" i="12"/>
  <c r="D23" i="12"/>
  <c r="E23" i="12"/>
  <c r="D24" i="12"/>
  <c r="E24" i="12"/>
  <c r="D25" i="12"/>
  <c r="E25" i="12"/>
  <c r="E19" i="12"/>
  <c r="D19" i="12"/>
  <c r="A9" i="12"/>
  <c r="B9" i="12"/>
  <c r="C5" i="12"/>
  <c r="C6" i="12"/>
  <c r="C7" i="12"/>
  <c r="C8" i="12"/>
  <c r="C4" i="12"/>
  <c r="L22" i="11"/>
  <c r="L21" i="11"/>
  <c r="L20" i="11"/>
  <c r="L19" i="11"/>
  <c r="L18" i="11"/>
  <c r="L17" i="11"/>
  <c r="E7" i="11"/>
  <c r="E6" i="11"/>
  <c r="E5" i="11"/>
  <c r="E4" i="11"/>
  <c r="E3" i="11"/>
  <c r="E2" i="11"/>
  <c r="E1" i="11"/>
  <c r="C11" i="10"/>
  <c r="C10" i="10"/>
  <c r="D13" i="9"/>
  <c r="D12" i="9"/>
  <c r="A11" i="9"/>
  <c r="G5" i="8"/>
  <c r="G4" i="8"/>
  <c r="G3" i="8"/>
  <c r="G2" i="8"/>
  <c r="B38" i="6"/>
  <c r="B10" i="6"/>
  <c r="B8" i="6"/>
  <c r="B3" i="6"/>
  <c r="C9" i="12" l="1"/>
  <c r="B44" i="12" l="1"/>
  <c r="B45" i="12" s="1"/>
  <c r="B46" i="12" s="1"/>
  <c r="B47" i="12" s="1"/>
  <c r="B48" i="12" s="1"/>
  <c r="B38" i="12" l="1"/>
  <c r="A33" i="12"/>
  <c r="A32" i="12"/>
  <c r="C21" i="12"/>
  <c r="B21" i="12"/>
  <c r="C20" i="12"/>
  <c r="C24" i="12" s="1"/>
  <c r="B20" i="12"/>
  <c r="B24" i="12" s="1"/>
  <c r="B25" i="12" s="1"/>
  <c r="C18" i="12"/>
  <c r="B18" i="12"/>
  <c r="E15" i="12"/>
  <c r="D15" i="12"/>
  <c r="F5" i="8"/>
  <c r="F4" i="8"/>
  <c r="F3" i="8"/>
  <c r="F2" i="8"/>
  <c r="B37" i="6"/>
  <c r="B18" i="6"/>
  <c r="A18" i="6"/>
  <c r="B17" i="6"/>
  <c r="A17" i="6"/>
  <c r="B13" i="6"/>
  <c r="C25" i="12" l="1"/>
  <c r="C74" i="1"/>
  <c r="C73" i="1"/>
  <c r="D72" i="1" s="1"/>
  <c r="D74" i="1" l="1"/>
  <c r="D73" i="1"/>
  <c r="E72" i="1" s="1"/>
  <c r="E73" i="1" l="1"/>
  <c r="E74" i="1"/>
</calcChain>
</file>

<file path=xl/sharedStrings.xml><?xml version="1.0" encoding="utf-8"?>
<sst xmlns="http://schemas.openxmlformats.org/spreadsheetml/2006/main" count="390" uniqueCount="177">
  <si>
    <t>Copy and Paste will overwrite Data Validation</t>
  </si>
  <si>
    <t>Allow text box:</t>
  </si>
  <si>
    <t>Custom: Logical Formula that evaluates to TRUE (value allowed) or FALSE (value not allowed).</t>
  </si>
  <si>
    <t>Lower Limit</t>
  </si>
  <si>
    <t>Upper Limit</t>
  </si>
  <si>
    <t>Product</t>
  </si>
  <si>
    <t>Hammer</t>
  </si>
  <si>
    <t>Cost</t>
  </si>
  <si>
    <t>Information</t>
  </si>
  <si>
    <t>Products</t>
  </si>
  <si>
    <t>Start</t>
  </si>
  <si>
    <t>End</t>
  </si>
  <si>
    <t>Date</t>
  </si>
  <si>
    <t>Time</t>
  </si>
  <si>
    <t>Desciption</t>
  </si>
  <si>
    <t>Price</t>
  </si>
  <si>
    <t>No Duplicates</t>
  </si>
  <si>
    <t>Class Size</t>
  </si>
  <si>
    <t>CCC  803</t>
  </si>
  <si>
    <t>UWE 409</t>
  </si>
  <si>
    <t>UWE 201</t>
  </si>
  <si>
    <t>Ctrl+shift+F3</t>
  </si>
  <si>
    <t>Beverages</t>
  </si>
  <si>
    <t>Tea</t>
  </si>
  <si>
    <t>Coffee</t>
  </si>
  <si>
    <t>Coke</t>
  </si>
  <si>
    <t>sprite</t>
  </si>
  <si>
    <t>choclate milk</t>
  </si>
  <si>
    <t>mango panna</t>
  </si>
  <si>
    <t>lemon soda</t>
  </si>
  <si>
    <t>tea</t>
  </si>
  <si>
    <t>coke</t>
  </si>
  <si>
    <t>Roll No.</t>
  </si>
  <si>
    <t>Lemon Soda</t>
  </si>
  <si>
    <t>Adding $ Sign will fix the cell</t>
  </si>
  <si>
    <t>Sunsilk</t>
  </si>
  <si>
    <t>Clinic Plus</t>
  </si>
  <si>
    <t>Dove</t>
  </si>
  <si>
    <t>Garnier</t>
  </si>
  <si>
    <t>S1</t>
  </si>
  <si>
    <t>S2</t>
  </si>
  <si>
    <t>S3</t>
  </si>
  <si>
    <t>C1</t>
  </si>
  <si>
    <t>C2</t>
  </si>
  <si>
    <t>C3</t>
  </si>
  <si>
    <t>C4</t>
  </si>
  <si>
    <t>D1</t>
  </si>
  <si>
    <t>D2</t>
  </si>
  <si>
    <t>D3</t>
  </si>
  <si>
    <t>G1</t>
  </si>
  <si>
    <t>G2</t>
  </si>
  <si>
    <t>PRODUCT</t>
  </si>
  <si>
    <t>TYPE</t>
  </si>
  <si>
    <t>Sales</t>
  </si>
  <si>
    <t>Expense</t>
  </si>
  <si>
    <t>Net Income</t>
  </si>
  <si>
    <t>SalesRep1</t>
  </si>
  <si>
    <t>SalesRep2</t>
  </si>
  <si>
    <t>SalesRep3</t>
  </si>
  <si>
    <t>Total</t>
  </si>
  <si>
    <t>Label For Total</t>
  </si>
  <si>
    <t>Annual Rate</t>
  </si>
  <si>
    <t>Monthly Rate</t>
  </si>
  <si>
    <t>use Shift + Enter to put formula in cell and move up</t>
  </si>
  <si>
    <t>Arithmetic operation signs in Excel:</t>
  </si>
  <si>
    <t>Item1</t>
  </si>
  <si>
    <t>Item2</t>
  </si>
  <si>
    <t>Item3</t>
  </si>
  <si>
    <t>Question</t>
  </si>
  <si>
    <t>Formula</t>
  </si>
  <si>
    <t xml:space="preserve"> ( ) represents Parentheses</t>
  </si>
  <si>
    <t xml:space="preserve"> ^ represents Exponents (powers and roots)</t>
  </si>
  <si>
    <t xml:space="preserve"> * represents Multiplication</t>
  </si>
  <si>
    <t xml:space="preserve"> /  represents Division</t>
  </si>
  <si>
    <t>Correct</t>
  </si>
  <si>
    <t xml:space="preserve"> + represents Addition</t>
  </si>
  <si>
    <t>Incorrect</t>
  </si>
  <si>
    <t xml:space="preserve"> – represents Subtraction</t>
  </si>
  <si>
    <t>Use Formula Evaluator to see how Excel evaluates formula using the Order Of Operations</t>
  </si>
  <si>
    <t>Order of Operations form Algebra class (Each one is left to right):</t>
  </si>
  <si>
    <r>
      <t xml:space="preserve">Please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Parenthesis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( )</t>
    </r>
  </si>
  <si>
    <r>
      <t xml:space="preserve">Excuse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Exponents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^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2^2 = 4 or 4^(1/2) = 2</t>
    </r>
  </si>
  <si>
    <r>
      <t xml:space="preserve">My Dear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Multiplication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* and Division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/</t>
    </r>
  </si>
  <si>
    <r>
      <t xml:space="preserve">Aunt Sally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Adding (SUM)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+ and Subtraction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-</t>
    </r>
  </si>
  <si>
    <t>Excel's Order of Operations:</t>
  </si>
  <si>
    <t>Parenthesis ( )</t>
  </si>
  <si>
    <t>Ranges use of colon symbol ":"</t>
  </si>
  <si>
    <t>Example: =SUM(A1:A4)</t>
  </si>
  <si>
    <t>Evaluate intersections (spaces (labels))</t>
  </si>
  <si>
    <t>(If you ever use labels for natural language formulas)</t>
  </si>
  <si>
    <t>Evaluate unions (,)</t>
  </si>
  <si>
    <t>Example: =SUM(A1:A4,B2:C7)</t>
  </si>
  <si>
    <t>Negation (-)</t>
  </si>
  <si>
    <r>
      <t xml:space="preserve">Example: =-2^4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16</t>
    </r>
  </si>
  <si>
    <r>
      <t xml:space="preserve">Example: =-(2^4)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-16</t>
    </r>
  </si>
  <si>
    <r>
      <t xml:space="preserve">Converts % (1%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.01)</t>
    </r>
  </si>
  <si>
    <t>Exponents (^)</t>
  </si>
  <si>
    <t>Example: 4^(1/2) = 2</t>
  </si>
  <si>
    <t>Example: 3^2 = 9</t>
  </si>
  <si>
    <t>Multiplication (*) and division (/), left to right</t>
  </si>
  <si>
    <t>Adding (+) and subtracting (-), left to right</t>
  </si>
  <si>
    <r>
      <t xml:space="preserve">Text operators (&amp; </t>
    </r>
    <r>
      <rPr>
        <sz val="12"/>
        <rFont val="Wingdings"/>
        <charset val="2"/>
      </rPr>
      <t>è</t>
    </r>
    <r>
      <rPr>
        <sz val="12"/>
        <rFont val="Times New Roman"/>
        <family val="1"/>
      </rPr>
      <t xml:space="preserve"> Concatenation)</t>
    </r>
  </si>
  <si>
    <t>Comparative symbols: =, &lt;&gt;, &gt;=, &lt;=, &lt;, &gt;</t>
  </si>
  <si>
    <t>If anything is still left, then left to right</t>
  </si>
  <si>
    <t>SUM function adds</t>
  </si>
  <si>
    <t>Average Function takes Mean (add/count)</t>
  </si>
  <si>
    <t>Geometric Mean</t>
  </si>
  <si>
    <t>Efficient Formula using SUM and range of cells (C2:C17)</t>
  </si>
  <si>
    <t>inefficient Formula using cell references and + (C2+C3+C4…)</t>
  </si>
  <si>
    <t>Car Type</t>
  </si>
  <si>
    <t>COUNT</t>
  </si>
  <si>
    <t>Criteria</t>
  </si>
  <si>
    <t>Ford</t>
  </si>
  <si>
    <t>MEDIAN</t>
  </si>
  <si>
    <t>SUM</t>
  </si>
  <si>
    <t>Toyota</t>
  </si>
  <si>
    <t>SUMIF</t>
  </si>
  <si>
    <t>&lt;20000</t>
  </si>
  <si>
    <t>COUNTIF</t>
  </si>
  <si>
    <t>Weekly Sales</t>
  </si>
  <si>
    <t>Week1</t>
  </si>
  <si>
    <t>Week2</t>
  </si>
  <si>
    <t>Joe's Auto Service</t>
  </si>
  <si>
    <t>Income Statement</t>
  </si>
  <si>
    <t>For The Years Ended 12/31/2011 &amp; 12/31/2012</t>
  </si>
  <si>
    <t>Accounts</t>
  </si>
  <si>
    <t>2011 Amounts</t>
  </si>
  <si>
    <t>2012 Amounts</t>
  </si>
  <si>
    <t>Sales From Service</t>
  </si>
  <si>
    <t>Sales From Parts</t>
  </si>
  <si>
    <t>Total Revenue</t>
  </si>
  <si>
    <t>Labor Expense</t>
  </si>
  <si>
    <t>Parts Expense</t>
  </si>
  <si>
    <t>Rent</t>
  </si>
  <si>
    <t>Insurance</t>
  </si>
  <si>
    <t>Miscellaneous Expense</t>
  </si>
  <si>
    <t>Total Expense</t>
  </si>
  <si>
    <t>check</t>
  </si>
  <si>
    <t>Sales Projections</t>
  </si>
  <si>
    <t>Year</t>
  </si>
  <si>
    <t>Jan</t>
  </si>
  <si>
    <t>Feb</t>
  </si>
  <si>
    <t>Mar</t>
  </si>
  <si>
    <t>Apr</t>
  </si>
  <si>
    <t>Assumption Table</t>
  </si>
  <si>
    <t>Start Amount</t>
  </si>
  <si>
    <t>1 + Rate of Change</t>
  </si>
  <si>
    <t>May</t>
  </si>
  <si>
    <t>Jun</t>
  </si>
  <si>
    <t>Jul</t>
  </si>
  <si>
    <t>Aug</t>
  </si>
  <si>
    <t>Sep</t>
  </si>
  <si>
    <t>Oct</t>
  </si>
  <si>
    <t>Nov</t>
  </si>
  <si>
    <t>Dec</t>
  </si>
  <si>
    <t>Dec 2009 Unit Sales</t>
  </si>
  <si>
    <t>If you have more than one cell highlighted, Ctrl + Enter will populate all the cells</t>
  </si>
  <si>
    <t>ClinicPlus</t>
  </si>
  <si>
    <t>Select Names from Selection</t>
  </si>
  <si>
    <t>Scores of Various teams in Different Years</t>
  </si>
  <si>
    <t>Pune</t>
  </si>
  <si>
    <t>Mumbai</t>
  </si>
  <si>
    <t>Kolkatta</t>
  </si>
  <si>
    <t>Chennai</t>
  </si>
  <si>
    <t>Bangalore</t>
  </si>
  <si>
    <t>Delhi</t>
  </si>
  <si>
    <t>Excel does not name a cell with number. It has to be text</t>
  </si>
  <si>
    <t>Press F3 to show the list of Names</t>
  </si>
  <si>
    <t xml:space="preserve"> Year 2011</t>
  </si>
  <si>
    <t>Year 2012</t>
  </si>
  <si>
    <t xml:space="preserve"> Year 2013</t>
  </si>
  <si>
    <t xml:space="preserve"> Year 2014</t>
  </si>
  <si>
    <t xml:space="preserve"> Year 2015</t>
  </si>
  <si>
    <t xml:space="preserve"> Year 2016</t>
  </si>
  <si>
    <t>Hyundai</t>
  </si>
  <si>
    <t>&amp; operator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</si>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</sst>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2"/>
      <name val="Times New Roman"/>
      <family val="1"/>
    </font>
    <font>
      <sz val="12"/>
      <name val="Wingdings"/>
      <charset val="2"/>
    </font>
    <font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5EA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/>
        <bgColor theme="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5" fillId="3" borderId="9">
      <alignment wrapText="1"/>
    </xf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8" borderId="9">
      <alignment wrapText="1"/>
    </xf>
  </cellStyleXfs>
  <cellXfs count="9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left" indent="1"/>
    </xf>
    <xf numFmtId="0" fontId="3" fillId="2" borderId="9" xfId="0" applyFont="1" applyFill="1" applyBorder="1"/>
    <xf numFmtId="0" fontId="0" fillId="0" borderId="9" xfId="0" applyBorder="1"/>
    <xf numFmtId="0" fontId="3" fillId="3" borderId="9" xfId="0" applyFont="1" applyFill="1" applyBorder="1"/>
    <xf numFmtId="0" fontId="2" fillId="0" borderId="0" xfId="0" applyFont="1" applyAlignment="1">
      <alignment wrapText="1"/>
    </xf>
    <xf numFmtId="0" fontId="1" fillId="3" borderId="10" xfId="0" applyFont="1" applyFill="1" applyBorder="1"/>
    <xf numFmtId="0" fontId="0" fillId="4" borderId="10" xfId="0" applyFill="1" applyBorder="1"/>
    <xf numFmtId="0" fontId="5" fillId="3" borderId="9" xfId="1">
      <alignment wrapText="1"/>
    </xf>
    <xf numFmtId="14" fontId="0" fillId="0" borderId="9" xfId="0" applyNumberFormat="1" applyBorder="1"/>
    <xf numFmtId="164" fontId="3" fillId="3" borderId="9" xfId="0" applyNumberFormat="1" applyFont="1" applyFill="1" applyBorder="1"/>
    <xf numFmtId="18" fontId="0" fillId="0" borderId="9" xfId="0" applyNumberFormat="1" applyBorder="1"/>
    <xf numFmtId="0" fontId="6" fillId="0" borderId="0" xfId="2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0" fillId="0" borderId="4" xfId="0" applyBorder="1" applyAlignment="1">
      <alignment horizontal="left" indent="3"/>
    </xf>
    <xf numFmtId="0" fontId="0" fillId="0" borderId="4" xfId="0" applyBorder="1" applyAlignment="1">
      <alignment horizontal="left" inden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5" borderId="9" xfId="0" applyFont="1" applyFill="1" applyBorder="1"/>
    <xf numFmtId="43" fontId="7" fillId="0" borderId="9" xfId="3" applyBorder="1"/>
    <xf numFmtId="43" fontId="7" fillId="0" borderId="10" xfId="3" applyBorder="1"/>
    <xf numFmtId="43" fontId="7" fillId="6" borderId="11" xfId="3" applyFill="1" applyBorder="1"/>
    <xf numFmtId="0" fontId="0" fillId="7" borderId="9" xfId="0" applyFill="1" applyBorder="1" applyAlignment="1">
      <alignment wrapText="1"/>
    </xf>
    <xf numFmtId="0" fontId="0" fillId="6" borderId="9" xfId="0" applyFill="1" applyBorder="1"/>
    <xf numFmtId="10" fontId="0" fillId="0" borderId="9" xfId="0" applyNumberFormat="1" applyBorder="1"/>
    <xf numFmtId="0" fontId="3" fillId="5" borderId="9" xfId="0" applyFont="1" applyFill="1" applyBorder="1" applyAlignment="1">
      <alignment wrapText="1"/>
    </xf>
    <xf numFmtId="7" fontId="7" fillId="6" borderId="11" xfId="3" applyNumberFormat="1" applyFill="1" applyBorder="1"/>
    <xf numFmtId="0" fontId="0" fillId="7" borderId="9" xfId="0" applyFill="1" applyBorder="1" applyAlignment="1">
      <alignment horizontal="centerContinuous" wrapText="1"/>
    </xf>
    <xf numFmtId="0" fontId="8" fillId="8" borderId="9" xfId="6">
      <alignment wrapText="1"/>
    </xf>
    <xf numFmtId="0" fontId="3" fillId="9" borderId="9" xfId="0" applyFont="1" applyFill="1" applyBorder="1"/>
    <xf numFmtId="0" fontId="0" fillId="0" borderId="9" xfId="0" applyBorder="1" applyAlignment="1">
      <alignment wrapText="1"/>
    </xf>
    <xf numFmtId="0" fontId="9" fillId="0" borderId="9" xfId="0" applyFont="1" applyBorder="1"/>
    <xf numFmtId="0" fontId="9" fillId="10" borderId="9" xfId="0" applyFont="1" applyFill="1" applyBorder="1" applyAlignment="1">
      <alignment horizontal="left" indent="1"/>
    </xf>
    <xf numFmtId="0" fontId="3" fillId="11" borderId="9" xfId="0" applyFont="1" applyFill="1" applyBorder="1"/>
    <xf numFmtId="0" fontId="0" fillId="12" borderId="9" xfId="0" applyFill="1" applyBorder="1"/>
    <xf numFmtId="0" fontId="3" fillId="13" borderId="9" xfId="0" applyFont="1" applyFill="1" applyBorder="1"/>
    <xf numFmtId="0" fontId="0" fillId="0" borderId="10" xfId="0" applyBorder="1"/>
    <xf numFmtId="0" fontId="1" fillId="14" borderId="12" xfId="0" applyFont="1" applyFill="1" applyBorder="1"/>
    <xf numFmtId="0" fontId="3" fillId="15" borderId="9" xfId="0" applyFont="1" applyFill="1" applyBorder="1"/>
    <xf numFmtId="0" fontId="3" fillId="16" borderId="0" xfId="0" applyFont="1" applyFill="1"/>
    <xf numFmtId="0" fontId="3" fillId="17" borderId="0" xfId="0" applyFont="1" applyFill="1"/>
    <xf numFmtId="0" fontId="0" fillId="7" borderId="13" xfId="0" applyFill="1" applyBorder="1" applyAlignment="1">
      <alignment horizontal="centerContinuous" wrapText="1"/>
    </xf>
    <xf numFmtId="0" fontId="3" fillId="15" borderId="13" xfId="0" applyFont="1" applyFill="1" applyBorder="1" applyAlignment="1">
      <alignment horizontal="centerContinuous" wrapText="1"/>
    </xf>
    <xf numFmtId="8" fontId="0" fillId="6" borderId="9" xfId="0" applyNumberFormat="1" applyFill="1" applyBorder="1"/>
    <xf numFmtId="8" fontId="0" fillId="0" borderId="0" xfId="0" applyNumberFormat="1"/>
    <xf numFmtId="0" fontId="3" fillId="9" borderId="13" xfId="0" applyFont="1" applyFill="1" applyBorder="1" applyAlignment="1">
      <alignment horizontal="centerContinuous" wrapText="1"/>
    </xf>
    <xf numFmtId="0" fontId="0" fillId="18" borderId="9" xfId="0" applyFill="1" applyBorder="1" applyAlignment="1">
      <alignment wrapText="1"/>
    </xf>
    <xf numFmtId="0" fontId="0" fillId="0" borderId="9" xfId="0" applyBorder="1" applyAlignment="1">
      <alignment horizontal="left" indent="1"/>
    </xf>
    <xf numFmtId="10" fontId="7" fillId="6" borderId="9" xfId="5" applyNumberFormat="1" applyFill="1" applyBorder="1"/>
    <xf numFmtId="0" fontId="0" fillId="0" borderId="10" xfId="0" applyBorder="1" applyAlignment="1">
      <alignment horizontal="left" indent="1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 indent="1"/>
    </xf>
    <xf numFmtId="0" fontId="0" fillId="0" borderId="11" xfId="0" applyBorder="1" applyAlignment="1">
      <alignment horizontal="left"/>
    </xf>
    <xf numFmtId="0" fontId="0" fillId="7" borderId="10" xfId="0" applyFill="1" applyBorder="1" applyAlignment="1">
      <alignment horizontal="centerContinuous" wrapText="1"/>
    </xf>
    <xf numFmtId="17" fontId="3" fillId="9" borderId="9" xfId="0" applyNumberFormat="1" applyFont="1" applyFill="1" applyBorder="1"/>
    <xf numFmtId="43" fontId="7" fillId="6" borderId="9" xfId="3" applyFill="1" applyBorder="1"/>
    <xf numFmtId="0" fontId="3" fillId="19" borderId="13" xfId="0" applyFont="1" applyFill="1" applyBorder="1" applyAlignment="1">
      <alignment horizontal="centerContinuous" wrapText="1"/>
    </xf>
    <xf numFmtId="43" fontId="0" fillId="0" borderId="0" xfId="0" applyNumberFormat="1"/>
    <xf numFmtId="0" fontId="3" fillId="20" borderId="9" xfId="0" applyFont="1" applyFill="1" applyBorder="1"/>
    <xf numFmtId="8" fontId="0" fillId="0" borderId="9" xfId="0" applyNumberFormat="1" applyBorder="1"/>
    <xf numFmtId="0" fontId="3" fillId="2" borderId="9" xfId="0" applyFont="1" applyFill="1" applyBorder="1" applyAlignment="1">
      <alignment wrapText="1"/>
    </xf>
    <xf numFmtId="0" fontId="0" fillId="22" borderId="16" xfId="0" applyFill="1" applyBorder="1"/>
    <xf numFmtId="0" fontId="0" fillId="22" borderId="17" xfId="0" applyFill="1" applyBorder="1"/>
    <xf numFmtId="0" fontId="0" fillId="22" borderId="18" xfId="0" applyFill="1" applyBorder="1"/>
    <xf numFmtId="0" fontId="2" fillId="18" borderId="19" xfId="0" applyFont="1" applyFill="1" applyBorder="1"/>
    <xf numFmtId="0" fontId="2" fillId="18" borderId="20" xfId="0" applyFont="1" applyFill="1" applyBorder="1"/>
    <xf numFmtId="0" fontId="2" fillId="18" borderId="21" xfId="0" applyFont="1" applyFill="1" applyBorder="1"/>
    <xf numFmtId="0" fontId="2" fillId="18" borderId="22" xfId="0" applyFont="1" applyFill="1" applyBorder="1"/>
    <xf numFmtId="0" fontId="2" fillId="18" borderId="23" xfId="0" applyFont="1" applyFill="1" applyBorder="1"/>
    <xf numFmtId="0" fontId="2" fillId="18" borderId="24" xfId="0" applyFont="1" applyFill="1" applyBorder="1"/>
    <xf numFmtId="0" fontId="0" fillId="23" borderId="9" xfId="0" applyFill="1" applyBorder="1"/>
    <xf numFmtId="0" fontId="0" fillId="24" borderId="9" xfId="0" applyFill="1" applyBorder="1"/>
    <xf numFmtId="0" fontId="0" fillId="7" borderId="9" xfId="0" applyFill="1" applyBorder="1"/>
    <xf numFmtId="0" fontId="0" fillId="7" borderId="16" xfId="0" applyFill="1" applyBorder="1"/>
    <xf numFmtId="0" fontId="0" fillId="7" borderId="17" xfId="0" applyFill="1" applyBorder="1"/>
    <xf numFmtId="0" fontId="0" fillId="7" borderId="18" xfId="0" applyFill="1" applyBorder="1"/>
    <xf numFmtId="2" fontId="0" fillId="0" borderId="9" xfId="0" applyNumberFormat="1" applyBorder="1"/>
    <xf numFmtId="2" fontId="7" fillId="0" borderId="9" xfId="4" applyNumberFormat="1" applyBorder="1"/>
    <xf numFmtId="2" fontId="7" fillId="0" borderId="10" xfId="3" applyNumberFormat="1" applyBorder="1"/>
    <xf numFmtId="2" fontId="7" fillId="0" borderId="14" xfId="4" applyNumberFormat="1" applyBorder="1"/>
    <xf numFmtId="2" fontId="7" fillId="0" borderId="15" xfId="3" applyNumberFormat="1" applyBorder="1"/>
    <xf numFmtId="2" fontId="7" fillId="0" borderId="9" xfId="3" applyNumberFormat="1" applyBorder="1"/>
    <xf numFmtId="2" fontId="7" fillId="0" borderId="11" xfId="4" applyNumberFormat="1" applyBorder="1"/>
    <xf numFmtId="0" fontId="11" fillId="0" borderId="0" xfId="0" applyFont="1"/>
    <xf numFmtId="10" fontId="0" fillId="6" borderId="9" xfId="5" applyNumberFormat="1" applyFont="1" applyFill="1" applyBorder="1"/>
    <xf numFmtId="8" fontId="0" fillId="21" borderId="9" xfId="0" applyNumberFormat="1" applyFill="1" applyBorder="1"/>
  </cellXfs>
  <cellStyles count="7">
    <cellStyle name="blue" xfId="1" xr:uid="{00000000-0005-0000-0000-000000000000}"/>
    <cellStyle name="blue 2" xfId="6" xr:uid="{00000000-0005-0000-0000-000001000000}"/>
    <cellStyle name="Comma" xfId="3" builtinId="3"/>
    <cellStyle name="Currency" xfId="4" builtinId="4"/>
    <cellStyle name="Hyperlink" xfId="2" builtinId="8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urses/Spreadsheet%20Modelling/Highline%20excel/Busn214-Week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ics"/>
      <sheetName val="Errors"/>
      <sheetName val="E(1)"/>
      <sheetName val="E(1an)"/>
      <sheetName val="E(2)"/>
      <sheetName val="E(2an)"/>
      <sheetName val="E(3)"/>
      <sheetName val="E(3an)"/>
      <sheetName val="E(4)"/>
      <sheetName val="E(4an)"/>
      <sheetName val="E(5 )"/>
      <sheetName val="E(5an)"/>
      <sheetName val="DV"/>
      <sheetName val="DV (an)"/>
      <sheetName val="Flash Fill"/>
      <sheetName val="Flash Fill (an)"/>
      <sheetName val="CNF-Notes"/>
      <sheetName val="CNF"/>
      <sheetName val="CNF (an)"/>
      <sheetName val="Text Formulas"/>
      <sheetName val="Text Formulas (an)"/>
      <sheetName val="Date Functions"/>
      <sheetName val="Date Functions (an)"/>
      <sheetName val="Array Formulas"/>
      <sheetName val="Array Formulas (an)"/>
      <sheetName val="Array Functions"/>
      <sheetName val="Array Functions (an)"/>
      <sheetName val="Homework 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HW(5an)"/>
      <sheetName val="HW(6)"/>
      <sheetName val="HW(6an)"/>
      <sheetName val="HW(7)"/>
      <sheetName val="HW(7an)"/>
      <sheetName val="HW(8)"/>
      <sheetName val="HW(8an)"/>
      <sheetName val="HW(9)"/>
      <sheetName val="HW(9an)"/>
      <sheetName val="HW(10)"/>
      <sheetName val="HW(10an)"/>
      <sheetName val="HW(11)"/>
      <sheetName val="HW(11an)"/>
      <sheetName val="HW(12)"/>
      <sheetName val="HW(12an)"/>
      <sheetName val="HW(13)"/>
      <sheetName val="HW(13an)"/>
      <sheetName val="HW(14)"/>
      <sheetName val="HW(14an)"/>
      <sheetName val="HW(15)"/>
      <sheetName val="HW(15a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8">
          <cell r="G58" t="str">
            <v>FreestyleANSWER</v>
          </cell>
          <cell r="H58" t="str">
            <v>FastANSWER</v>
          </cell>
          <cell r="I58" t="str">
            <v>AussieANSWER</v>
          </cell>
          <cell r="J58" t="str">
            <v>WindANSWER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C493"/>
  <sheetViews>
    <sheetView topLeftCell="A32" zoomScaleNormal="100" workbookViewId="0">
      <selection activeCell="B38" sqref="B38"/>
    </sheetView>
  </sheetViews>
  <sheetFormatPr defaultRowHeight="14.4" x14ac:dyDescent="0.55000000000000004"/>
  <cols>
    <col min="1" max="1" width="15" bestFit="1" customWidth="1"/>
    <col min="2" max="2" width="16.83984375" customWidth="1"/>
    <col min="3" max="3" width="11.1015625" customWidth="1"/>
    <col min="256" max="256" width="15" bestFit="1" customWidth="1"/>
    <col min="257" max="257" width="16.83984375" customWidth="1"/>
    <col min="258" max="258" width="22.83984375" customWidth="1"/>
    <col min="512" max="512" width="15" bestFit="1" customWidth="1"/>
    <col min="513" max="513" width="16.83984375" customWidth="1"/>
    <col min="514" max="514" width="22.83984375" customWidth="1"/>
    <col min="768" max="768" width="15" bestFit="1" customWidth="1"/>
    <col min="769" max="769" width="16.83984375" customWidth="1"/>
    <col min="770" max="770" width="22.83984375" customWidth="1"/>
    <col min="1024" max="1024" width="15" bestFit="1" customWidth="1"/>
    <col min="1025" max="1025" width="16.83984375" customWidth="1"/>
    <col min="1026" max="1026" width="22.83984375" customWidth="1"/>
    <col min="1280" max="1280" width="15" bestFit="1" customWidth="1"/>
    <col min="1281" max="1281" width="16.83984375" customWidth="1"/>
    <col min="1282" max="1282" width="22.83984375" customWidth="1"/>
    <col min="1536" max="1536" width="15" bestFit="1" customWidth="1"/>
    <col min="1537" max="1537" width="16.83984375" customWidth="1"/>
    <col min="1538" max="1538" width="22.83984375" customWidth="1"/>
    <col min="1792" max="1792" width="15" bestFit="1" customWidth="1"/>
    <col min="1793" max="1793" width="16.83984375" customWidth="1"/>
    <col min="1794" max="1794" width="22.83984375" customWidth="1"/>
    <col min="2048" max="2048" width="15" bestFit="1" customWidth="1"/>
    <col min="2049" max="2049" width="16.83984375" customWidth="1"/>
    <col min="2050" max="2050" width="22.83984375" customWidth="1"/>
    <col min="2304" max="2304" width="15" bestFit="1" customWidth="1"/>
    <col min="2305" max="2305" width="16.83984375" customWidth="1"/>
    <col min="2306" max="2306" width="22.83984375" customWidth="1"/>
    <col min="2560" max="2560" width="15" bestFit="1" customWidth="1"/>
    <col min="2561" max="2561" width="16.83984375" customWidth="1"/>
    <col min="2562" max="2562" width="22.83984375" customWidth="1"/>
    <col min="2816" max="2816" width="15" bestFit="1" customWidth="1"/>
    <col min="2817" max="2817" width="16.83984375" customWidth="1"/>
    <col min="2818" max="2818" width="22.83984375" customWidth="1"/>
    <col min="3072" max="3072" width="15" bestFit="1" customWidth="1"/>
    <col min="3073" max="3073" width="16.83984375" customWidth="1"/>
    <col min="3074" max="3074" width="22.83984375" customWidth="1"/>
    <col min="3328" max="3328" width="15" bestFit="1" customWidth="1"/>
    <col min="3329" max="3329" width="16.83984375" customWidth="1"/>
    <col min="3330" max="3330" width="22.83984375" customWidth="1"/>
    <col min="3584" max="3584" width="15" bestFit="1" customWidth="1"/>
    <col min="3585" max="3585" width="16.83984375" customWidth="1"/>
    <col min="3586" max="3586" width="22.83984375" customWidth="1"/>
    <col min="3840" max="3840" width="15" bestFit="1" customWidth="1"/>
    <col min="3841" max="3841" width="16.83984375" customWidth="1"/>
    <col min="3842" max="3842" width="22.83984375" customWidth="1"/>
    <col min="4096" max="4096" width="15" bestFit="1" customWidth="1"/>
    <col min="4097" max="4097" width="16.83984375" customWidth="1"/>
    <col min="4098" max="4098" width="22.83984375" customWidth="1"/>
    <col min="4352" max="4352" width="15" bestFit="1" customWidth="1"/>
    <col min="4353" max="4353" width="16.83984375" customWidth="1"/>
    <col min="4354" max="4354" width="22.83984375" customWidth="1"/>
    <col min="4608" max="4608" width="15" bestFit="1" customWidth="1"/>
    <col min="4609" max="4609" width="16.83984375" customWidth="1"/>
    <col min="4610" max="4610" width="22.83984375" customWidth="1"/>
    <col min="4864" max="4864" width="15" bestFit="1" customWidth="1"/>
    <col min="4865" max="4865" width="16.83984375" customWidth="1"/>
    <col min="4866" max="4866" width="22.83984375" customWidth="1"/>
    <col min="5120" max="5120" width="15" bestFit="1" customWidth="1"/>
    <col min="5121" max="5121" width="16.83984375" customWidth="1"/>
    <col min="5122" max="5122" width="22.83984375" customWidth="1"/>
    <col min="5376" max="5376" width="15" bestFit="1" customWidth="1"/>
    <col min="5377" max="5377" width="16.83984375" customWidth="1"/>
    <col min="5378" max="5378" width="22.83984375" customWidth="1"/>
    <col min="5632" max="5632" width="15" bestFit="1" customWidth="1"/>
    <col min="5633" max="5633" width="16.83984375" customWidth="1"/>
    <col min="5634" max="5634" width="22.83984375" customWidth="1"/>
    <col min="5888" max="5888" width="15" bestFit="1" customWidth="1"/>
    <col min="5889" max="5889" width="16.83984375" customWidth="1"/>
    <col min="5890" max="5890" width="22.83984375" customWidth="1"/>
    <col min="6144" max="6144" width="15" bestFit="1" customWidth="1"/>
    <col min="6145" max="6145" width="16.83984375" customWidth="1"/>
    <col min="6146" max="6146" width="22.83984375" customWidth="1"/>
    <col min="6400" max="6400" width="15" bestFit="1" customWidth="1"/>
    <col min="6401" max="6401" width="16.83984375" customWidth="1"/>
    <col min="6402" max="6402" width="22.83984375" customWidth="1"/>
    <col min="6656" max="6656" width="15" bestFit="1" customWidth="1"/>
    <col min="6657" max="6657" width="16.83984375" customWidth="1"/>
    <col min="6658" max="6658" width="22.83984375" customWidth="1"/>
    <col min="6912" max="6912" width="15" bestFit="1" customWidth="1"/>
    <col min="6913" max="6913" width="16.83984375" customWidth="1"/>
    <col min="6914" max="6914" width="22.83984375" customWidth="1"/>
    <col min="7168" max="7168" width="15" bestFit="1" customWidth="1"/>
    <col min="7169" max="7169" width="16.83984375" customWidth="1"/>
    <col min="7170" max="7170" width="22.83984375" customWidth="1"/>
    <col min="7424" max="7424" width="15" bestFit="1" customWidth="1"/>
    <col min="7425" max="7425" width="16.83984375" customWidth="1"/>
    <col min="7426" max="7426" width="22.83984375" customWidth="1"/>
    <col min="7680" max="7680" width="15" bestFit="1" customWidth="1"/>
    <col min="7681" max="7681" width="16.83984375" customWidth="1"/>
    <col min="7682" max="7682" width="22.83984375" customWidth="1"/>
    <col min="7936" max="7936" width="15" bestFit="1" customWidth="1"/>
    <col min="7937" max="7937" width="16.83984375" customWidth="1"/>
    <col min="7938" max="7938" width="22.83984375" customWidth="1"/>
    <col min="8192" max="8192" width="15" bestFit="1" customWidth="1"/>
    <col min="8193" max="8193" width="16.83984375" customWidth="1"/>
    <col min="8194" max="8194" width="22.83984375" customWidth="1"/>
    <col min="8448" max="8448" width="15" bestFit="1" customWidth="1"/>
    <col min="8449" max="8449" width="16.83984375" customWidth="1"/>
    <col min="8450" max="8450" width="22.83984375" customWidth="1"/>
    <col min="8704" max="8704" width="15" bestFit="1" customWidth="1"/>
    <col min="8705" max="8705" width="16.83984375" customWidth="1"/>
    <col min="8706" max="8706" width="22.83984375" customWidth="1"/>
    <col min="8960" max="8960" width="15" bestFit="1" customWidth="1"/>
    <col min="8961" max="8961" width="16.83984375" customWidth="1"/>
    <col min="8962" max="8962" width="22.83984375" customWidth="1"/>
    <col min="9216" max="9216" width="15" bestFit="1" customWidth="1"/>
    <col min="9217" max="9217" width="16.83984375" customWidth="1"/>
    <col min="9218" max="9218" width="22.83984375" customWidth="1"/>
    <col min="9472" max="9472" width="15" bestFit="1" customWidth="1"/>
    <col min="9473" max="9473" width="16.83984375" customWidth="1"/>
    <col min="9474" max="9474" width="22.83984375" customWidth="1"/>
    <col min="9728" max="9728" width="15" bestFit="1" customWidth="1"/>
    <col min="9729" max="9729" width="16.83984375" customWidth="1"/>
    <col min="9730" max="9730" width="22.83984375" customWidth="1"/>
    <col min="9984" max="9984" width="15" bestFit="1" customWidth="1"/>
    <col min="9985" max="9985" width="16.83984375" customWidth="1"/>
    <col min="9986" max="9986" width="22.83984375" customWidth="1"/>
    <col min="10240" max="10240" width="15" bestFit="1" customWidth="1"/>
    <col min="10241" max="10241" width="16.83984375" customWidth="1"/>
    <col min="10242" max="10242" width="22.83984375" customWidth="1"/>
    <col min="10496" max="10496" width="15" bestFit="1" customWidth="1"/>
    <col min="10497" max="10497" width="16.83984375" customWidth="1"/>
    <col min="10498" max="10498" width="22.83984375" customWidth="1"/>
    <col min="10752" max="10752" width="15" bestFit="1" customWidth="1"/>
    <col min="10753" max="10753" width="16.83984375" customWidth="1"/>
    <col min="10754" max="10754" width="22.83984375" customWidth="1"/>
    <col min="11008" max="11008" width="15" bestFit="1" customWidth="1"/>
    <col min="11009" max="11009" width="16.83984375" customWidth="1"/>
    <col min="11010" max="11010" width="22.83984375" customWidth="1"/>
    <col min="11264" max="11264" width="15" bestFit="1" customWidth="1"/>
    <col min="11265" max="11265" width="16.83984375" customWidth="1"/>
    <col min="11266" max="11266" width="22.83984375" customWidth="1"/>
    <col min="11520" max="11520" width="15" bestFit="1" customWidth="1"/>
    <col min="11521" max="11521" width="16.83984375" customWidth="1"/>
    <col min="11522" max="11522" width="22.83984375" customWidth="1"/>
    <col min="11776" max="11776" width="15" bestFit="1" customWidth="1"/>
    <col min="11777" max="11777" width="16.83984375" customWidth="1"/>
    <col min="11778" max="11778" width="22.83984375" customWidth="1"/>
    <col min="12032" max="12032" width="15" bestFit="1" customWidth="1"/>
    <col min="12033" max="12033" width="16.83984375" customWidth="1"/>
    <col min="12034" max="12034" width="22.83984375" customWidth="1"/>
    <col min="12288" max="12288" width="15" bestFit="1" customWidth="1"/>
    <col min="12289" max="12289" width="16.83984375" customWidth="1"/>
    <col min="12290" max="12290" width="22.83984375" customWidth="1"/>
    <col min="12544" max="12544" width="15" bestFit="1" customWidth="1"/>
    <col min="12545" max="12545" width="16.83984375" customWidth="1"/>
    <col min="12546" max="12546" width="22.83984375" customWidth="1"/>
    <col min="12800" max="12800" width="15" bestFit="1" customWidth="1"/>
    <col min="12801" max="12801" width="16.83984375" customWidth="1"/>
    <col min="12802" max="12802" width="22.83984375" customWidth="1"/>
    <col min="13056" max="13056" width="15" bestFit="1" customWidth="1"/>
    <col min="13057" max="13057" width="16.83984375" customWidth="1"/>
    <col min="13058" max="13058" width="22.83984375" customWidth="1"/>
    <col min="13312" max="13312" width="15" bestFit="1" customWidth="1"/>
    <col min="13313" max="13313" width="16.83984375" customWidth="1"/>
    <col min="13314" max="13314" width="22.83984375" customWidth="1"/>
    <col min="13568" max="13568" width="15" bestFit="1" customWidth="1"/>
    <col min="13569" max="13569" width="16.83984375" customWidth="1"/>
    <col min="13570" max="13570" width="22.83984375" customWidth="1"/>
    <col min="13824" max="13824" width="15" bestFit="1" customWidth="1"/>
    <col min="13825" max="13825" width="16.83984375" customWidth="1"/>
    <col min="13826" max="13826" width="22.83984375" customWidth="1"/>
    <col min="14080" max="14080" width="15" bestFit="1" customWidth="1"/>
    <col min="14081" max="14081" width="16.83984375" customWidth="1"/>
    <col min="14082" max="14082" width="22.83984375" customWidth="1"/>
    <col min="14336" max="14336" width="15" bestFit="1" customWidth="1"/>
    <col min="14337" max="14337" width="16.83984375" customWidth="1"/>
    <col min="14338" max="14338" width="22.83984375" customWidth="1"/>
    <col min="14592" max="14592" width="15" bestFit="1" customWidth="1"/>
    <col min="14593" max="14593" width="16.83984375" customWidth="1"/>
    <col min="14594" max="14594" width="22.83984375" customWidth="1"/>
    <col min="14848" max="14848" width="15" bestFit="1" customWidth="1"/>
    <col min="14849" max="14849" width="16.83984375" customWidth="1"/>
    <col min="14850" max="14850" width="22.83984375" customWidth="1"/>
    <col min="15104" max="15104" width="15" bestFit="1" customWidth="1"/>
    <col min="15105" max="15105" width="16.83984375" customWidth="1"/>
    <col min="15106" max="15106" width="22.83984375" customWidth="1"/>
    <col min="15360" max="15360" width="15" bestFit="1" customWidth="1"/>
    <col min="15361" max="15361" width="16.83984375" customWidth="1"/>
    <col min="15362" max="15362" width="22.83984375" customWidth="1"/>
    <col min="15616" max="15616" width="15" bestFit="1" customWidth="1"/>
    <col min="15617" max="15617" width="16.83984375" customWidth="1"/>
    <col min="15618" max="15618" width="22.83984375" customWidth="1"/>
    <col min="15872" max="15872" width="15" bestFit="1" customWidth="1"/>
    <col min="15873" max="15873" width="16.83984375" customWidth="1"/>
    <col min="15874" max="15874" width="22.83984375" customWidth="1"/>
    <col min="16128" max="16128" width="15" bestFit="1" customWidth="1"/>
    <col min="16129" max="16129" width="16.83984375" customWidth="1"/>
    <col min="16130" max="16130" width="22.83984375" customWidth="1"/>
  </cols>
  <sheetData>
    <row r="1" spans="1:3" x14ac:dyDescent="0.55000000000000004">
      <c r="A1" s="27" t="s">
        <v>53</v>
      </c>
      <c r="B1" s="28">
        <v>5598</v>
      </c>
    </row>
    <row r="2" spans="1:3" ht="14.7" thickBot="1" x14ac:dyDescent="0.6">
      <c r="A2" s="27" t="s">
        <v>54</v>
      </c>
      <c r="B2" s="29">
        <v>6580</v>
      </c>
    </row>
    <row r="3" spans="1:3" ht="14.7" thickBot="1" x14ac:dyDescent="0.6">
      <c r="A3" s="27" t="s">
        <v>55</v>
      </c>
      <c r="B3" s="30">
        <f>B1-B2</f>
        <v>-982</v>
      </c>
    </row>
    <row r="4" spans="1:3" ht="14.7" thickTop="1" x14ac:dyDescent="0.55000000000000004"/>
    <row r="5" spans="1:3" x14ac:dyDescent="0.55000000000000004">
      <c r="A5" s="27" t="s">
        <v>56</v>
      </c>
      <c r="B5" s="28">
        <v>25</v>
      </c>
    </row>
    <row r="6" spans="1:3" x14ac:dyDescent="0.55000000000000004">
      <c r="A6" s="27" t="s">
        <v>57</v>
      </c>
      <c r="B6" s="28">
        <v>78</v>
      </c>
    </row>
    <row r="7" spans="1:3" ht="14.7" thickBot="1" x14ac:dyDescent="0.6">
      <c r="A7" s="27" t="s">
        <v>58</v>
      </c>
      <c r="B7" s="28">
        <v>101</v>
      </c>
    </row>
    <row r="8" spans="1:3" ht="14.7" thickBot="1" x14ac:dyDescent="0.6">
      <c r="A8" s="27" t="s">
        <v>59</v>
      </c>
      <c r="B8" s="30">
        <f>SUM(B5:B7)</f>
        <v>204</v>
      </c>
    </row>
    <row r="9" spans="1:3" ht="14.7" thickTop="1" x14ac:dyDescent="0.55000000000000004"/>
    <row r="10" spans="1:3" x14ac:dyDescent="0.55000000000000004">
      <c r="A10" s="27" t="s">
        <v>60</v>
      </c>
      <c r="B10" s="32" t="str">
        <f>A8&amp;" is "&amp;B8</f>
        <v>Total is 204</v>
      </c>
      <c r="C10" s="92" t="s">
        <v>175</v>
      </c>
    </row>
    <row r="12" spans="1:3" x14ac:dyDescent="0.55000000000000004">
      <c r="A12" s="27" t="s">
        <v>61</v>
      </c>
      <c r="B12" s="33">
        <v>0.18</v>
      </c>
    </row>
    <row r="13" spans="1:3" x14ac:dyDescent="0.55000000000000004">
      <c r="A13" s="27" t="s">
        <v>62</v>
      </c>
      <c r="B13" s="93">
        <f>B12/12</f>
        <v>1.4999999999999999E-2</v>
      </c>
    </row>
    <row r="15" spans="1:3" x14ac:dyDescent="0.55000000000000004">
      <c r="A15" s="27" t="s">
        <v>61</v>
      </c>
      <c r="B15" s="33">
        <v>0.18</v>
      </c>
    </row>
    <row r="16" spans="1:3" x14ac:dyDescent="0.55000000000000004">
      <c r="A16" s="27" t="s">
        <v>61</v>
      </c>
      <c r="B16" s="33">
        <v>0.12</v>
      </c>
    </row>
    <row r="17" spans="1:3" ht="28.8" x14ac:dyDescent="0.55000000000000004">
      <c r="A17" s="34" t="str">
        <f>"Monthly Rate at for APR of "&amp;TEXT(B15,"0.00%")</f>
        <v>Monthly Rate at for APR of 18.00%</v>
      </c>
      <c r="B17" s="93">
        <f>B15/12</f>
        <v>1.4999999999999999E-2</v>
      </c>
    </row>
    <row r="18" spans="1:3" ht="28.8" x14ac:dyDescent="0.55000000000000004">
      <c r="A18" s="34" t="str">
        <f>"Monthly Rate at for APR of "&amp;TEXT(B16,"0.00%")</f>
        <v>Monthly Rate at for APR of 12.00%</v>
      </c>
      <c r="B18" s="93">
        <f>B16/12</f>
        <v>0.01</v>
      </c>
    </row>
    <row r="20" spans="1:3" x14ac:dyDescent="0.55000000000000004">
      <c r="A20" s="27" t="s">
        <v>57</v>
      </c>
      <c r="B20" s="28">
        <v>78</v>
      </c>
    </row>
    <row r="21" spans="1:3" ht="14.7" thickBot="1" x14ac:dyDescent="0.6">
      <c r="A21" s="27" t="s">
        <v>58</v>
      </c>
      <c r="B21" s="28">
        <v>101</v>
      </c>
    </row>
    <row r="22" spans="1:3" ht="14.7" thickBot="1" x14ac:dyDescent="0.6">
      <c r="A22" s="27" t="s">
        <v>59</v>
      </c>
      <c r="B22" s="35"/>
    </row>
    <row r="23" spans="1:3" ht="14.7" thickTop="1" x14ac:dyDescent="0.55000000000000004"/>
    <row r="25" spans="1:3" ht="28.8" x14ac:dyDescent="0.55000000000000004">
      <c r="A25" s="36" t="s">
        <v>156</v>
      </c>
      <c r="B25" s="36"/>
      <c r="C25" s="36"/>
    </row>
    <row r="26" spans="1:3" x14ac:dyDescent="0.55000000000000004">
      <c r="A26" s="7" t="s">
        <v>176</v>
      </c>
      <c r="B26" s="7" t="s">
        <v>176</v>
      </c>
      <c r="C26" s="7" t="s">
        <v>176</v>
      </c>
    </row>
    <row r="27" spans="1:3" x14ac:dyDescent="0.55000000000000004">
      <c r="A27" s="7" t="s">
        <v>176</v>
      </c>
      <c r="B27" s="7" t="s">
        <v>176</v>
      </c>
      <c r="C27" s="7" t="s">
        <v>176</v>
      </c>
    </row>
    <row r="28" spans="1:3" x14ac:dyDescent="0.55000000000000004">
      <c r="A28" s="7" t="s">
        <v>176</v>
      </c>
      <c r="B28" s="7" t="s">
        <v>176</v>
      </c>
      <c r="C28" s="7" t="s">
        <v>176</v>
      </c>
    </row>
    <row r="29" spans="1:3" x14ac:dyDescent="0.55000000000000004">
      <c r="A29" s="7" t="s">
        <v>176</v>
      </c>
      <c r="B29" s="7" t="s">
        <v>176</v>
      </c>
      <c r="C29" s="7" t="s">
        <v>176</v>
      </c>
    </row>
    <row r="30" spans="1:3" x14ac:dyDescent="0.55000000000000004">
      <c r="A30" s="7" t="s">
        <v>176</v>
      </c>
      <c r="B30" s="7" t="s">
        <v>176</v>
      </c>
      <c r="C30" s="7" t="s">
        <v>176</v>
      </c>
    </row>
    <row r="31" spans="1:3" x14ac:dyDescent="0.55000000000000004">
      <c r="A31" s="7" t="s">
        <v>176</v>
      </c>
      <c r="B31" s="7" t="s">
        <v>176</v>
      </c>
      <c r="C31" s="7" t="s">
        <v>176</v>
      </c>
    </row>
    <row r="32" spans="1:3" x14ac:dyDescent="0.55000000000000004">
      <c r="A32" s="7" t="s">
        <v>176</v>
      </c>
      <c r="B32" s="7" t="s">
        <v>176</v>
      </c>
      <c r="C32" s="7" t="s">
        <v>176</v>
      </c>
    </row>
    <row r="33" spans="1:3" x14ac:dyDescent="0.55000000000000004">
      <c r="A33" s="7" t="s">
        <v>176</v>
      </c>
      <c r="B33" s="7" t="s">
        <v>176</v>
      </c>
      <c r="C33" s="7" t="s">
        <v>176</v>
      </c>
    </row>
    <row r="34" spans="1:3" x14ac:dyDescent="0.55000000000000004">
      <c r="A34" s="7" t="s">
        <v>176</v>
      </c>
      <c r="B34" s="7" t="s">
        <v>176</v>
      </c>
      <c r="C34" s="7" t="s">
        <v>176</v>
      </c>
    </row>
    <row r="36" spans="1:3" ht="28.8" x14ac:dyDescent="0.55000000000000004">
      <c r="A36" s="36" t="s">
        <v>63</v>
      </c>
      <c r="B36" s="36"/>
    </row>
    <row r="37" spans="1:3" x14ac:dyDescent="0.55000000000000004">
      <c r="A37" s="27" t="s">
        <v>53</v>
      </c>
      <c r="B37" s="27" t="str">
        <f>"Total "&amp;A37</f>
        <v>Total Sales</v>
      </c>
    </row>
    <row r="38" spans="1:3" x14ac:dyDescent="0.55000000000000004">
      <c r="A38" s="7">
        <v>1</v>
      </c>
      <c r="B38" s="32">
        <f>SUM(A38:A493)</f>
        <v>1280</v>
      </c>
    </row>
    <row r="39" spans="1:3" x14ac:dyDescent="0.55000000000000004">
      <c r="A39" s="7">
        <v>3</v>
      </c>
    </row>
    <row r="40" spans="1:3" x14ac:dyDescent="0.55000000000000004">
      <c r="A40" s="7">
        <v>1</v>
      </c>
    </row>
    <row r="41" spans="1:3" x14ac:dyDescent="0.55000000000000004">
      <c r="A41" s="7">
        <v>2</v>
      </c>
    </row>
    <row r="42" spans="1:3" x14ac:dyDescent="0.55000000000000004">
      <c r="A42" s="7">
        <v>1</v>
      </c>
    </row>
    <row r="43" spans="1:3" x14ac:dyDescent="0.55000000000000004">
      <c r="A43" s="7">
        <v>2</v>
      </c>
    </row>
    <row r="44" spans="1:3" x14ac:dyDescent="0.55000000000000004">
      <c r="A44" s="7">
        <v>2</v>
      </c>
    </row>
    <row r="45" spans="1:3" x14ac:dyDescent="0.55000000000000004">
      <c r="A45" s="7">
        <v>4</v>
      </c>
    </row>
    <row r="46" spans="1:3" x14ac:dyDescent="0.55000000000000004">
      <c r="A46" s="7">
        <v>3</v>
      </c>
    </row>
    <row r="47" spans="1:3" x14ac:dyDescent="0.55000000000000004">
      <c r="A47" s="7">
        <v>3</v>
      </c>
    </row>
    <row r="48" spans="1:3" x14ac:dyDescent="0.55000000000000004">
      <c r="A48" s="7">
        <v>5</v>
      </c>
    </row>
    <row r="49" spans="1:1" x14ac:dyDescent="0.55000000000000004">
      <c r="A49" s="7">
        <v>3</v>
      </c>
    </row>
    <row r="50" spans="1:1" x14ac:dyDescent="0.55000000000000004">
      <c r="A50" s="7">
        <v>1</v>
      </c>
    </row>
    <row r="51" spans="1:1" x14ac:dyDescent="0.55000000000000004">
      <c r="A51" s="7">
        <v>2</v>
      </c>
    </row>
    <row r="52" spans="1:1" x14ac:dyDescent="0.55000000000000004">
      <c r="A52" s="7">
        <v>2</v>
      </c>
    </row>
    <row r="53" spans="1:1" x14ac:dyDescent="0.55000000000000004">
      <c r="A53" s="7">
        <v>2</v>
      </c>
    </row>
    <row r="54" spans="1:1" x14ac:dyDescent="0.55000000000000004">
      <c r="A54" s="7">
        <v>2</v>
      </c>
    </row>
    <row r="55" spans="1:1" x14ac:dyDescent="0.55000000000000004">
      <c r="A55" s="7">
        <v>3</v>
      </c>
    </row>
    <row r="56" spans="1:1" x14ac:dyDescent="0.55000000000000004">
      <c r="A56" s="7">
        <v>5</v>
      </c>
    </row>
    <row r="57" spans="1:1" x14ac:dyDescent="0.55000000000000004">
      <c r="A57" s="7">
        <v>2</v>
      </c>
    </row>
    <row r="58" spans="1:1" x14ac:dyDescent="0.55000000000000004">
      <c r="A58" s="7">
        <v>1</v>
      </c>
    </row>
    <row r="59" spans="1:1" x14ac:dyDescent="0.55000000000000004">
      <c r="A59" s="7">
        <v>2</v>
      </c>
    </row>
    <row r="60" spans="1:1" x14ac:dyDescent="0.55000000000000004">
      <c r="A60" s="7">
        <v>4</v>
      </c>
    </row>
    <row r="61" spans="1:1" x14ac:dyDescent="0.55000000000000004">
      <c r="A61" s="7">
        <v>5</v>
      </c>
    </row>
    <row r="62" spans="1:1" x14ac:dyDescent="0.55000000000000004">
      <c r="A62" s="7">
        <v>2</v>
      </c>
    </row>
    <row r="63" spans="1:1" x14ac:dyDescent="0.55000000000000004">
      <c r="A63" s="7">
        <v>2</v>
      </c>
    </row>
    <row r="64" spans="1:1" x14ac:dyDescent="0.55000000000000004">
      <c r="A64" s="7">
        <v>5</v>
      </c>
    </row>
    <row r="65" spans="1:1" x14ac:dyDescent="0.55000000000000004">
      <c r="A65" s="7">
        <v>2</v>
      </c>
    </row>
    <row r="66" spans="1:1" x14ac:dyDescent="0.55000000000000004">
      <c r="A66" s="7">
        <v>2</v>
      </c>
    </row>
    <row r="67" spans="1:1" x14ac:dyDescent="0.55000000000000004">
      <c r="A67" s="7">
        <v>4</v>
      </c>
    </row>
    <row r="68" spans="1:1" x14ac:dyDescent="0.55000000000000004">
      <c r="A68" s="7">
        <v>5</v>
      </c>
    </row>
    <row r="69" spans="1:1" x14ac:dyDescent="0.55000000000000004">
      <c r="A69" s="7">
        <v>2</v>
      </c>
    </row>
    <row r="70" spans="1:1" x14ac:dyDescent="0.55000000000000004">
      <c r="A70" s="7">
        <v>2</v>
      </c>
    </row>
    <row r="71" spans="1:1" x14ac:dyDescent="0.55000000000000004">
      <c r="A71" s="7">
        <v>3</v>
      </c>
    </row>
    <row r="72" spans="1:1" x14ac:dyDescent="0.55000000000000004">
      <c r="A72" s="7">
        <v>3</v>
      </c>
    </row>
    <row r="73" spans="1:1" x14ac:dyDescent="0.55000000000000004">
      <c r="A73" s="7">
        <v>2</v>
      </c>
    </row>
    <row r="74" spans="1:1" x14ac:dyDescent="0.55000000000000004">
      <c r="A74" s="7">
        <v>1</v>
      </c>
    </row>
    <row r="75" spans="1:1" x14ac:dyDescent="0.55000000000000004">
      <c r="A75" s="7">
        <v>2</v>
      </c>
    </row>
    <row r="76" spans="1:1" x14ac:dyDescent="0.55000000000000004">
      <c r="A76" s="7">
        <v>1</v>
      </c>
    </row>
    <row r="77" spans="1:1" x14ac:dyDescent="0.55000000000000004">
      <c r="A77" s="7">
        <v>2</v>
      </c>
    </row>
    <row r="78" spans="1:1" x14ac:dyDescent="0.55000000000000004">
      <c r="A78" s="7">
        <v>1</v>
      </c>
    </row>
    <row r="79" spans="1:1" x14ac:dyDescent="0.55000000000000004">
      <c r="A79" s="7">
        <v>3</v>
      </c>
    </row>
    <row r="80" spans="1:1" x14ac:dyDescent="0.55000000000000004">
      <c r="A80" s="7">
        <v>2</v>
      </c>
    </row>
    <row r="81" spans="1:1" x14ac:dyDescent="0.55000000000000004">
      <c r="A81" s="7">
        <v>1</v>
      </c>
    </row>
    <row r="82" spans="1:1" x14ac:dyDescent="0.55000000000000004">
      <c r="A82" s="7">
        <v>5</v>
      </c>
    </row>
    <row r="83" spans="1:1" x14ac:dyDescent="0.55000000000000004">
      <c r="A83" s="7">
        <v>3</v>
      </c>
    </row>
    <row r="84" spans="1:1" x14ac:dyDescent="0.55000000000000004">
      <c r="A84" s="7">
        <v>3</v>
      </c>
    </row>
    <row r="85" spans="1:1" x14ac:dyDescent="0.55000000000000004">
      <c r="A85" s="7">
        <v>4</v>
      </c>
    </row>
    <row r="86" spans="1:1" x14ac:dyDescent="0.55000000000000004">
      <c r="A86" s="7">
        <v>2</v>
      </c>
    </row>
    <row r="87" spans="1:1" x14ac:dyDescent="0.55000000000000004">
      <c r="A87" s="7">
        <v>1</v>
      </c>
    </row>
    <row r="88" spans="1:1" x14ac:dyDescent="0.55000000000000004">
      <c r="A88" s="7">
        <v>5</v>
      </c>
    </row>
    <row r="89" spans="1:1" x14ac:dyDescent="0.55000000000000004">
      <c r="A89" s="7">
        <v>5</v>
      </c>
    </row>
    <row r="90" spans="1:1" x14ac:dyDescent="0.55000000000000004">
      <c r="A90" s="7">
        <v>5</v>
      </c>
    </row>
    <row r="91" spans="1:1" x14ac:dyDescent="0.55000000000000004">
      <c r="A91" s="7">
        <v>3</v>
      </c>
    </row>
    <row r="92" spans="1:1" x14ac:dyDescent="0.55000000000000004">
      <c r="A92" s="7">
        <v>2</v>
      </c>
    </row>
    <row r="93" spans="1:1" x14ac:dyDescent="0.55000000000000004">
      <c r="A93" s="7">
        <v>3</v>
      </c>
    </row>
    <row r="94" spans="1:1" x14ac:dyDescent="0.55000000000000004">
      <c r="A94" s="7">
        <v>5</v>
      </c>
    </row>
    <row r="95" spans="1:1" x14ac:dyDescent="0.55000000000000004">
      <c r="A95" s="7">
        <v>4</v>
      </c>
    </row>
    <row r="96" spans="1:1" x14ac:dyDescent="0.55000000000000004">
      <c r="A96" s="7">
        <v>3</v>
      </c>
    </row>
    <row r="97" spans="1:1" x14ac:dyDescent="0.55000000000000004">
      <c r="A97" s="7">
        <v>3</v>
      </c>
    </row>
    <row r="98" spans="1:1" x14ac:dyDescent="0.55000000000000004">
      <c r="A98" s="7">
        <v>2</v>
      </c>
    </row>
    <row r="99" spans="1:1" x14ac:dyDescent="0.55000000000000004">
      <c r="A99" s="7">
        <v>2</v>
      </c>
    </row>
    <row r="100" spans="1:1" x14ac:dyDescent="0.55000000000000004">
      <c r="A100" s="7">
        <v>3</v>
      </c>
    </row>
    <row r="101" spans="1:1" x14ac:dyDescent="0.55000000000000004">
      <c r="A101" s="7">
        <v>3</v>
      </c>
    </row>
    <row r="102" spans="1:1" x14ac:dyDescent="0.55000000000000004">
      <c r="A102" s="7">
        <v>3</v>
      </c>
    </row>
    <row r="103" spans="1:1" x14ac:dyDescent="0.55000000000000004">
      <c r="A103" s="7">
        <v>1</v>
      </c>
    </row>
    <row r="104" spans="1:1" x14ac:dyDescent="0.55000000000000004">
      <c r="A104" s="7">
        <v>5</v>
      </c>
    </row>
    <row r="105" spans="1:1" x14ac:dyDescent="0.55000000000000004">
      <c r="A105" s="7">
        <v>1</v>
      </c>
    </row>
    <row r="106" spans="1:1" x14ac:dyDescent="0.55000000000000004">
      <c r="A106" s="7">
        <v>4</v>
      </c>
    </row>
    <row r="107" spans="1:1" x14ac:dyDescent="0.55000000000000004">
      <c r="A107" s="7">
        <v>2</v>
      </c>
    </row>
    <row r="108" spans="1:1" x14ac:dyDescent="0.55000000000000004">
      <c r="A108" s="7">
        <v>3</v>
      </c>
    </row>
    <row r="109" spans="1:1" x14ac:dyDescent="0.55000000000000004">
      <c r="A109" s="7">
        <v>2</v>
      </c>
    </row>
    <row r="110" spans="1:1" x14ac:dyDescent="0.55000000000000004">
      <c r="A110" s="7">
        <v>5</v>
      </c>
    </row>
    <row r="111" spans="1:1" x14ac:dyDescent="0.55000000000000004">
      <c r="A111" s="7">
        <v>3</v>
      </c>
    </row>
    <row r="112" spans="1:1" x14ac:dyDescent="0.55000000000000004">
      <c r="A112" s="7">
        <v>2</v>
      </c>
    </row>
    <row r="113" spans="1:1" x14ac:dyDescent="0.55000000000000004">
      <c r="A113" s="7">
        <v>3</v>
      </c>
    </row>
    <row r="114" spans="1:1" x14ac:dyDescent="0.55000000000000004">
      <c r="A114" s="7">
        <v>3</v>
      </c>
    </row>
    <row r="115" spans="1:1" x14ac:dyDescent="0.55000000000000004">
      <c r="A115" s="7">
        <v>3</v>
      </c>
    </row>
    <row r="116" spans="1:1" x14ac:dyDescent="0.55000000000000004">
      <c r="A116" s="7">
        <v>2</v>
      </c>
    </row>
    <row r="117" spans="1:1" x14ac:dyDescent="0.55000000000000004">
      <c r="A117" s="7">
        <v>2</v>
      </c>
    </row>
    <row r="118" spans="1:1" x14ac:dyDescent="0.55000000000000004">
      <c r="A118" s="7">
        <v>2</v>
      </c>
    </row>
    <row r="119" spans="1:1" x14ac:dyDescent="0.55000000000000004">
      <c r="A119" s="7">
        <v>1</v>
      </c>
    </row>
    <row r="120" spans="1:1" x14ac:dyDescent="0.55000000000000004">
      <c r="A120" s="7">
        <v>2</v>
      </c>
    </row>
    <row r="121" spans="1:1" x14ac:dyDescent="0.55000000000000004">
      <c r="A121" s="7">
        <v>2</v>
      </c>
    </row>
    <row r="122" spans="1:1" x14ac:dyDescent="0.55000000000000004">
      <c r="A122" s="7">
        <v>4</v>
      </c>
    </row>
    <row r="123" spans="1:1" x14ac:dyDescent="0.55000000000000004">
      <c r="A123" s="7">
        <v>2</v>
      </c>
    </row>
    <row r="124" spans="1:1" x14ac:dyDescent="0.55000000000000004">
      <c r="A124" s="7">
        <v>5</v>
      </c>
    </row>
    <row r="125" spans="1:1" x14ac:dyDescent="0.55000000000000004">
      <c r="A125" s="7">
        <v>3</v>
      </c>
    </row>
    <row r="126" spans="1:1" x14ac:dyDescent="0.55000000000000004">
      <c r="A126" s="7">
        <v>5</v>
      </c>
    </row>
    <row r="127" spans="1:1" x14ac:dyDescent="0.55000000000000004">
      <c r="A127" s="7">
        <v>1</v>
      </c>
    </row>
    <row r="128" spans="1:1" x14ac:dyDescent="0.55000000000000004">
      <c r="A128" s="7">
        <v>2</v>
      </c>
    </row>
    <row r="129" spans="1:1" x14ac:dyDescent="0.55000000000000004">
      <c r="A129" s="7">
        <v>1</v>
      </c>
    </row>
    <row r="130" spans="1:1" x14ac:dyDescent="0.55000000000000004">
      <c r="A130" s="7">
        <v>2</v>
      </c>
    </row>
    <row r="131" spans="1:1" x14ac:dyDescent="0.55000000000000004">
      <c r="A131" s="7">
        <v>2</v>
      </c>
    </row>
    <row r="132" spans="1:1" x14ac:dyDescent="0.55000000000000004">
      <c r="A132" s="7">
        <v>3</v>
      </c>
    </row>
    <row r="133" spans="1:1" x14ac:dyDescent="0.55000000000000004">
      <c r="A133" s="7">
        <v>2</v>
      </c>
    </row>
    <row r="134" spans="1:1" x14ac:dyDescent="0.55000000000000004">
      <c r="A134" s="7">
        <v>1</v>
      </c>
    </row>
    <row r="135" spans="1:1" x14ac:dyDescent="0.55000000000000004">
      <c r="A135" s="7">
        <v>3</v>
      </c>
    </row>
    <row r="136" spans="1:1" x14ac:dyDescent="0.55000000000000004">
      <c r="A136" s="7">
        <v>2</v>
      </c>
    </row>
    <row r="137" spans="1:1" x14ac:dyDescent="0.55000000000000004">
      <c r="A137" s="7">
        <v>2</v>
      </c>
    </row>
    <row r="138" spans="1:1" x14ac:dyDescent="0.55000000000000004">
      <c r="A138" s="7">
        <v>4</v>
      </c>
    </row>
    <row r="139" spans="1:1" x14ac:dyDescent="0.55000000000000004">
      <c r="A139" s="7">
        <v>1</v>
      </c>
    </row>
    <row r="140" spans="1:1" x14ac:dyDescent="0.55000000000000004">
      <c r="A140" s="7">
        <v>1</v>
      </c>
    </row>
    <row r="141" spans="1:1" x14ac:dyDescent="0.55000000000000004">
      <c r="A141" s="7">
        <v>4</v>
      </c>
    </row>
    <row r="142" spans="1:1" x14ac:dyDescent="0.55000000000000004">
      <c r="A142" s="7">
        <v>1</v>
      </c>
    </row>
    <row r="143" spans="1:1" x14ac:dyDescent="0.55000000000000004">
      <c r="A143" s="7">
        <v>1</v>
      </c>
    </row>
    <row r="144" spans="1:1" x14ac:dyDescent="0.55000000000000004">
      <c r="A144" s="7">
        <v>4</v>
      </c>
    </row>
    <row r="145" spans="1:1" x14ac:dyDescent="0.55000000000000004">
      <c r="A145" s="7">
        <v>5</v>
      </c>
    </row>
    <row r="146" spans="1:1" x14ac:dyDescent="0.55000000000000004">
      <c r="A146" s="7">
        <v>4</v>
      </c>
    </row>
    <row r="147" spans="1:1" x14ac:dyDescent="0.55000000000000004">
      <c r="A147" s="7">
        <v>1</v>
      </c>
    </row>
    <row r="148" spans="1:1" x14ac:dyDescent="0.55000000000000004">
      <c r="A148" s="7">
        <v>3</v>
      </c>
    </row>
    <row r="149" spans="1:1" x14ac:dyDescent="0.55000000000000004">
      <c r="A149" s="7">
        <v>5</v>
      </c>
    </row>
    <row r="150" spans="1:1" x14ac:dyDescent="0.55000000000000004">
      <c r="A150" s="7">
        <v>5</v>
      </c>
    </row>
    <row r="151" spans="1:1" x14ac:dyDescent="0.55000000000000004">
      <c r="A151" s="7">
        <v>1</v>
      </c>
    </row>
    <row r="152" spans="1:1" x14ac:dyDescent="0.55000000000000004">
      <c r="A152" s="7">
        <v>3</v>
      </c>
    </row>
    <row r="153" spans="1:1" x14ac:dyDescent="0.55000000000000004">
      <c r="A153" s="7">
        <v>3</v>
      </c>
    </row>
    <row r="154" spans="1:1" x14ac:dyDescent="0.55000000000000004">
      <c r="A154" s="7">
        <v>1</v>
      </c>
    </row>
    <row r="155" spans="1:1" x14ac:dyDescent="0.55000000000000004">
      <c r="A155" s="7">
        <v>2</v>
      </c>
    </row>
    <row r="156" spans="1:1" x14ac:dyDescent="0.55000000000000004">
      <c r="A156" s="7">
        <v>3</v>
      </c>
    </row>
    <row r="157" spans="1:1" x14ac:dyDescent="0.55000000000000004">
      <c r="A157" s="7">
        <v>3</v>
      </c>
    </row>
    <row r="158" spans="1:1" x14ac:dyDescent="0.55000000000000004">
      <c r="A158" s="7">
        <v>1</v>
      </c>
    </row>
    <row r="159" spans="1:1" x14ac:dyDescent="0.55000000000000004">
      <c r="A159" s="7">
        <v>1</v>
      </c>
    </row>
    <row r="160" spans="1:1" x14ac:dyDescent="0.55000000000000004">
      <c r="A160" s="7">
        <v>3</v>
      </c>
    </row>
    <row r="161" spans="1:1" x14ac:dyDescent="0.55000000000000004">
      <c r="A161" s="7">
        <v>3</v>
      </c>
    </row>
    <row r="162" spans="1:1" x14ac:dyDescent="0.55000000000000004">
      <c r="A162" s="7">
        <v>1</v>
      </c>
    </row>
    <row r="163" spans="1:1" x14ac:dyDescent="0.55000000000000004">
      <c r="A163" s="7">
        <v>1</v>
      </c>
    </row>
    <row r="164" spans="1:1" x14ac:dyDescent="0.55000000000000004">
      <c r="A164" s="7">
        <v>2</v>
      </c>
    </row>
    <row r="165" spans="1:1" x14ac:dyDescent="0.55000000000000004">
      <c r="A165" s="7">
        <v>1</v>
      </c>
    </row>
    <row r="166" spans="1:1" x14ac:dyDescent="0.55000000000000004">
      <c r="A166" s="7">
        <v>2</v>
      </c>
    </row>
    <row r="167" spans="1:1" x14ac:dyDescent="0.55000000000000004">
      <c r="A167" s="7">
        <v>3</v>
      </c>
    </row>
    <row r="168" spans="1:1" x14ac:dyDescent="0.55000000000000004">
      <c r="A168" s="7">
        <v>5</v>
      </c>
    </row>
    <row r="169" spans="1:1" x14ac:dyDescent="0.55000000000000004">
      <c r="A169" s="7">
        <v>4</v>
      </c>
    </row>
    <row r="170" spans="1:1" x14ac:dyDescent="0.55000000000000004">
      <c r="A170" s="7">
        <v>2</v>
      </c>
    </row>
    <row r="171" spans="1:1" x14ac:dyDescent="0.55000000000000004">
      <c r="A171" s="7">
        <v>4</v>
      </c>
    </row>
    <row r="172" spans="1:1" x14ac:dyDescent="0.55000000000000004">
      <c r="A172" s="7">
        <v>3</v>
      </c>
    </row>
    <row r="173" spans="1:1" x14ac:dyDescent="0.55000000000000004">
      <c r="A173" s="7">
        <v>3</v>
      </c>
    </row>
    <row r="174" spans="1:1" x14ac:dyDescent="0.55000000000000004">
      <c r="A174" s="7">
        <v>4</v>
      </c>
    </row>
    <row r="175" spans="1:1" x14ac:dyDescent="0.55000000000000004">
      <c r="A175" s="7">
        <v>3</v>
      </c>
    </row>
    <row r="176" spans="1:1" x14ac:dyDescent="0.55000000000000004">
      <c r="A176" s="7">
        <v>4</v>
      </c>
    </row>
    <row r="177" spans="1:1" x14ac:dyDescent="0.55000000000000004">
      <c r="A177" s="7">
        <v>5</v>
      </c>
    </row>
    <row r="178" spans="1:1" x14ac:dyDescent="0.55000000000000004">
      <c r="A178" s="7">
        <v>3</v>
      </c>
    </row>
    <row r="179" spans="1:1" x14ac:dyDescent="0.55000000000000004">
      <c r="A179" s="7">
        <v>4</v>
      </c>
    </row>
    <row r="180" spans="1:1" x14ac:dyDescent="0.55000000000000004">
      <c r="A180" s="7">
        <v>3</v>
      </c>
    </row>
    <row r="181" spans="1:1" x14ac:dyDescent="0.55000000000000004">
      <c r="A181" s="7">
        <v>3</v>
      </c>
    </row>
    <row r="182" spans="1:1" x14ac:dyDescent="0.55000000000000004">
      <c r="A182" s="7">
        <v>4</v>
      </c>
    </row>
    <row r="183" spans="1:1" x14ac:dyDescent="0.55000000000000004">
      <c r="A183" s="7">
        <v>2</v>
      </c>
    </row>
    <row r="184" spans="1:1" x14ac:dyDescent="0.55000000000000004">
      <c r="A184" s="7">
        <v>5</v>
      </c>
    </row>
    <row r="185" spans="1:1" x14ac:dyDescent="0.55000000000000004">
      <c r="A185" s="7">
        <v>1</v>
      </c>
    </row>
    <row r="186" spans="1:1" x14ac:dyDescent="0.55000000000000004">
      <c r="A186" s="7">
        <v>4</v>
      </c>
    </row>
    <row r="187" spans="1:1" x14ac:dyDescent="0.55000000000000004">
      <c r="A187" s="7">
        <v>4</v>
      </c>
    </row>
    <row r="188" spans="1:1" x14ac:dyDescent="0.55000000000000004">
      <c r="A188" s="7">
        <v>1</v>
      </c>
    </row>
    <row r="189" spans="1:1" x14ac:dyDescent="0.55000000000000004">
      <c r="A189" s="7">
        <v>1</v>
      </c>
    </row>
    <row r="190" spans="1:1" x14ac:dyDescent="0.55000000000000004">
      <c r="A190" s="7">
        <v>4</v>
      </c>
    </row>
    <row r="191" spans="1:1" x14ac:dyDescent="0.55000000000000004">
      <c r="A191" s="7">
        <v>1</v>
      </c>
    </row>
    <row r="192" spans="1:1" x14ac:dyDescent="0.55000000000000004">
      <c r="A192" s="7">
        <v>3</v>
      </c>
    </row>
    <row r="193" spans="1:1" x14ac:dyDescent="0.55000000000000004">
      <c r="A193" s="7">
        <v>5</v>
      </c>
    </row>
    <row r="194" spans="1:1" x14ac:dyDescent="0.55000000000000004">
      <c r="A194" s="7">
        <v>3</v>
      </c>
    </row>
    <row r="195" spans="1:1" x14ac:dyDescent="0.55000000000000004">
      <c r="A195" s="7">
        <v>3</v>
      </c>
    </row>
    <row r="196" spans="1:1" x14ac:dyDescent="0.55000000000000004">
      <c r="A196" s="7">
        <v>5</v>
      </c>
    </row>
    <row r="197" spans="1:1" x14ac:dyDescent="0.55000000000000004">
      <c r="A197" s="7">
        <v>1</v>
      </c>
    </row>
    <row r="198" spans="1:1" x14ac:dyDescent="0.55000000000000004">
      <c r="A198" s="7">
        <v>3</v>
      </c>
    </row>
    <row r="199" spans="1:1" x14ac:dyDescent="0.55000000000000004">
      <c r="A199" s="7">
        <v>5</v>
      </c>
    </row>
    <row r="200" spans="1:1" x14ac:dyDescent="0.55000000000000004">
      <c r="A200" s="7">
        <v>2</v>
      </c>
    </row>
    <row r="201" spans="1:1" x14ac:dyDescent="0.55000000000000004">
      <c r="A201" s="7">
        <v>2</v>
      </c>
    </row>
    <row r="202" spans="1:1" x14ac:dyDescent="0.55000000000000004">
      <c r="A202" s="7">
        <v>2</v>
      </c>
    </row>
    <row r="203" spans="1:1" x14ac:dyDescent="0.55000000000000004">
      <c r="A203" s="7">
        <v>5</v>
      </c>
    </row>
    <row r="204" spans="1:1" x14ac:dyDescent="0.55000000000000004">
      <c r="A204" s="7">
        <v>3</v>
      </c>
    </row>
    <row r="205" spans="1:1" x14ac:dyDescent="0.55000000000000004">
      <c r="A205" s="7">
        <v>1</v>
      </c>
    </row>
    <row r="206" spans="1:1" x14ac:dyDescent="0.55000000000000004">
      <c r="A206" s="7">
        <v>1</v>
      </c>
    </row>
    <row r="207" spans="1:1" x14ac:dyDescent="0.55000000000000004">
      <c r="A207" s="7">
        <v>1</v>
      </c>
    </row>
    <row r="208" spans="1:1" x14ac:dyDescent="0.55000000000000004">
      <c r="A208" s="7">
        <v>3</v>
      </c>
    </row>
    <row r="209" spans="1:1" x14ac:dyDescent="0.55000000000000004">
      <c r="A209" s="7">
        <v>3</v>
      </c>
    </row>
    <row r="210" spans="1:1" x14ac:dyDescent="0.55000000000000004">
      <c r="A210" s="7">
        <v>3</v>
      </c>
    </row>
    <row r="211" spans="1:1" x14ac:dyDescent="0.55000000000000004">
      <c r="A211" s="7">
        <v>2</v>
      </c>
    </row>
    <row r="212" spans="1:1" x14ac:dyDescent="0.55000000000000004">
      <c r="A212" s="7">
        <v>3</v>
      </c>
    </row>
    <row r="213" spans="1:1" x14ac:dyDescent="0.55000000000000004">
      <c r="A213" s="7">
        <v>3</v>
      </c>
    </row>
    <row r="214" spans="1:1" x14ac:dyDescent="0.55000000000000004">
      <c r="A214" s="7">
        <v>1</v>
      </c>
    </row>
    <row r="215" spans="1:1" x14ac:dyDescent="0.55000000000000004">
      <c r="A215" s="7">
        <v>4</v>
      </c>
    </row>
    <row r="216" spans="1:1" x14ac:dyDescent="0.55000000000000004">
      <c r="A216" s="7">
        <v>4</v>
      </c>
    </row>
    <row r="217" spans="1:1" x14ac:dyDescent="0.55000000000000004">
      <c r="A217" s="7">
        <v>2</v>
      </c>
    </row>
    <row r="218" spans="1:1" x14ac:dyDescent="0.55000000000000004">
      <c r="A218" s="7">
        <v>1</v>
      </c>
    </row>
    <row r="219" spans="1:1" x14ac:dyDescent="0.55000000000000004">
      <c r="A219" s="7">
        <v>3</v>
      </c>
    </row>
    <row r="220" spans="1:1" x14ac:dyDescent="0.55000000000000004">
      <c r="A220" s="7">
        <v>4</v>
      </c>
    </row>
    <row r="221" spans="1:1" x14ac:dyDescent="0.55000000000000004">
      <c r="A221" s="7">
        <v>1</v>
      </c>
    </row>
    <row r="222" spans="1:1" x14ac:dyDescent="0.55000000000000004">
      <c r="A222" s="7">
        <v>3</v>
      </c>
    </row>
    <row r="223" spans="1:1" x14ac:dyDescent="0.55000000000000004">
      <c r="A223" s="7">
        <v>2</v>
      </c>
    </row>
    <row r="224" spans="1:1" x14ac:dyDescent="0.55000000000000004">
      <c r="A224" s="7">
        <v>5</v>
      </c>
    </row>
    <row r="225" spans="1:1" x14ac:dyDescent="0.55000000000000004">
      <c r="A225" s="7">
        <v>2</v>
      </c>
    </row>
    <row r="226" spans="1:1" x14ac:dyDescent="0.55000000000000004">
      <c r="A226" s="7">
        <v>3</v>
      </c>
    </row>
    <row r="227" spans="1:1" x14ac:dyDescent="0.55000000000000004">
      <c r="A227" s="7">
        <v>4</v>
      </c>
    </row>
    <row r="228" spans="1:1" x14ac:dyDescent="0.55000000000000004">
      <c r="A228" s="7">
        <v>1</v>
      </c>
    </row>
    <row r="229" spans="1:1" x14ac:dyDescent="0.55000000000000004">
      <c r="A229" s="7">
        <v>5</v>
      </c>
    </row>
    <row r="230" spans="1:1" x14ac:dyDescent="0.55000000000000004">
      <c r="A230" s="7">
        <v>4</v>
      </c>
    </row>
    <row r="231" spans="1:1" x14ac:dyDescent="0.55000000000000004">
      <c r="A231" s="7">
        <v>4</v>
      </c>
    </row>
    <row r="232" spans="1:1" x14ac:dyDescent="0.55000000000000004">
      <c r="A232" s="7">
        <v>5</v>
      </c>
    </row>
    <row r="233" spans="1:1" x14ac:dyDescent="0.55000000000000004">
      <c r="A233" s="7">
        <v>5</v>
      </c>
    </row>
    <row r="234" spans="1:1" x14ac:dyDescent="0.55000000000000004">
      <c r="A234" s="7">
        <v>1</v>
      </c>
    </row>
    <row r="235" spans="1:1" x14ac:dyDescent="0.55000000000000004">
      <c r="A235" s="7">
        <v>4</v>
      </c>
    </row>
    <row r="236" spans="1:1" x14ac:dyDescent="0.55000000000000004">
      <c r="A236" s="7">
        <v>4</v>
      </c>
    </row>
    <row r="237" spans="1:1" x14ac:dyDescent="0.55000000000000004">
      <c r="A237" s="7">
        <v>4</v>
      </c>
    </row>
    <row r="238" spans="1:1" x14ac:dyDescent="0.55000000000000004">
      <c r="A238" s="7">
        <v>3</v>
      </c>
    </row>
    <row r="239" spans="1:1" x14ac:dyDescent="0.55000000000000004">
      <c r="A239" s="7">
        <v>2</v>
      </c>
    </row>
    <row r="240" spans="1:1" x14ac:dyDescent="0.55000000000000004">
      <c r="A240" s="7">
        <v>2</v>
      </c>
    </row>
    <row r="241" spans="1:1" x14ac:dyDescent="0.55000000000000004">
      <c r="A241" s="7">
        <v>5</v>
      </c>
    </row>
    <row r="242" spans="1:1" x14ac:dyDescent="0.55000000000000004">
      <c r="A242" s="7">
        <v>2</v>
      </c>
    </row>
    <row r="243" spans="1:1" x14ac:dyDescent="0.55000000000000004">
      <c r="A243" s="7">
        <v>2</v>
      </c>
    </row>
    <row r="244" spans="1:1" x14ac:dyDescent="0.55000000000000004">
      <c r="A244" s="7">
        <v>5</v>
      </c>
    </row>
    <row r="245" spans="1:1" x14ac:dyDescent="0.55000000000000004">
      <c r="A245" s="7">
        <v>2</v>
      </c>
    </row>
    <row r="246" spans="1:1" x14ac:dyDescent="0.55000000000000004">
      <c r="A246" s="7">
        <v>4</v>
      </c>
    </row>
    <row r="247" spans="1:1" x14ac:dyDescent="0.55000000000000004">
      <c r="A247" s="7">
        <v>1</v>
      </c>
    </row>
    <row r="248" spans="1:1" x14ac:dyDescent="0.55000000000000004">
      <c r="A248" s="7">
        <v>5</v>
      </c>
    </row>
    <row r="249" spans="1:1" x14ac:dyDescent="0.55000000000000004">
      <c r="A249" s="7">
        <v>5</v>
      </c>
    </row>
    <row r="250" spans="1:1" x14ac:dyDescent="0.55000000000000004">
      <c r="A250" s="7">
        <v>2</v>
      </c>
    </row>
    <row r="251" spans="1:1" x14ac:dyDescent="0.55000000000000004">
      <c r="A251" s="7">
        <v>1</v>
      </c>
    </row>
    <row r="252" spans="1:1" x14ac:dyDescent="0.55000000000000004">
      <c r="A252" s="7">
        <v>2</v>
      </c>
    </row>
    <row r="253" spans="1:1" x14ac:dyDescent="0.55000000000000004">
      <c r="A253" s="7">
        <v>2</v>
      </c>
    </row>
    <row r="254" spans="1:1" x14ac:dyDescent="0.55000000000000004">
      <c r="A254" s="7">
        <v>3</v>
      </c>
    </row>
    <row r="255" spans="1:1" x14ac:dyDescent="0.55000000000000004">
      <c r="A255" s="7">
        <v>5</v>
      </c>
    </row>
    <row r="256" spans="1:1" x14ac:dyDescent="0.55000000000000004">
      <c r="A256" s="7">
        <v>4</v>
      </c>
    </row>
    <row r="257" spans="1:1" x14ac:dyDescent="0.55000000000000004">
      <c r="A257" s="7">
        <v>3</v>
      </c>
    </row>
    <row r="258" spans="1:1" x14ac:dyDescent="0.55000000000000004">
      <c r="A258" s="7">
        <v>2</v>
      </c>
    </row>
    <row r="259" spans="1:1" x14ac:dyDescent="0.55000000000000004">
      <c r="A259" s="7">
        <v>3</v>
      </c>
    </row>
    <row r="260" spans="1:1" x14ac:dyDescent="0.55000000000000004">
      <c r="A260" s="7">
        <v>1</v>
      </c>
    </row>
    <row r="261" spans="1:1" x14ac:dyDescent="0.55000000000000004">
      <c r="A261" s="7">
        <v>3</v>
      </c>
    </row>
    <row r="262" spans="1:1" x14ac:dyDescent="0.55000000000000004">
      <c r="A262" s="7">
        <v>3</v>
      </c>
    </row>
    <row r="263" spans="1:1" x14ac:dyDescent="0.55000000000000004">
      <c r="A263" s="7">
        <v>4</v>
      </c>
    </row>
    <row r="264" spans="1:1" x14ac:dyDescent="0.55000000000000004">
      <c r="A264" s="7">
        <v>3</v>
      </c>
    </row>
    <row r="265" spans="1:1" x14ac:dyDescent="0.55000000000000004">
      <c r="A265" s="7">
        <v>5</v>
      </c>
    </row>
    <row r="266" spans="1:1" x14ac:dyDescent="0.55000000000000004">
      <c r="A266" s="7">
        <v>5</v>
      </c>
    </row>
    <row r="267" spans="1:1" x14ac:dyDescent="0.55000000000000004">
      <c r="A267" s="7">
        <v>2</v>
      </c>
    </row>
    <row r="268" spans="1:1" x14ac:dyDescent="0.55000000000000004">
      <c r="A268" s="7">
        <v>3</v>
      </c>
    </row>
    <row r="269" spans="1:1" x14ac:dyDescent="0.55000000000000004">
      <c r="A269" s="7">
        <v>1</v>
      </c>
    </row>
    <row r="270" spans="1:1" x14ac:dyDescent="0.55000000000000004">
      <c r="A270" s="7">
        <v>1</v>
      </c>
    </row>
    <row r="271" spans="1:1" x14ac:dyDescent="0.55000000000000004">
      <c r="A271" s="7">
        <v>1</v>
      </c>
    </row>
    <row r="272" spans="1:1" x14ac:dyDescent="0.55000000000000004">
      <c r="A272" s="7">
        <v>3</v>
      </c>
    </row>
    <row r="273" spans="1:1" x14ac:dyDescent="0.55000000000000004">
      <c r="A273" s="7">
        <v>1</v>
      </c>
    </row>
    <row r="274" spans="1:1" x14ac:dyDescent="0.55000000000000004">
      <c r="A274" s="7">
        <v>1</v>
      </c>
    </row>
    <row r="275" spans="1:1" x14ac:dyDescent="0.55000000000000004">
      <c r="A275" s="7">
        <v>4</v>
      </c>
    </row>
    <row r="276" spans="1:1" x14ac:dyDescent="0.55000000000000004">
      <c r="A276" s="7">
        <v>1</v>
      </c>
    </row>
    <row r="277" spans="1:1" x14ac:dyDescent="0.55000000000000004">
      <c r="A277" s="7">
        <v>1</v>
      </c>
    </row>
    <row r="278" spans="1:1" x14ac:dyDescent="0.55000000000000004">
      <c r="A278" s="7">
        <v>2</v>
      </c>
    </row>
    <row r="279" spans="1:1" x14ac:dyDescent="0.55000000000000004">
      <c r="A279" s="7">
        <v>5</v>
      </c>
    </row>
    <row r="280" spans="1:1" x14ac:dyDescent="0.55000000000000004">
      <c r="A280" s="7">
        <v>3</v>
      </c>
    </row>
    <row r="281" spans="1:1" x14ac:dyDescent="0.55000000000000004">
      <c r="A281" s="7">
        <v>5</v>
      </c>
    </row>
    <row r="282" spans="1:1" x14ac:dyDescent="0.55000000000000004">
      <c r="A282" s="7">
        <v>1</v>
      </c>
    </row>
    <row r="283" spans="1:1" x14ac:dyDescent="0.55000000000000004">
      <c r="A283" s="7">
        <v>2</v>
      </c>
    </row>
    <row r="284" spans="1:1" x14ac:dyDescent="0.55000000000000004">
      <c r="A284" s="7">
        <v>2</v>
      </c>
    </row>
    <row r="285" spans="1:1" x14ac:dyDescent="0.55000000000000004">
      <c r="A285" s="7">
        <v>4</v>
      </c>
    </row>
    <row r="286" spans="1:1" x14ac:dyDescent="0.55000000000000004">
      <c r="A286" s="7">
        <v>2</v>
      </c>
    </row>
    <row r="287" spans="1:1" x14ac:dyDescent="0.55000000000000004">
      <c r="A287" s="7">
        <v>4</v>
      </c>
    </row>
    <row r="288" spans="1:1" x14ac:dyDescent="0.55000000000000004">
      <c r="A288" s="7">
        <v>1</v>
      </c>
    </row>
    <row r="289" spans="1:1" x14ac:dyDescent="0.55000000000000004">
      <c r="A289" s="7">
        <v>2</v>
      </c>
    </row>
    <row r="290" spans="1:1" x14ac:dyDescent="0.55000000000000004">
      <c r="A290" s="7">
        <v>1</v>
      </c>
    </row>
    <row r="291" spans="1:1" x14ac:dyDescent="0.55000000000000004">
      <c r="A291" s="7">
        <v>3</v>
      </c>
    </row>
    <row r="292" spans="1:1" x14ac:dyDescent="0.55000000000000004">
      <c r="A292" s="7">
        <v>3</v>
      </c>
    </row>
    <row r="293" spans="1:1" x14ac:dyDescent="0.55000000000000004">
      <c r="A293" s="7">
        <v>4</v>
      </c>
    </row>
    <row r="294" spans="1:1" x14ac:dyDescent="0.55000000000000004">
      <c r="A294" s="7">
        <v>3</v>
      </c>
    </row>
    <row r="295" spans="1:1" x14ac:dyDescent="0.55000000000000004">
      <c r="A295" s="7">
        <v>2</v>
      </c>
    </row>
    <row r="296" spans="1:1" x14ac:dyDescent="0.55000000000000004">
      <c r="A296" s="7">
        <v>5</v>
      </c>
    </row>
    <row r="297" spans="1:1" x14ac:dyDescent="0.55000000000000004">
      <c r="A297" s="7">
        <v>2</v>
      </c>
    </row>
    <row r="298" spans="1:1" x14ac:dyDescent="0.55000000000000004">
      <c r="A298" s="7">
        <v>5</v>
      </c>
    </row>
    <row r="299" spans="1:1" x14ac:dyDescent="0.55000000000000004">
      <c r="A299" s="7">
        <v>5</v>
      </c>
    </row>
    <row r="300" spans="1:1" x14ac:dyDescent="0.55000000000000004">
      <c r="A300" s="7">
        <v>4</v>
      </c>
    </row>
    <row r="301" spans="1:1" x14ac:dyDescent="0.55000000000000004">
      <c r="A301" s="7">
        <v>2</v>
      </c>
    </row>
    <row r="302" spans="1:1" x14ac:dyDescent="0.55000000000000004">
      <c r="A302" s="7">
        <v>3</v>
      </c>
    </row>
    <row r="303" spans="1:1" x14ac:dyDescent="0.55000000000000004">
      <c r="A303" s="7">
        <v>3</v>
      </c>
    </row>
    <row r="304" spans="1:1" x14ac:dyDescent="0.55000000000000004">
      <c r="A304" s="7">
        <v>4</v>
      </c>
    </row>
    <row r="305" spans="1:1" x14ac:dyDescent="0.55000000000000004">
      <c r="A305" s="7">
        <v>1</v>
      </c>
    </row>
    <row r="306" spans="1:1" x14ac:dyDescent="0.55000000000000004">
      <c r="A306" s="7">
        <v>1</v>
      </c>
    </row>
    <row r="307" spans="1:1" x14ac:dyDescent="0.55000000000000004">
      <c r="A307" s="7">
        <v>2</v>
      </c>
    </row>
    <row r="308" spans="1:1" x14ac:dyDescent="0.55000000000000004">
      <c r="A308" s="7">
        <v>3</v>
      </c>
    </row>
    <row r="309" spans="1:1" x14ac:dyDescent="0.55000000000000004">
      <c r="A309" s="7">
        <v>3</v>
      </c>
    </row>
    <row r="310" spans="1:1" x14ac:dyDescent="0.55000000000000004">
      <c r="A310" s="7">
        <v>2</v>
      </c>
    </row>
    <row r="311" spans="1:1" x14ac:dyDescent="0.55000000000000004">
      <c r="A311" s="7">
        <v>2</v>
      </c>
    </row>
    <row r="312" spans="1:1" x14ac:dyDescent="0.55000000000000004">
      <c r="A312" s="7">
        <v>5</v>
      </c>
    </row>
    <row r="313" spans="1:1" x14ac:dyDescent="0.55000000000000004">
      <c r="A313" s="7">
        <v>3</v>
      </c>
    </row>
    <row r="314" spans="1:1" x14ac:dyDescent="0.55000000000000004">
      <c r="A314" s="7">
        <v>2</v>
      </c>
    </row>
    <row r="315" spans="1:1" x14ac:dyDescent="0.55000000000000004">
      <c r="A315" s="7">
        <v>1</v>
      </c>
    </row>
    <row r="316" spans="1:1" x14ac:dyDescent="0.55000000000000004">
      <c r="A316" s="7">
        <v>5</v>
      </c>
    </row>
    <row r="317" spans="1:1" x14ac:dyDescent="0.55000000000000004">
      <c r="A317" s="7">
        <v>2</v>
      </c>
    </row>
    <row r="318" spans="1:1" x14ac:dyDescent="0.55000000000000004">
      <c r="A318" s="7">
        <v>2</v>
      </c>
    </row>
    <row r="319" spans="1:1" x14ac:dyDescent="0.55000000000000004">
      <c r="A319" s="7">
        <v>4</v>
      </c>
    </row>
    <row r="320" spans="1:1" x14ac:dyDescent="0.55000000000000004">
      <c r="A320" s="7">
        <v>4</v>
      </c>
    </row>
    <row r="321" spans="1:1" x14ac:dyDescent="0.55000000000000004">
      <c r="A321" s="7">
        <v>1</v>
      </c>
    </row>
    <row r="322" spans="1:1" x14ac:dyDescent="0.55000000000000004">
      <c r="A322" s="7">
        <v>1</v>
      </c>
    </row>
    <row r="323" spans="1:1" x14ac:dyDescent="0.55000000000000004">
      <c r="A323" s="7">
        <v>5</v>
      </c>
    </row>
    <row r="324" spans="1:1" x14ac:dyDescent="0.55000000000000004">
      <c r="A324" s="7">
        <v>2</v>
      </c>
    </row>
    <row r="325" spans="1:1" x14ac:dyDescent="0.55000000000000004">
      <c r="A325" s="7">
        <v>1</v>
      </c>
    </row>
    <row r="326" spans="1:1" x14ac:dyDescent="0.55000000000000004">
      <c r="A326" s="7">
        <v>1</v>
      </c>
    </row>
    <row r="327" spans="1:1" x14ac:dyDescent="0.55000000000000004">
      <c r="A327" s="7">
        <v>4</v>
      </c>
    </row>
    <row r="328" spans="1:1" x14ac:dyDescent="0.55000000000000004">
      <c r="A328" s="7">
        <v>2</v>
      </c>
    </row>
    <row r="329" spans="1:1" x14ac:dyDescent="0.55000000000000004">
      <c r="A329" s="7">
        <v>5</v>
      </c>
    </row>
    <row r="330" spans="1:1" x14ac:dyDescent="0.55000000000000004">
      <c r="A330" s="7">
        <v>2</v>
      </c>
    </row>
    <row r="331" spans="1:1" x14ac:dyDescent="0.55000000000000004">
      <c r="A331" s="7">
        <v>3</v>
      </c>
    </row>
    <row r="332" spans="1:1" x14ac:dyDescent="0.55000000000000004">
      <c r="A332" s="7">
        <v>1</v>
      </c>
    </row>
    <row r="333" spans="1:1" x14ac:dyDescent="0.55000000000000004">
      <c r="A333" s="7">
        <v>2</v>
      </c>
    </row>
    <row r="334" spans="1:1" x14ac:dyDescent="0.55000000000000004">
      <c r="A334" s="7">
        <v>1</v>
      </c>
    </row>
    <row r="335" spans="1:1" x14ac:dyDescent="0.55000000000000004">
      <c r="A335" s="7">
        <v>4</v>
      </c>
    </row>
    <row r="336" spans="1:1" x14ac:dyDescent="0.55000000000000004">
      <c r="A336" s="7">
        <v>2</v>
      </c>
    </row>
    <row r="337" spans="1:1" x14ac:dyDescent="0.55000000000000004">
      <c r="A337" s="7">
        <v>5</v>
      </c>
    </row>
    <row r="338" spans="1:1" x14ac:dyDescent="0.55000000000000004">
      <c r="A338" s="7">
        <v>1</v>
      </c>
    </row>
    <row r="339" spans="1:1" x14ac:dyDescent="0.55000000000000004">
      <c r="A339" s="7">
        <v>3</v>
      </c>
    </row>
    <row r="340" spans="1:1" x14ac:dyDescent="0.55000000000000004">
      <c r="A340" s="7">
        <v>1</v>
      </c>
    </row>
    <row r="341" spans="1:1" x14ac:dyDescent="0.55000000000000004">
      <c r="A341" s="7">
        <v>1</v>
      </c>
    </row>
    <row r="342" spans="1:1" x14ac:dyDescent="0.55000000000000004">
      <c r="A342" s="7">
        <v>3</v>
      </c>
    </row>
    <row r="343" spans="1:1" x14ac:dyDescent="0.55000000000000004">
      <c r="A343" s="7">
        <v>1</v>
      </c>
    </row>
    <row r="344" spans="1:1" x14ac:dyDescent="0.55000000000000004">
      <c r="A344" s="7">
        <v>3</v>
      </c>
    </row>
    <row r="345" spans="1:1" x14ac:dyDescent="0.55000000000000004">
      <c r="A345" s="7">
        <v>4</v>
      </c>
    </row>
    <row r="346" spans="1:1" x14ac:dyDescent="0.55000000000000004">
      <c r="A346" s="7">
        <v>3</v>
      </c>
    </row>
    <row r="347" spans="1:1" x14ac:dyDescent="0.55000000000000004">
      <c r="A347" s="7">
        <v>2</v>
      </c>
    </row>
    <row r="348" spans="1:1" x14ac:dyDescent="0.55000000000000004">
      <c r="A348" s="7">
        <v>2</v>
      </c>
    </row>
    <row r="349" spans="1:1" x14ac:dyDescent="0.55000000000000004">
      <c r="A349" s="7">
        <v>5</v>
      </c>
    </row>
    <row r="350" spans="1:1" x14ac:dyDescent="0.55000000000000004">
      <c r="A350" s="7">
        <v>4</v>
      </c>
    </row>
    <row r="351" spans="1:1" x14ac:dyDescent="0.55000000000000004">
      <c r="A351" s="7">
        <v>4</v>
      </c>
    </row>
    <row r="352" spans="1:1" x14ac:dyDescent="0.55000000000000004">
      <c r="A352" s="7">
        <v>1</v>
      </c>
    </row>
    <row r="353" spans="1:1" x14ac:dyDescent="0.55000000000000004">
      <c r="A353" s="7">
        <v>1</v>
      </c>
    </row>
    <row r="354" spans="1:1" x14ac:dyDescent="0.55000000000000004">
      <c r="A354" s="7">
        <v>4</v>
      </c>
    </row>
    <row r="355" spans="1:1" x14ac:dyDescent="0.55000000000000004">
      <c r="A355" s="7">
        <v>5</v>
      </c>
    </row>
    <row r="356" spans="1:1" x14ac:dyDescent="0.55000000000000004">
      <c r="A356" s="7">
        <v>4</v>
      </c>
    </row>
    <row r="357" spans="1:1" x14ac:dyDescent="0.55000000000000004">
      <c r="A357" s="7">
        <v>5</v>
      </c>
    </row>
    <row r="358" spans="1:1" x14ac:dyDescent="0.55000000000000004">
      <c r="A358" s="7">
        <v>3</v>
      </c>
    </row>
    <row r="359" spans="1:1" x14ac:dyDescent="0.55000000000000004">
      <c r="A359" s="7">
        <v>1</v>
      </c>
    </row>
    <row r="360" spans="1:1" x14ac:dyDescent="0.55000000000000004">
      <c r="A360" s="7">
        <v>4</v>
      </c>
    </row>
    <row r="361" spans="1:1" x14ac:dyDescent="0.55000000000000004">
      <c r="A361" s="7">
        <v>2</v>
      </c>
    </row>
    <row r="362" spans="1:1" x14ac:dyDescent="0.55000000000000004">
      <c r="A362" s="7">
        <v>3</v>
      </c>
    </row>
    <row r="363" spans="1:1" x14ac:dyDescent="0.55000000000000004">
      <c r="A363" s="7">
        <v>2</v>
      </c>
    </row>
    <row r="364" spans="1:1" x14ac:dyDescent="0.55000000000000004">
      <c r="A364" s="7">
        <v>4</v>
      </c>
    </row>
    <row r="365" spans="1:1" x14ac:dyDescent="0.55000000000000004">
      <c r="A365" s="7">
        <v>4</v>
      </c>
    </row>
    <row r="366" spans="1:1" x14ac:dyDescent="0.55000000000000004">
      <c r="A366" s="7">
        <v>4</v>
      </c>
    </row>
    <row r="367" spans="1:1" x14ac:dyDescent="0.55000000000000004">
      <c r="A367" s="7">
        <v>1</v>
      </c>
    </row>
    <row r="368" spans="1:1" x14ac:dyDescent="0.55000000000000004">
      <c r="A368" s="7">
        <v>3</v>
      </c>
    </row>
    <row r="369" spans="1:1" x14ac:dyDescent="0.55000000000000004">
      <c r="A369" s="7">
        <v>2</v>
      </c>
    </row>
    <row r="370" spans="1:1" x14ac:dyDescent="0.55000000000000004">
      <c r="A370" s="7">
        <v>3</v>
      </c>
    </row>
    <row r="371" spans="1:1" x14ac:dyDescent="0.55000000000000004">
      <c r="A371" s="7">
        <v>3</v>
      </c>
    </row>
    <row r="372" spans="1:1" x14ac:dyDescent="0.55000000000000004">
      <c r="A372" s="7">
        <v>1</v>
      </c>
    </row>
    <row r="373" spans="1:1" x14ac:dyDescent="0.55000000000000004">
      <c r="A373" s="7">
        <v>5</v>
      </c>
    </row>
    <row r="374" spans="1:1" x14ac:dyDescent="0.55000000000000004">
      <c r="A374" s="7">
        <v>5</v>
      </c>
    </row>
    <row r="375" spans="1:1" x14ac:dyDescent="0.55000000000000004">
      <c r="A375" s="7">
        <v>2</v>
      </c>
    </row>
    <row r="376" spans="1:1" x14ac:dyDescent="0.55000000000000004">
      <c r="A376" s="7">
        <v>5</v>
      </c>
    </row>
    <row r="377" spans="1:1" x14ac:dyDescent="0.55000000000000004">
      <c r="A377" s="7">
        <v>4</v>
      </c>
    </row>
    <row r="378" spans="1:1" x14ac:dyDescent="0.55000000000000004">
      <c r="A378" s="7">
        <v>2</v>
      </c>
    </row>
    <row r="379" spans="1:1" x14ac:dyDescent="0.55000000000000004">
      <c r="A379" s="7">
        <v>5</v>
      </c>
    </row>
    <row r="380" spans="1:1" x14ac:dyDescent="0.55000000000000004">
      <c r="A380" s="7">
        <v>2</v>
      </c>
    </row>
    <row r="381" spans="1:1" x14ac:dyDescent="0.55000000000000004">
      <c r="A381" s="7">
        <v>1</v>
      </c>
    </row>
    <row r="382" spans="1:1" x14ac:dyDescent="0.55000000000000004">
      <c r="A382" s="7">
        <v>2</v>
      </c>
    </row>
    <row r="383" spans="1:1" x14ac:dyDescent="0.55000000000000004">
      <c r="A383" s="7">
        <v>4</v>
      </c>
    </row>
    <row r="384" spans="1:1" x14ac:dyDescent="0.55000000000000004">
      <c r="A384" s="7">
        <v>4</v>
      </c>
    </row>
    <row r="385" spans="1:1" x14ac:dyDescent="0.55000000000000004">
      <c r="A385" s="7">
        <v>5</v>
      </c>
    </row>
    <row r="386" spans="1:1" x14ac:dyDescent="0.55000000000000004">
      <c r="A386" s="7">
        <v>5</v>
      </c>
    </row>
    <row r="387" spans="1:1" x14ac:dyDescent="0.55000000000000004">
      <c r="A387" s="7">
        <v>1</v>
      </c>
    </row>
    <row r="388" spans="1:1" x14ac:dyDescent="0.55000000000000004">
      <c r="A388" s="7">
        <v>3</v>
      </c>
    </row>
    <row r="389" spans="1:1" x14ac:dyDescent="0.55000000000000004">
      <c r="A389" s="7">
        <v>3</v>
      </c>
    </row>
    <row r="390" spans="1:1" x14ac:dyDescent="0.55000000000000004">
      <c r="A390" s="7">
        <v>1</v>
      </c>
    </row>
    <row r="391" spans="1:1" x14ac:dyDescent="0.55000000000000004">
      <c r="A391" s="7">
        <v>5</v>
      </c>
    </row>
    <row r="392" spans="1:1" x14ac:dyDescent="0.55000000000000004">
      <c r="A392" s="7">
        <v>1</v>
      </c>
    </row>
    <row r="393" spans="1:1" x14ac:dyDescent="0.55000000000000004">
      <c r="A393" s="7">
        <v>4</v>
      </c>
    </row>
    <row r="394" spans="1:1" x14ac:dyDescent="0.55000000000000004">
      <c r="A394" s="7">
        <v>2</v>
      </c>
    </row>
    <row r="395" spans="1:1" x14ac:dyDescent="0.55000000000000004">
      <c r="A395" s="7">
        <v>2</v>
      </c>
    </row>
    <row r="396" spans="1:1" x14ac:dyDescent="0.55000000000000004">
      <c r="A396" s="7">
        <v>5</v>
      </c>
    </row>
    <row r="397" spans="1:1" x14ac:dyDescent="0.55000000000000004">
      <c r="A397" s="7">
        <v>3</v>
      </c>
    </row>
    <row r="398" spans="1:1" x14ac:dyDescent="0.55000000000000004">
      <c r="A398" s="7">
        <v>3</v>
      </c>
    </row>
    <row r="399" spans="1:1" x14ac:dyDescent="0.55000000000000004">
      <c r="A399" s="7">
        <v>4</v>
      </c>
    </row>
    <row r="400" spans="1:1" x14ac:dyDescent="0.55000000000000004">
      <c r="A400" s="7">
        <v>3</v>
      </c>
    </row>
    <row r="401" spans="1:1" x14ac:dyDescent="0.55000000000000004">
      <c r="A401" s="7">
        <v>1</v>
      </c>
    </row>
    <row r="402" spans="1:1" x14ac:dyDescent="0.55000000000000004">
      <c r="A402" s="7">
        <v>3</v>
      </c>
    </row>
    <row r="403" spans="1:1" x14ac:dyDescent="0.55000000000000004">
      <c r="A403" s="7">
        <v>2</v>
      </c>
    </row>
    <row r="404" spans="1:1" x14ac:dyDescent="0.55000000000000004">
      <c r="A404" s="7">
        <v>1</v>
      </c>
    </row>
    <row r="405" spans="1:1" x14ac:dyDescent="0.55000000000000004">
      <c r="A405" s="7">
        <v>1</v>
      </c>
    </row>
    <row r="406" spans="1:1" x14ac:dyDescent="0.55000000000000004">
      <c r="A406" s="7">
        <v>1</v>
      </c>
    </row>
    <row r="407" spans="1:1" x14ac:dyDescent="0.55000000000000004">
      <c r="A407" s="7">
        <v>1</v>
      </c>
    </row>
    <row r="408" spans="1:1" x14ac:dyDescent="0.55000000000000004">
      <c r="A408" s="7">
        <v>2</v>
      </c>
    </row>
    <row r="409" spans="1:1" x14ac:dyDescent="0.55000000000000004">
      <c r="A409" s="7">
        <v>3</v>
      </c>
    </row>
    <row r="410" spans="1:1" x14ac:dyDescent="0.55000000000000004">
      <c r="A410" s="7">
        <v>3</v>
      </c>
    </row>
    <row r="411" spans="1:1" x14ac:dyDescent="0.55000000000000004">
      <c r="A411" s="7">
        <v>4</v>
      </c>
    </row>
    <row r="412" spans="1:1" x14ac:dyDescent="0.55000000000000004">
      <c r="A412" s="7">
        <v>3</v>
      </c>
    </row>
    <row r="413" spans="1:1" x14ac:dyDescent="0.55000000000000004">
      <c r="A413" s="7">
        <v>1</v>
      </c>
    </row>
    <row r="414" spans="1:1" x14ac:dyDescent="0.55000000000000004">
      <c r="A414" s="7">
        <v>4</v>
      </c>
    </row>
    <row r="415" spans="1:1" x14ac:dyDescent="0.55000000000000004">
      <c r="A415" s="7">
        <v>3</v>
      </c>
    </row>
    <row r="416" spans="1:1" x14ac:dyDescent="0.55000000000000004">
      <c r="A416" s="7">
        <v>4</v>
      </c>
    </row>
    <row r="417" spans="1:1" x14ac:dyDescent="0.55000000000000004">
      <c r="A417" s="7">
        <v>1</v>
      </c>
    </row>
    <row r="418" spans="1:1" x14ac:dyDescent="0.55000000000000004">
      <c r="A418" s="7">
        <v>1</v>
      </c>
    </row>
    <row r="419" spans="1:1" x14ac:dyDescent="0.55000000000000004">
      <c r="A419" s="7">
        <v>2</v>
      </c>
    </row>
    <row r="420" spans="1:1" x14ac:dyDescent="0.55000000000000004">
      <c r="A420" s="7">
        <v>4</v>
      </c>
    </row>
    <row r="421" spans="1:1" x14ac:dyDescent="0.55000000000000004">
      <c r="A421" s="7">
        <v>4</v>
      </c>
    </row>
    <row r="422" spans="1:1" x14ac:dyDescent="0.55000000000000004">
      <c r="A422" s="7">
        <v>3</v>
      </c>
    </row>
    <row r="423" spans="1:1" x14ac:dyDescent="0.55000000000000004">
      <c r="A423" s="7">
        <v>3</v>
      </c>
    </row>
    <row r="424" spans="1:1" x14ac:dyDescent="0.55000000000000004">
      <c r="A424" s="7">
        <v>3</v>
      </c>
    </row>
    <row r="425" spans="1:1" x14ac:dyDescent="0.55000000000000004">
      <c r="A425" s="7">
        <v>3</v>
      </c>
    </row>
    <row r="426" spans="1:1" x14ac:dyDescent="0.55000000000000004">
      <c r="A426" s="7">
        <v>1</v>
      </c>
    </row>
    <row r="427" spans="1:1" x14ac:dyDescent="0.55000000000000004">
      <c r="A427" s="7">
        <v>5</v>
      </c>
    </row>
    <row r="428" spans="1:1" x14ac:dyDescent="0.55000000000000004">
      <c r="A428" s="7">
        <v>4</v>
      </c>
    </row>
    <row r="429" spans="1:1" x14ac:dyDescent="0.55000000000000004">
      <c r="A429" s="7">
        <v>5</v>
      </c>
    </row>
    <row r="430" spans="1:1" x14ac:dyDescent="0.55000000000000004">
      <c r="A430" s="7">
        <v>1</v>
      </c>
    </row>
    <row r="431" spans="1:1" x14ac:dyDescent="0.55000000000000004">
      <c r="A431" s="7">
        <v>3</v>
      </c>
    </row>
    <row r="432" spans="1:1" x14ac:dyDescent="0.55000000000000004">
      <c r="A432" s="7">
        <v>5</v>
      </c>
    </row>
    <row r="433" spans="1:1" x14ac:dyDescent="0.55000000000000004">
      <c r="A433" s="7">
        <v>3</v>
      </c>
    </row>
    <row r="434" spans="1:1" x14ac:dyDescent="0.55000000000000004">
      <c r="A434" s="7">
        <v>5</v>
      </c>
    </row>
    <row r="435" spans="1:1" x14ac:dyDescent="0.55000000000000004">
      <c r="A435" s="7">
        <v>4</v>
      </c>
    </row>
    <row r="436" spans="1:1" x14ac:dyDescent="0.55000000000000004">
      <c r="A436" s="7">
        <v>5</v>
      </c>
    </row>
    <row r="437" spans="1:1" x14ac:dyDescent="0.55000000000000004">
      <c r="A437" s="7">
        <v>3</v>
      </c>
    </row>
    <row r="438" spans="1:1" x14ac:dyDescent="0.55000000000000004">
      <c r="A438" s="7">
        <v>2</v>
      </c>
    </row>
    <row r="439" spans="1:1" x14ac:dyDescent="0.55000000000000004">
      <c r="A439" s="7">
        <v>3</v>
      </c>
    </row>
    <row r="440" spans="1:1" x14ac:dyDescent="0.55000000000000004">
      <c r="A440" s="7">
        <v>1</v>
      </c>
    </row>
    <row r="441" spans="1:1" x14ac:dyDescent="0.55000000000000004">
      <c r="A441" s="7">
        <v>2</v>
      </c>
    </row>
    <row r="442" spans="1:1" x14ac:dyDescent="0.55000000000000004">
      <c r="A442" s="7">
        <v>1</v>
      </c>
    </row>
    <row r="443" spans="1:1" x14ac:dyDescent="0.55000000000000004">
      <c r="A443" s="7">
        <v>3</v>
      </c>
    </row>
    <row r="444" spans="1:1" x14ac:dyDescent="0.55000000000000004">
      <c r="A444" s="7">
        <v>5</v>
      </c>
    </row>
    <row r="445" spans="1:1" x14ac:dyDescent="0.55000000000000004">
      <c r="A445" s="7">
        <v>1</v>
      </c>
    </row>
    <row r="446" spans="1:1" x14ac:dyDescent="0.55000000000000004">
      <c r="A446" s="7">
        <v>5</v>
      </c>
    </row>
    <row r="447" spans="1:1" x14ac:dyDescent="0.55000000000000004">
      <c r="A447" s="7">
        <v>5</v>
      </c>
    </row>
    <row r="448" spans="1:1" x14ac:dyDescent="0.55000000000000004">
      <c r="A448" s="7">
        <v>3</v>
      </c>
    </row>
    <row r="449" spans="1:1" x14ac:dyDescent="0.55000000000000004">
      <c r="A449" s="7">
        <v>2</v>
      </c>
    </row>
    <row r="450" spans="1:1" x14ac:dyDescent="0.55000000000000004">
      <c r="A450" s="7">
        <v>2</v>
      </c>
    </row>
    <row r="451" spans="1:1" x14ac:dyDescent="0.55000000000000004">
      <c r="A451" s="7">
        <v>5</v>
      </c>
    </row>
    <row r="452" spans="1:1" x14ac:dyDescent="0.55000000000000004">
      <c r="A452" s="7">
        <v>1</v>
      </c>
    </row>
    <row r="453" spans="1:1" x14ac:dyDescent="0.55000000000000004">
      <c r="A453" s="7">
        <v>2</v>
      </c>
    </row>
    <row r="454" spans="1:1" x14ac:dyDescent="0.55000000000000004">
      <c r="A454" s="7">
        <v>4</v>
      </c>
    </row>
    <row r="455" spans="1:1" x14ac:dyDescent="0.55000000000000004">
      <c r="A455" s="7">
        <v>1</v>
      </c>
    </row>
    <row r="456" spans="1:1" x14ac:dyDescent="0.55000000000000004">
      <c r="A456" s="7">
        <v>2</v>
      </c>
    </row>
    <row r="457" spans="1:1" x14ac:dyDescent="0.55000000000000004">
      <c r="A457" s="7">
        <v>5</v>
      </c>
    </row>
    <row r="458" spans="1:1" x14ac:dyDescent="0.55000000000000004">
      <c r="A458" s="7">
        <v>3</v>
      </c>
    </row>
    <row r="459" spans="1:1" x14ac:dyDescent="0.55000000000000004">
      <c r="A459" s="7">
        <v>2</v>
      </c>
    </row>
    <row r="460" spans="1:1" x14ac:dyDescent="0.55000000000000004">
      <c r="A460" s="7">
        <v>3</v>
      </c>
    </row>
    <row r="461" spans="1:1" x14ac:dyDescent="0.55000000000000004">
      <c r="A461" s="7">
        <v>1</v>
      </c>
    </row>
    <row r="462" spans="1:1" x14ac:dyDescent="0.55000000000000004">
      <c r="A462" s="7">
        <v>5</v>
      </c>
    </row>
    <row r="463" spans="1:1" x14ac:dyDescent="0.55000000000000004">
      <c r="A463" s="7">
        <v>1</v>
      </c>
    </row>
    <row r="464" spans="1:1" x14ac:dyDescent="0.55000000000000004">
      <c r="A464" s="7">
        <v>3</v>
      </c>
    </row>
    <row r="465" spans="1:1" x14ac:dyDescent="0.55000000000000004">
      <c r="A465" s="7">
        <v>4</v>
      </c>
    </row>
    <row r="466" spans="1:1" x14ac:dyDescent="0.55000000000000004">
      <c r="A466" s="7">
        <v>4</v>
      </c>
    </row>
    <row r="467" spans="1:1" x14ac:dyDescent="0.55000000000000004">
      <c r="A467" s="7">
        <v>1</v>
      </c>
    </row>
    <row r="468" spans="1:1" x14ac:dyDescent="0.55000000000000004">
      <c r="A468" s="7">
        <v>4</v>
      </c>
    </row>
    <row r="469" spans="1:1" x14ac:dyDescent="0.55000000000000004">
      <c r="A469" s="7">
        <v>1</v>
      </c>
    </row>
    <row r="470" spans="1:1" x14ac:dyDescent="0.55000000000000004">
      <c r="A470" s="7">
        <v>2</v>
      </c>
    </row>
    <row r="471" spans="1:1" x14ac:dyDescent="0.55000000000000004">
      <c r="A471" s="7">
        <v>1</v>
      </c>
    </row>
    <row r="472" spans="1:1" x14ac:dyDescent="0.55000000000000004">
      <c r="A472" s="7">
        <v>4</v>
      </c>
    </row>
    <row r="473" spans="1:1" x14ac:dyDescent="0.55000000000000004">
      <c r="A473" s="7">
        <v>4</v>
      </c>
    </row>
    <row r="474" spans="1:1" x14ac:dyDescent="0.55000000000000004">
      <c r="A474" s="7">
        <v>4</v>
      </c>
    </row>
    <row r="475" spans="1:1" x14ac:dyDescent="0.55000000000000004">
      <c r="A475" s="7">
        <v>5</v>
      </c>
    </row>
    <row r="476" spans="1:1" x14ac:dyDescent="0.55000000000000004">
      <c r="A476" s="7">
        <v>3</v>
      </c>
    </row>
    <row r="477" spans="1:1" x14ac:dyDescent="0.55000000000000004">
      <c r="A477" s="7">
        <v>5</v>
      </c>
    </row>
    <row r="478" spans="1:1" x14ac:dyDescent="0.55000000000000004">
      <c r="A478" s="7">
        <v>3</v>
      </c>
    </row>
    <row r="479" spans="1:1" x14ac:dyDescent="0.55000000000000004">
      <c r="A479" s="7">
        <v>1</v>
      </c>
    </row>
    <row r="480" spans="1:1" x14ac:dyDescent="0.55000000000000004">
      <c r="A480" s="7">
        <v>1</v>
      </c>
    </row>
    <row r="481" spans="1:1" x14ac:dyDescent="0.55000000000000004">
      <c r="A481" s="7">
        <v>2</v>
      </c>
    </row>
    <row r="482" spans="1:1" x14ac:dyDescent="0.55000000000000004">
      <c r="A482" s="7">
        <v>3</v>
      </c>
    </row>
    <row r="483" spans="1:1" x14ac:dyDescent="0.55000000000000004">
      <c r="A483" s="7">
        <v>3</v>
      </c>
    </row>
    <row r="484" spans="1:1" x14ac:dyDescent="0.55000000000000004">
      <c r="A484" s="7">
        <v>5</v>
      </c>
    </row>
    <row r="485" spans="1:1" x14ac:dyDescent="0.55000000000000004">
      <c r="A485" s="7">
        <v>2</v>
      </c>
    </row>
    <row r="486" spans="1:1" x14ac:dyDescent="0.55000000000000004">
      <c r="A486" s="7">
        <v>5</v>
      </c>
    </row>
    <row r="487" spans="1:1" x14ac:dyDescent="0.55000000000000004">
      <c r="A487" s="7">
        <v>5</v>
      </c>
    </row>
    <row r="488" spans="1:1" x14ac:dyDescent="0.55000000000000004">
      <c r="A488" s="7">
        <v>1</v>
      </c>
    </row>
    <row r="489" spans="1:1" x14ac:dyDescent="0.55000000000000004">
      <c r="A489" s="7">
        <v>4</v>
      </c>
    </row>
    <row r="490" spans="1:1" x14ac:dyDescent="0.55000000000000004">
      <c r="A490" s="7">
        <v>2</v>
      </c>
    </row>
    <row r="491" spans="1:1" x14ac:dyDescent="0.55000000000000004">
      <c r="A491" s="7">
        <v>2</v>
      </c>
    </row>
    <row r="492" spans="1:1" x14ac:dyDescent="0.55000000000000004">
      <c r="A492" s="7">
        <v>2</v>
      </c>
    </row>
    <row r="493" spans="1:1" x14ac:dyDescent="0.55000000000000004">
      <c r="A493" s="7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34"/>
  <sheetViews>
    <sheetView topLeftCell="A9" zoomScale="85" zoomScaleNormal="85" workbookViewId="0">
      <selection activeCell="A32" sqref="A32"/>
    </sheetView>
  </sheetViews>
  <sheetFormatPr defaultRowHeight="14.4" x14ac:dyDescent="0.55000000000000004"/>
  <cols>
    <col min="1" max="1" width="59.15625" bestFit="1" customWidth="1"/>
    <col min="2" max="2" width="2.68359375" customWidth="1"/>
    <col min="3" max="3" width="8.83984375" bestFit="1" customWidth="1"/>
    <col min="4" max="5" width="6.15625" bestFit="1" customWidth="1"/>
    <col min="6" max="6" width="38.68359375" bestFit="1" customWidth="1"/>
    <col min="257" max="257" width="59.15625" bestFit="1" customWidth="1"/>
    <col min="258" max="258" width="2.68359375" customWidth="1"/>
    <col min="259" max="259" width="8.83984375" bestFit="1" customWidth="1"/>
    <col min="260" max="261" width="6.15625" bestFit="1" customWidth="1"/>
    <col min="262" max="262" width="38.68359375" bestFit="1" customWidth="1"/>
    <col min="513" max="513" width="59.15625" bestFit="1" customWidth="1"/>
    <col min="514" max="514" width="2.68359375" customWidth="1"/>
    <col min="515" max="515" width="8.83984375" bestFit="1" customWidth="1"/>
    <col min="516" max="517" width="6.15625" bestFit="1" customWidth="1"/>
    <col min="518" max="518" width="38.68359375" bestFit="1" customWidth="1"/>
    <col min="769" max="769" width="59.15625" bestFit="1" customWidth="1"/>
    <col min="770" max="770" width="2.68359375" customWidth="1"/>
    <col min="771" max="771" width="8.83984375" bestFit="1" customWidth="1"/>
    <col min="772" max="773" width="6.15625" bestFit="1" customWidth="1"/>
    <col min="774" max="774" width="38.68359375" bestFit="1" customWidth="1"/>
    <col min="1025" max="1025" width="59.15625" bestFit="1" customWidth="1"/>
    <col min="1026" max="1026" width="2.68359375" customWidth="1"/>
    <col min="1027" max="1027" width="8.83984375" bestFit="1" customWidth="1"/>
    <col min="1028" max="1029" width="6.15625" bestFit="1" customWidth="1"/>
    <col min="1030" max="1030" width="38.68359375" bestFit="1" customWidth="1"/>
    <col min="1281" max="1281" width="59.15625" bestFit="1" customWidth="1"/>
    <col min="1282" max="1282" width="2.68359375" customWidth="1"/>
    <col min="1283" max="1283" width="8.83984375" bestFit="1" customWidth="1"/>
    <col min="1284" max="1285" width="6.15625" bestFit="1" customWidth="1"/>
    <col min="1286" max="1286" width="38.68359375" bestFit="1" customWidth="1"/>
    <col min="1537" max="1537" width="59.15625" bestFit="1" customWidth="1"/>
    <col min="1538" max="1538" width="2.68359375" customWidth="1"/>
    <col min="1539" max="1539" width="8.83984375" bestFit="1" customWidth="1"/>
    <col min="1540" max="1541" width="6.15625" bestFit="1" customWidth="1"/>
    <col min="1542" max="1542" width="38.68359375" bestFit="1" customWidth="1"/>
    <col min="1793" max="1793" width="59.15625" bestFit="1" customWidth="1"/>
    <col min="1794" max="1794" width="2.68359375" customWidth="1"/>
    <col min="1795" max="1795" width="8.83984375" bestFit="1" customWidth="1"/>
    <col min="1796" max="1797" width="6.15625" bestFit="1" customWidth="1"/>
    <col min="1798" max="1798" width="38.68359375" bestFit="1" customWidth="1"/>
    <col min="2049" max="2049" width="59.15625" bestFit="1" customWidth="1"/>
    <col min="2050" max="2050" width="2.68359375" customWidth="1"/>
    <col min="2051" max="2051" width="8.83984375" bestFit="1" customWidth="1"/>
    <col min="2052" max="2053" width="6.15625" bestFit="1" customWidth="1"/>
    <col min="2054" max="2054" width="38.68359375" bestFit="1" customWidth="1"/>
    <col min="2305" max="2305" width="59.15625" bestFit="1" customWidth="1"/>
    <col min="2306" max="2306" width="2.68359375" customWidth="1"/>
    <col min="2307" max="2307" width="8.83984375" bestFit="1" customWidth="1"/>
    <col min="2308" max="2309" width="6.15625" bestFit="1" customWidth="1"/>
    <col min="2310" max="2310" width="38.68359375" bestFit="1" customWidth="1"/>
    <col min="2561" max="2561" width="59.15625" bestFit="1" customWidth="1"/>
    <col min="2562" max="2562" width="2.68359375" customWidth="1"/>
    <col min="2563" max="2563" width="8.83984375" bestFit="1" customWidth="1"/>
    <col min="2564" max="2565" width="6.15625" bestFit="1" customWidth="1"/>
    <col min="2566" max="2566" width="38.68359375" bestFit="1" customWidth="1"/>
    <col min="2817" max="2817" width="59.15625" bestFit="1" customWidth="1"/>
    <col min="2818" max="2818" width="2.68359375" customWidth="1"/>
    <col min="2819" max="2819" width="8.83984375" bestFit="1" customWidth="1"/>
    <col min="2820" max="2821" width="6.15625" bestFit="1" customWidth="1"/>
    <col min="2822" max="2822" width="38.68359375" bestFit="1" customWidth="1"/>
    <col min="3073" max="3073" width="59.15625" bestFit="1" customWidth="1"/>
    <col min="3074" max="3074" width="2.68359375" customWidth="1"/>
    <col min="3075" max="3075" width="8.83984375" bestFit="1" customWidth="1"/>
    <col min="3076" max="3077" width="6.15625" bestFit="1" customWidth="1"/>
    <col min="3078" max="3078" width="38.68359375" bestFit="1" customWidth="1"/>
    <col min="3329" max="3329" width="59.15625" bestFit="1" customWidth="1"/>
    <col min="3330" max="3330" width="2.68359375" customWidth="1"/>
    <col min="3331" max="3331" width="8.83984375" bestFit="1" customWidth="1"/>
    <col min="3332" max="3333" width="6.15625" bestFit="1" customWidth="1"/>
    <col min="3334" max="3334" width="38.68359375" bestFit="1" customWidth="1"/>
    <col min="3585" max="3585" width="59.15625" bestFit="1" customWidth="1"/>
    <col min="3586" max="3586" width="2.68359375" customWidth="1"/>
    <col min="3587" max="3587" width="8.83984375" bestFit="1" customWidth="1"/>
    <col min="3588" max="3589" width="6.15625" bestFit="1" customWidth="1"/>
    <col min="3590" max="3590" width="38.68359375" bestFit="1" customWidth="1"/>
    <col min="3841" max="3841" width="59.15625" bestFit="1" customWidth="1"/>
    <col min="3842" max="3842" width="2.68359375" customWidth="1"/>
    <col min="3843" max="3843" width="8.83984375" bestFit="1" customWidth="1"/>
    <col min="3844" max="3845" width="6.15625" bestFit="1" customWidth="1"/>
    <col min="3846" max="3846" width="38.68359375" bestFit="1" customWidth="1"/>
    <col min="4097" max="4097" width="59.15625" bestFit="1" customWidth="1"/>
    <col min="4098" max="4098" width="2.68359375" customWidth="1"/>
    <col min="4099" max="4099" width="8.83984375" bestFit="1" customWidth="1"/>
    <col min="4100" max="4101" width="6.15625" bestFit="1" customWidth="1"/>
    <col min="4102" max="4102" width="38.68359375" bestFit="1" customWidth="1"/>
    <col min="4353" max="4353" width="59.15625" bestFit="1" customWidth="1"/>
    <col min="4354" max="4354" width="2.68359375" customWidth="1"/>
    <col min="4355" max="4355" width="8.83984375" bestFit="1" customWidth="1"/>
    <col min="4356" max="4357" width="6.15625" bestFit="1" customWidth="1"/>
    <col min="4358" max="4358" width="38.68359375" bestFit="1" customWidth="1"/>
    <col min="4609" max="4609" width="59.15625" bestFit="1" customWidth="1"/>
    <col min="4610" max="4610" width="2.68359375" customWidth="1"/>
    <col min="4611" max="4611" width="8.83984375" bestFit="1" customWidth="1"/>
    <col min="4612" max="4613" width="6.15625" bestFit="1" customWidth="1"/>
    <col min="4614" max="4614" width="38.68359375" bestFit="1" customWidth="1"/>
    <col min="4865" max="4865" width="59.15625" bestFit="1" customWidth="1"/>
    <col min="4866" max="4866" width="2.68359375" customWidth="1"/>
    <col min="4867" max="4867" width="8.83984375" bestFit="1" customWidth="1"/>
    <col min="4868" max="4869" width="6.15625" bestFit="1" customWidth="1"/>
    <col min="4870" max="4870" width="38.68359375" bestFit="1" customWidth="1"/>
    <col min="5121" max="5121" width="59.15625" bestFit="1" customWidth="1"/>
    <col min="5122" max="5122" width="2.68359375" customWidth="1"/>
    <col min="5123" max="5123" width="8.83984375" bestFit="1" customWidth="1"/>
    <col min="5124" max="5125" width="6.15625" bestFit="1" customWidth="1"/>
    <col min="5126" max="5126" width="38.68359375" bestFit="1" customWidth="1"/>
    <col min="5377" max="5377" width="59.15625" bestFit="1" customWidth="1"/>
    <col min="5378" max="5378" width="2.68359375" customWidth="1"/>
    <col min="5379" max="5379" width="8.83984375" bestFit="1" customWidth="1"/>
    <col min="5380" max="5381" width="6.15625" bestFit="1" customWidth="1"/>
    <col min="5382" max="5382" width="38.68359375" bestFit="1" customWidth="1"/>
    <col min="5633" max="5633" width="59.15625" bestFit="1" customWidth="1"/>
    <col min="5634" max="5634" width="2.68359375" customWidth="1"/>
    <col min="5635" max="5635" width="8.83984375" bestFit="1" customWidth="1"/>
    <col min="5636" max="5637" width="6.15625" bestFit="1" customWidth="1"/>
    <col min="5638" max="5638" width="38.68359375" bestFit="1" customWidth="1"/>
    <col min="5889" max="5889" width="59.15625" bestFit="1" customWidth="1"/>
    <col min="5890" max="5890" width="2.68359375" customWidth="1"/>
    <col min="5891" max="5891" width="8.83984375" bestFit="1" customWidth="1"/>
    <col min="5892" max="5893" width="6.15625" bestFit="1" customWidth="1"/>
    <col min="5894" max="5894" width="38.68359375" bestFit="1" customWidth="1"/>
    <col min="6145" max="6145" width="59.15625" bestFit="1" customWidth="1"/>
    <col min="6146" max="6146" width="2.68359375" customWidth="1"/>
    <col min="6147" max="6147" width="8.83984375" bestFit="1" customWidth="1"/>
    <col min="6148" max="6149" width="6.15625" bestFit="1" customWidth="1"/>
    <col min="6150" max="6150" width="38.68359375" bestFit="1" customWidth="1"/>
    <col min="6401" max="6401" width="59.15625" bestFit="1" customWidth="1"/>
    <col min="6402" max="6402" width="2.68359375" customWidth="1"/>
    <col min="6403" max="6403" width="8.83984375" bestFit="1" customWidth="1"/>
    <col min="6404" max="6405" width="6.15625" bestFit="1" customWidth="1"/>
    <col min="6406" max="6406" width="38.68359375" bestFit="1" customWidth="1"/>
    <col min="6657" max="6657" width="59.15625" bestFit="1" customWidth="1"/>
    <col min="6658" max="6658" width="2.68359375" customWidth="1"/>
    <col min="6659" max="6659" width="8.83984375" bestFit="1" customWidth="1"/>
    <col min="6660" max="6661" width="6.15625" bestFit="1" customWidth="1"/>
    <col min="6662" max="6662" width="38.68359375" bestFit="1" customWidth="1"/>
    <col min="6913" max="6913" width="59.15625" bestFit="1" customWidth="1"/>
    <col min="6914" max="6914" width="2.68359375" customWidth="1"/>
    <col min="6915" max="6915" width="8.83984375" bestFit="1" customWidth="1"/>
    <col min="6916" max="6917" width="6.15625" bestFit="1" customWidth="1"/>
    <col min="6918" max="6918" width="38.68359375" bestFit="1" customWidth="1"/>
    <col min="7169" max="7169" width="59.15625" bestFit="1" customWidth="1"/>
    <col min="7170" max="7170" width="2.68359375" customWidth="1"/>
    <col min="7171" max="7171" width="8.83984375" bestFit="1" customWidth="1"/>
    <col min="7172" max="7173" width="6.15625" bestFit="1" customWidth="1"/>
    <col min="7174" max="7174" width="38.68359375" bestFit="1" customWidth="1"/>
    <col min="7425" max="7425" width="59.15625" bestFit="1" customWidth="1"/>
    <col min="7426" max="7426" width="2.68359375" customWidth="1"/>
    <col min="7427" max="7427" width="8.83984375" bestFit="1" customWidth="1"/>
    <col min="7428" max="7429" width="6.15625" bestFit="1" customWidth="1"/>
    <col min="7430" max="7430" width="38.68359375" bestFit="1" customWidth="1"/>
    <col min="7681" max="7681" width="59.15625" bestFit="1" customWidth="1"/>
    <col min="7682" max="7682" width="2.68359375" customWidth="1"/>
    <col min="7683" max="7683" width="8.83984375" bestFit="1" customWidth="1"/>
    <col min="7684" max="7685" width="6.15625" bestFit="1" customWidth="1"/>
    <col min="7686" max="7686" width="38.68359375" bestFit="1" customWidth="1"/>
    <col min="7937" max="7937" width="59.15625" bestFit="1" customWidth="1"/>
    <col min="7938" max="7938" width="2.68359375" customWidth="1"/>
    <col min="7939" max="7939" width="8.83984375" bestFit="1" customWidth="1"/>
    <col min="7940" max="7941" width="6.15625" bestFit="1" customWidth="1"/>
    <col min="7942" max="7942" width="38.68359375" bestFit="1" customWidth="1"/>
    <col min="8193" max="8193" width="59.15625" bestFit="1" customWidth="1"/>
    <col min="8194" max="8194" width="2.68359375" customWidth="1"/>
    <col min="8195" max="8195" width="8.83984375" bestFit="1" customWidth="1"/>
    <col min="8196" max="8197" width="6.15625" bestFit="1" customWidth="1"/>
    <col min="8198" max="8198" width="38.68359375" bestFit="1" customWidth="1"/>
    <col min="8449" max="8449" width="59.15625" bestFit="1" customWidth="1"/>
    <col min="8450" max="8450" width="2.68359375" customWidth="1"/>
    <col min="8451" max="8451" width="8.83984375" bestFit="1" customWidth="1"/>
    <col min="8452" max="8453" width="6.15625" bestFit="1" customWidth="1"/>
    <col min="8454" max="8454" width="38.68359375" bestFit="1" customWidth="1"/>
    <col min="8705" max="8705" width="59.15625" bestFit="1" customWidth="1"/>
    <col min="8706" max="8706" width="2.68359375" customWidth="1"/>
    <col min="8707" max="8707" width="8.83984375" bestFit="1" customWidth="1"/>
    <col min="8708" max="8709" width="6.15625" bestFit="1" customWidth="1"/>
    <col min="8710" max="8710" width="38.68359375" bestFit="1" customWidth="1"/>
    <col min="8961" max="8961" width="59.15625" bestFit="1" customWidth="1"/>
    <col min="8962" max="8962" width="2.68359375" customWidth="1"/>
    <col min="8963" max="8963" width="8.83984375" bestFit="1" customWidth="1"/>
    <col min="8964" max="8965" width="6.15625" bestFit="1" customWidth="1"/>
    <col min="8966" max="8966" width="38.68359375" bestFit="1" customWidth="1"/>
    <col min="9217" max="9217" width="59.15625" bestFit="1" customWidth="1"/>
    <col min="9218" max="9218" width="2.68359375" customWidth="1"/>
    <col min="9219" max="9219" width="8.83984375" bestFit="1" customWidth="1"/>
    <col min="9220" max="9221" width="6.15625" bestFit="1" customWidth="1"/>
    <col min="9222" max="9222" width="38.68359375" bestFit="1" customWidth="1"/>
    <col min="9473" max="9473" width="59.15625" bestFit="1" customWidth="1"/>
    <col min="9474" max="9474" width="2.68359375" customWidth="1"/>
    <col min="9475" max="9475" width="8.83984375" bestFit="1" customWidth="1"/>
    <col min="9476" max="9477" width="6.15625" bestFit="1" customWidth="1"/>
    <col min="9478" max="9478" width="38.68359375" bestFit="1" customWidth="1"/>
    <col min="9729" max="9729" width="59.15625" bestFit="1" customWidth="1"/>
    <col min="9730" max="9730" width="2.68359375" customWidth="1"/>
    <col min="9731" max="9731" width="8.83984375" bestFit="1" customWidth="1"/>
    <col min="9732" max="9733" width="6.15625" bestFit="1" customWidth="1"/>
    <col min="9734" max="9734" width="38.68359375" bestFit="1" customWidth="1"/>
    <col min="9985" max="9985" width="59.15625" bestFit="1" customWidth="1"/>
    <col min="9986" max="9986" width="2.68359375" customWidth="1"/>
    <col min="9987" max="9987" width="8.83984375" bestFit="1" customWidth="1"/>
    <col min="9988" max="9989" width="6.15625" bestFit="1" customWidth="1"/>
    <col min="9990" max="9990" width="38.68359375" bestFit="1" customWidth="1"/>
    <col min="10241" max="10241" width="59.15625" bestFit="1" customWidth="1"/>
    <col min="10242" max="10242" width="2.68359375" customWidth="1"/>
    <col min="10243" max="10243" width="8.83984375" bestFit="1" customWidth="1"/>
    <col min="10244" max="10245" width="6.15625" bestFit="1" customWidth="1"/>
    <col min="10246" max="10246" width="38.68359375" bestFit="1" customWidth="1"/>
    <col min="10497" max="10497" width="59.15625" bestFit="1" customWidth="1"/>
    <col min="10498" max="10498" width="2.68359375" customWidth="1"/>
    <col min="10499" max="10499" width="8.83984375" bestFit="1" customWidth="1"/>
    <col min="10500" max="10501" width="6.15625" bestFit="1" customWidth="1"/>
    <col min="10502" max="10502" width="38.68359375" bestFit="1" customWidth="1"/>
    <col min="10753" max="10753" width="59.15625" bestFit="1" customWidth="1"/>
    <col min="10754" max="10754" width="2.68359375" customWidth="1"/>
    <col min="10755" max="10755" width="8.83984375" bestFit="1" customWidth="1"/>
    <col min="10756" max="10757" width="6.15625" bestFit="1" customWidth="1"/>
    <col min="10758" max="10758" width="38.68359375" bestFit="1" customWidth="1"/>
    <col min="11009" max="11009" width="59.15625" bestFit="1" customWidth="1"/>
    <col min="11010" max="11010" width="2.68359375" customWidth="1"/>
    <col min="11011" max="11011" width="8.83984375" bestFit="1" customWidth="1"/>
    <col min="11012" max="11013" width="6.15625" bestFit="1" customWidth="1"/>
    <col min="11014" max="11014" width="38.68359375" bestFit="1" customWidth="1"/>
    <col min="11265" max="11265" width="59.15625" bestFit="1" customWidth="1"/>
    <col min="11266" max="11266" width="2.68359375" customWidth="1"/>
    <col min="11267" max="11267" width="8.83984375" bestFit="1" customWidth="1"/>
    <col min="11268" max="11269" width="6.15625" bestFit="1" customWidth="1"/>
    <col min="11270" max="11270" width="38.68359375" bestFit="1" customWidth="1"/>
    <col min="11521" max="11521" width="59.15625" bestFit="1" customWidth="1"/>
    <col min="11522" max="11522" width="2.68359375" customWidth="1"/>
    <col min="11523" max="11523" width="8.83984375" bestFit="1" customWidth="1"/>
    <col min="11524" max="11525" width="6.15625" bestFit="1" customWidth="1"/>
    <col min="11526" max="11526" width="38.68359375" bestFit="1" customWidth="1"/>
    <col min="11777" max="11777" width="59.15625" bestFit="1" customWidth="1"/>
    <col min="11778" max="11778" width="2.68359375" customWidth="1"/>
    <col min="11779" max="11779" width="8.83984375" bestFit="1" customWidth="1"/>
    <col min="11780" max="11781" width="6.15625" bestFit="1" customWidth="1"/>
    <col min="11782" max="11782" width="38.68359375" bestFit="1" customWidth="1"/>
    <col min="12033" max="12033" width="59.15625" bestFit="1" customWidth="1"/>
    <col min="12034" max="12034" width="2.68359375" customWidth="1"/>
    <col min="12035" max="12035" width="8.83984375" bestFit="1" customWidth="1"/>
    <col min="12036" max="12037" width="6.15625" bestFit="1" customWidth="1"/>
    <col min="12038" max="12038" width="38.68359375" bestFit="1" customWidth="1"/>
    <col min="12289" max="12289" width="59.15625" bestFit="1" customWidth="1"/>
    <col min="12290" max="12290" width="2.68359375" customWidth="1"/>
    <col min="12291" max="12291" width="8.83984375" bestFit="1" customWidth="1"/>
    <col min="12292" max="12293" width="6.15625" bestFit="1" customWidth="1"/>
    <col min="12294" max="12294" width="38.68359375" bestFit="1" customWidth="1"/>
    <col min="12545" max="12545" width="59.15625" bestFit="1" customWidth="1"/>
    <col min="12546" max="12546" width="2.68359375" customWidth="1"/>
    <col min="12547" max="12547" width="8.83984375" bestFit="1" customWidth="1"/>
    <col min="12548" max="12549" width="6.15625" bestFit="1" customWidth="1"/>
    <col min="12550" max="12550" width="38.68359375" bestFit="1" customWidth="1"/>
    <col min="12801" max="12801" width="59.15625" bestFit="1" customWidth="1"/>
    <col min="12802" max="12802" width="2.68359375" customWidth="1"/>
    <col min="12803" max="12803" width="8.83984375" bestFit="1" customWidth="1"/>
    <col min="12804" max="12805" width="6.15625" bestFit="1" customWidth="1"/>
    <col min="12806" max="12806" width="38.68359375" bestFit="1" customWidth="1"/>
    <col min="13057" max="13057" width="59.15625" bestFit="1" customWidth="1"/>
    <col min="13058" max="13058" width="2.68359375" customWidth="1"/>
    <col min="13059" max="13059" width="8.83984375" bestFit="1" customWidth="1"/>
    <col min="13060" max="13061" width="6.15625" bestFit="1" customWidth="1"/>
    <col min="13062" max="13062" width="38.68359375" bestFit="1" customWidth="1"/>
    <col min="13313" max="13313" width="59.15625" bestFit="1" customWidth="1"/>
    <col min="13314" max="13314" width="2.68359375" customWidth="1"/>
    <col min="13315" max="13315" width="8.83984375" bestFit="1" customWidth="1"/>
    <col min="13316" max="13317" width="6.15625" bestFit="1" customWidth="1"/>
    <col min="13318" max="13318" width="38.68359375" bestFit="1" customWidth="1"/>
    <col min="13569" max="13569" width="59.15625" bestFit="1" customWidth="1"/>
    <col min="13570" max="13570" width="2.68359375" customWidth="1"/>
    <col min="13571" max="13571" width="8.83984375" bestFit="1" customWidth="1"/>
    <col min="13572" max="13573" width="6.15625" bestFit="1" customWidth="1"/>
    <col min="13574" max="13574" width="38.68359375" bestFit="1" customWidth="1"/>
    <col min="13825" max="13825" width="59.15625" bestFit="1" customWidth="1"/>
    <col min="13826" max="13826" width="2.68359375" customWidth="1"/>
    <col min="13827" max="13827" width="8.83984375" bestFit="1" customWidth="1"/>
    <col min="13828" max="13829" width="6.15625" bestFit="1" customWidth="1"/>
    <col min="13830" max="13830" width="38.68359375" bestFit="1" customWidth="1"/>
    <col min="14081" max="14081" width="59.15625" bestFit="1" customWidth="1"/>
    <col min="14082" max="14082" width="2.68359375" customWidth="1"/>
    <col min="14083" max="14083" width="8.83984375" bestFit="1" customWidth="1"/>
    <col min="14084" max="14085" width="6.15625" bestFit="1" customWidth="1"/>
    <col min="14086" max="14086" width="38.68359375" bestFit="1" customWidth="1"/>
    <col min="14337" max="14337" width="59.15625" bestFit="1" customWidth="1"/>
    <col min="14338" max="14338" width="2.68359375" customWidth="1"/>
    <col min="14339" max="14339" width="8.83984375" bestFit="1" customWidth="1"/>
    <col min="14340" max="14341" width="6.15625" bestFit="1" customWidth="1"/>
    <col min="14342" max="14342" width="38.68359375" bestFit="1" customWidth="1"/>
    <col min="14593" max="14593" width="59.15625" bestFit="1" customWidth="1"/>
    <col min="14594" max="14594" width="2.68359375" customWidth="1"/>
    <col min="14595" max="14595" width="8.83984375" bestFit="1" customWidth="1"/>
    <col min="14596" max="14597" width="6.15625" bestFit="1" customWidth="1"/>
    <col min="14598" max="14598" width="38.68359375" bestFit="1" customWidth="1"/>
    <col min="14849" max="14849" width="59.15625" bestFit="1" customWidth="1"/>
    <col min="14850" max="14850" width="2.68359375" customWidth="1"/>
    <col min="14851" max="14851" width="8.83984375" bestFit="1" customWidth="1"/>
    <col min="14852" max="14853" width="6.15625" bestFit="1" customWidth="1"/>
    <col min="14854" max="14854" width="38.68359375" bestFit="1" customWidth="1"/>
    <col min="15105" max="15105" width="59.15625" bestFit="1" customWidth="1"/>
    <col min="15106" max="15106" width="2.68359375" customWidth="1"/>
    <col min="15107" max="15107" width="8.83984375" bestFit="1" customWidth="1"/>
    <col min="15108" max="15109" width="6.15625" bestFit="1" customWidth="1"/>
    <col min="15110" max="15110" width="38.68359375" bestFit="1" customWidth="1"/>
    <col min="15361" max="15361" width="59.15625" bestFit="1" customWidth="1"/>
    <col min="15362" max="15362" width="2.68359375" customWidth="1"/>
    <col min="15363" max="15363" width="8.83984375" bestFit="1" customWidth="1"/>
    <col min="15364" max="15365" width="6.15625" bestFit="1" customWidth="1"/>
    <col min="15366" max="15366" width="38.68359375" bestFit="1" customWidth="1"/>
    <col min="15617" max="15617" width="59.15625" bestFit="1" customWidth="1"/>
    <col min="15618" max="15618" width="2.68359375" customWidth="1"/>
    <col min="15619" max="15619" width="8.83984375" bestFit="1" customWidth="1"/>
    <col min="15620" max="15621" width="6.15625" bestFit="1" customWidth="1"/>
    <col min="15622" max="15622" width="38.68359375" bestFit="1" customWidth="1"/>
    <col min="15873" max="15873" width="59.15625" bestFit="1" customWidth="1"/>
    <col min="15874" max="15874" width="2.68359375" customWidth="1"/>
    <col min="15875" max="15875" width="8.83984375" bestFit="1" customWidth="1"/>
    <col min="15876" max="15877" width="6.15625" bestFit="1" customWidth="1"/>
    <col min="15878" max="15878" width="38.68359375" bestFit="1" customWidth="1"/>
    <col min="16129" max="16129" width="59.15625" bestFit="1" customWidth="1"/>
    <col min="16130" max="16130" width="2.68359375" customWidth="1"/>
    <col min="16131" max="16131" width="8.83984375" bestFit="1" customWidth="1"/>
    <col min="16132" max="16133" width="6.15625" bestFit="1" customWidth="1"/>
    <col min="16134" max="16134" width="38.68359375" bestFit="1" customWidth="1"/>
  </cols>
  <sheetData>
    <row r="1" spans="1:7" x14ac:dyDescent="0.55000000000000004">
      <c r="A1" s="37" t="s">
        <v>64</v>
      </c>
      <c r="C1" s="38" t="s">
        <v>65</v>
      </c>
      <c r="D1" s="38" t="s">
        <v>66</v>
      </c>
      <c r="E1" s="38" t="s">
        <v>67</v>
      </c>
      <c r="F1" s="38" t="s">
        <v>68</v>
      </c>
      <c r="G1" s="38" t="s">
        <v>69</v>
      </c>
    </row>
    <row r="2" spans="1:7" x14ac:dyDescent="0.55000000000000004">
      <c r="A2" s="7" t="s">
        <v>70</v>
      </c>
      <c r="C2" s="7">
        <v>2</v>
      </c>
      <c r="D2" s="7">
        <v>3</v>
      </c>
      <c r="E2" s="7">
        <v>10</v>
      </c>
      <c r="F2" s="7" t="str">
        <f>"What is "&amp;C2&amp;"+"&amp;D2&amp;"*"&amp;E2&amp;" equal to?"</f>
        <v>What is 2+3*10 equal to?</v>
      </c>
      <c r="G2" s="32">
        <f>C2+D2*E2</f>
        <v>32</v>
      </c>
    </row>
    <row r="3" spans="1:7" x14ac:dyDescent="0.55000000000000004">
      <c r="A3" s="7" t="s">
        <v>71</v>
      </c>
      <c r="C3" s="7">
        <v>2</v>
      </c>
      <c r="D3" s="7">
        <v>3</v>
      </c>
      <c r="E3" s="7">
        <v>10</v>
      </c>
      <c r="F3" s="7" t="str">
        <f>"What is ("&amp;C3&amp;"+"&amp;D3&amp;")*"&amp;E3&amp;" equal to?"</f>
        <v>What is (2+3)*10 equal to?</v>
      </c>
      <c r="G3" s="32">
        <f>(C3+D3)*E3</f>
        <v>50</v>
      </c>
    </row>
    <row r="4" spans="1:7" x14ac:dyDescent="0.55000000000000004">
      <c r="A4" s="7" t="s">
        <v>72</v>
      </c>
      <c r="C4" s="7">
        <v>20</v>
      </c>
      <c r="D4" s="7">
        <v>3</v>
      </c>
      <c r="E4" s="7">
        <v>10</v>
      </c>
      <c r="F4" s="7" t="str">
        <f>"Is "&amp;C4&amp;"-"&amp;D4&amp;" &gt; "&amp;E4&amp;" TRUE or FALSE?"</f>
        <v>Is 20-3 &gt; 10 TRUE or FALSE?</v>
      </c>
      <c r="G4" s="32" t="b">
        <f>IF((C4-D4&gt;E4),TRUE,FALSE)</f>
        <v>1</v>
      </c>
    </row>
    <row r="5" spans="1:7" ht="28.8" x14ac:dyDescent="0.55000000000000004">
      <c r="A5" s="7" t="s">
        <v>73</v>
      </c>
      <c r="C5" s="7" t="s">
        <v>74</v>
      </c>
      <c r="D5" s="7">
        <v>20</v>
      </c>
      <c r="E5" s="7">
        <v>10</v>
      </c>
      <c r="F5" s="39" t="str">
        <f>+"If "&amp;E5&amp;" &gt; "&amp;D5&amp;", then put the word '"&amp;C5&amp;"' in cell "&amp;ADDRESS(ROW(G5),COLUMN(G5),4)&amp;", otherwise put the word 'Incorrect'"</f>
        <v>If 10 &gt; 20, then put the word 'Correct' in cell G5, otherwise put the word 'Incorrect'</v>
      </c>
      <c r="G5" s="32" t="str">
        <f>IF(E5&gt;D5,"Correct","Incorrect")</f>
        <v>Incorrect</v>
      </c>
    </row>
    <row r="6" spans="1:7" x14ac:dyDescent="0.55000000000000004">
      <c r="A6" s="7" t="s">
        <v>75</v>
      </c>
      <c r="C6" s="7" t="s">
        <v>76</v>
      </c>
    </row>
    <row r="7" spans="1:7" x14ac:dyDescent="0.55000000000000004">
      <c r="A7" s="7" t="s">
        <v>77</v>
      </c>
    </row>
    <row r="8" spans="1:7" ht="28.8" x14ac:dyDescent="0.55000000000000004">
      <c r="C8" s="36" t="s">
        <v>78</v>
      </c>
      <c r="D8" s="36"/>
      <c r="E8" s="36"/>
      <c r="F8" s="36"/>
      <c r="G8" s="36"/>
    </row>
    <row r="9" spans="1:7" x14ac:dyDescent="0.55000000000000004">
      <c r="A9" s="37" t="s">
        <v>79</v>
      </c>
    </row>
    <row r="10" spans="1:7" ht="15.3" x14ac:dyDescent="0.55000000000000004">
      <c r="A10" s="40" t="s">
        <v>80</v>
      </c>
    </row>
    <row r="11" spans="1:7" ht="15.3" x14ac:dyDescent="0.55000000000000004">
      <c r="A11" s="40" t="s">
        <v>81</v>
      </c>
    </row>
    <row r="12" spans="1:7" ht="15.3" x14ac:dyDescent="0.55000000000000004">
      <c r="A12" s="40" t="s">
        <v>82</v>
      </c>
    </row>
    <row r="13" spans="1:7" ht="15.3" x14ac:dyDescent="0.55000000000000004">
      <c r="A13" s="40" t="s">
        <v>83</v>
      </c>
    </row>
    <row r="15" spans="1:7" x14ac:dyDescent="0.55000000000000004">
      <c r="A15" s="37" t="s">
        <v>84</v>
      </c>
    </row>
    <row r="16" spans="1:7" ht="15.3" x14ac:dyDescent="0.55000000000000004">
      <c r="A16" s="40" t="s">
        <v>85</v>
      </c>
    </row>
    <row r="17" spans="1:1" ht="15.3" x14ac:dyDescent="0.55000000000000004">
      <c r="A17" s="40" t="s">
        <v>86</v>
      </c>
    </row>
    <row r="18" spans="1:1" ht="15.3" x14ac:dyDescent="0.55000000000000004">
      <c r="A18" s="41" t="s">
        <v>87</v>
      </c>
    </row>
    <row r="19" spans="1:1" ht="15.3" x14ac:dyDescent="0.55000000000000004">
      <c r="A19" s="40" t="s">
        <v>88</v>
      </c>
    </row>
    <row r="20" spans="1:1" ht="15.3" x14ac:dyDescent="0.55000000000000004">
      <c r="A20" s="41" t="s">
        <v>89</v>
      </c>
    </row>
    <row r="21" spans="1:1" ht="15.3" x14ac:dyDescent="0.55000000000000004">
      <c r="A21" s="40" t="s">
        <v>90</v>
      </c>
    </row>
    <row r="22" spans="1:1" ht="15.3" x14ac:dyDescent="0.55000000000000004">
      <c r="A22" s="41" t="s">
        <v>91</v>
      </c>
    </row>
    <row r="23" spans="1:1" ht="15.3" x14ac:dyDescent="0.55000000000000004">
      <c r="A23" s="40" t="s">
        <v>92</v>
      </c>
    </row>
    <row r="24" spans="1:1" ht="15.3" x14ac:dyDescent="0.55000000000000004">
      <c r="A24" s="41" t="s">
        <v>93</v>
      </c>
    </row>
    <row r="25" spans="1:1" ht="15.3" x14ac:dyDescent="0.55000000000000004">
      <c r="A25" s="41" t="s">
        <v>94</v>
      </c>
    </row>
    <row r="26" spans="1:1" ht="15.3" x14ac:dyDescent="0.55000000000000004">
      <c r="A26" s="40" t="s">
        <v>95</v>
      </c>
    </row>
    <row r="27" spans="1:1" ht="15.3" x14ac:dyDescent="0.55000000000000004">
      <c r="A27" s="40" t="s">
        <v>96</v>
      </c>
    </row>
    <row r="28" spans="1:1" ht="15.3" x14ac:dyDescent="0.55000000000000004">
      <c r="A28" s="41" t="s">
        <v>97</v>
      </c>
    </row>
    <row r="29" spans="1:1" ht="15.3" x14ac:dyDescent="0.55000000000000004">
      <c r="A29" s="41" t="s">
        <v>98</v>
      </c>
    </row>
    <row r="30" spans="1:1" ht="15.3" x14ac:dyDescent="0.55000000000000004">
      <c r="A30" s="40" t="s">
        <v>99</v>
      </c>
    </row>
    <row r="31" spans="1:1" ht="15.3" x14ac:dyDescent="0.55000000000000004">
      <c r="A31" s="40" t="s">
        <v>100</v>
      </c>
    </row>
    <row r="32" spans="1:1" ht="15.3" x14ac:dyDescent="0.55000000000000004">
      <c r="A32" s="40" t="s">
        <v>101</v>
      </c>
    </row>
    <row r="33" spans="1:1" ht="15.3" x14ac:dyDescent="0.55000000000000004">
      <c r="A33" s="40" t="s">
        <v>102</v>
      </c>
    </row>
    <row r="34" spans="1:1" ht="15.3" x14ac:dyDescent="0.55000000000000004">
      <c r="A34" s="40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D13"/>
  <sheetViews>
    <sheetView zoomScaleNormal="100" workbookViewId="0">
      <selection activeCell="D12" sqref="D12"/>
    </sheetView>
  </sheetViews>
  <sheetFormatPr defaultRowHeight="14.4" x14ac:dyDescent="0.55000000000000004"/>
  <cols>
    <col min="1" max="1" width="20.68359375" customWidth="1"/>
    <col min="2" max="2" width="12.83984375" bestFit="1" customWidth="1"/>
    <col min="3" max="3" width="40.68359375" customWidth="1"/>
    <col min="4" max="4" width="13.15625" customWidth="1"/>
    <col min="5" max="5" width="10.68359375" bestFit="1" customWidth="1"/>
    <col min="7" max="7" width="85.83984375" bestFit="1" customWidth="1"/>
    <col min="8" max="8" width="41.578125" bestFit="1" customWidth="1"/>
    <col min="257" max="257" width="20.68359375" customWidth="1"/>
    <col min="258" max="258" width="12.83984375" bestFit="1" customWidth="1"/>
    <col min="259" max="259" width="45" customWidth="1"/>
    <col min="260" max="260" width="6.41796875" bestFit="1" customWidth="1"/>
    <col min="261" max="261" width="10.68359375" bestFit="1" customWidth="1"/>
    <col min="263" max="263" width="85.83984375" bestFit="1" customWidth="1"/>
    <col min="264" max="264" width="41.578125" bestFit="1" customWidth="1"/>
    <col min="513" max="513" width="20.68359375" customWidth="1"/>
    <col min="514" max="514" width="12.83984375" bestFit="1" customWidth="1"/>
    <col min="515" max="515" width="45" customWidth="1"/>
    <col min="516" max="516" width="6.41796875" bestFit="1" customWidth="1"/>
    <col min="517" max="517" width="10.68359375" bestFit="1" customWidth="1"/>
    <col min="519" max="519" width="85.83984375" bestFit="1" customWidth="1"/>
    <col min="520" max="520" width="41.578125" bestFit="1" customWidth="1"/>
    <col min="769" max="769" width="20.68359375" customWidth="1"/>
    <col min="770" max="770" width="12.83984375" bestFit="1" customWidth="1"/>
    <col min="771" max="771" width="45" customWidth="1"/>
    <col min="772" max="772" width="6.41796875" bestFit="1" customWidth="1"/>
    <col min="773" max="773" width="10.68359375" bestFit="1" customWidth="1"/>
    <col min="775" max="775" width="85.83984375" bestFit="1" customWidth="1"/>
    <col min="776" max="776" width="41.578125" bestFit="1" customWidth="1"/>
    <col min="1025" max="1025" width="20.68359375" customWidth="1"/>
    <col min="1026" max="1026" width="12.83984375" bestFit="1" customWidth="1"/>
    <col min="1027" max="1027" width="45" customWidth="1"/>
    <col min="1028" max="1028" width="6.41796875" bestFit="1" customWidth="1"/>
    <col min="1029" max="1029" width="10.68359375" bestFit="1" customWidth="1"/>
    <col min="1031" max="1031" width="85.83984375" bestFit="1" customWidth="1"/>
    <col min="1032" max="1032" width="41.578125" bestFit="1" customWidth="1"/>
    <col min="1281" max="1281" width="20.68359375" customWidth="1"/>
    <col min="1282" max="1282" width="12.83984375" bestFit="1" customWidth="1"/>
    <col min="1283" max="1283" width="45" customWidth="1"/>
    <col min="1284" max="1284" width="6.41796875" bestFit="1" customWidth="1"/>
    <col min="1285" max="1285" width="10.68359375" bestFit="1" customWidth="1"/>
    <col min="1287" max="1287" width="85.83984375" bestFit="1" customWidth="1"/>
    <col min="1288" max="1288" width="41.578125" bestFit="1" customWidth="1"/>
    <col min="1537" max="1537" width="20.68359375" customWidth="1"/>
    <col min="1538" max="1538" width="12.83984375" bestFit="1" customWidth="1"/>
    <col min="1539" max="1539" width="45" customWidth="1"/>
    <col min="1540" max="1540" width="6.41796875" bestFit="1" customWidth="1"/>
    <col min="1541" max="1541" width="10.68359375" bestFit="1" customWidth="1"/>
    <col min="1543" max="1543" width="85.83984375" bestFit="1" customWidth="1"/>
    <col min="1544" max="1544" width="41.578125" bestFit="1" customWidth="1"/>
    <col min="1793" max="1793" width="20.68359375" customWidth="1"/>
    <col min="1794" max="1794" width="12.83984375" bestFit="1" customWidth="1"/>
    <col min="1795" max="1795" width="45" customWidth="1"/>
    <col min="1796" max="1796" width="6.41796875" bestFit="1" customWidth="1"/>
    <col min="1797" max="1797" width="10.68359375" bestFit="1" customWidth="1"/>
    <col min="1799" max="1799" width="85.83984375" bestFit="1" customWidth="1"/>
    <col min="1800" max="1800" width="41.578125" bestFit="1" customWidth="1"/>
    <col min="2049" max="2049" width="20.68359375" customWidth="1"/>
    <col min="2050" max="2050" width="12.83984375" bestFit="1" customWidth="1"/>
    <col min="2051" max="2051" width="45" customWidth="1"/>
    <col min="2052" max="2052" width="6.41796875" bestFit="1" customWidth="1"/>
    <col min="2053" max="2053" width="10.68359375" bestFit="1" customWidth="1"/>
    <col min="2055" max="2055" width="85.83984375" bestFit="1" customWidth="1"/>
    <col min="2056" max="2056" width="41.578125" bestFit="1" customWidth="1"/>
    <col min="2305" max="2305" width="20.68359375" customWidth="1"/>
    <col min="2306" max="2306" width="12.83984375" bestFit="1" customWidth="1"/>
    <col min="2307" max="2307" width="45" customWidth="1"/>
    <col min="2308" max="2308" width="6.41796875" bestFit="1" customWidth="1"/>
    <col min="2309" max="2309" width="10.68359375" bestFit="1" customWidth="1"/>
    <col min="2311" max="2311" width="85.83984375" bestFit="1" customWidth="1"/>
    <col min="2312" max="2312" width="41.578125" bestFit="1" customWidth="1"/>
    <col min="2561" max="2561" width="20.68359375" customWidth="1"/>
    <col min="2562" max="2562" width="12.83984375" bestFit="1" customWidth="1"/>
    <col min="2563" max="2563" width="45" customWidth="1"/>
    <col min="2564" max="2564" width="6.41796875" bestFit="1" customWidth="1"/>
    <col min="2565" max="2565" width="10.68359375" bestFit="1" customWidth="1"/>
    <col min="2567" max="2567" width="85.83984375" bestFit="1" customWidth="1"/>
    <col min="2568" max="2568" width="41.578125" bestFit="1" customWidth="1"/>
    <col min="2817" max="2817" width="20.68359375" customWidth="1"/>
    <col min="2818" max="2818" width="12.83984375" bestFit="1" customWidth="1"/>
    <col min="2819" max="2819" width="45" customWidth="1"/>
    <col min="2820" max="2820" width="6.41796875" bestFit="1" customWidth="1"/>
    <col min="2821" max="2821" width="10.68359375" bestFit="1" customWidth="1"/>
    <col min="2823" max="2823" width="85.83984375" bestFit="1" customWidth="1"/>
    <col min="2824" max="2824" width="41.578125" bestFit="1" customWidth="1"/>
    <col min="3073" max="3073" width="20.68359375" customWidth="1"/>
    <col min="3074" max="3074" width="12.83984375" bestFit="1" customWidth="1"/>
    <col min="3075" max="3075" width="45" customWidth="1"/>
    <col min="3076" max="3076" width="6.41796875" bestFit="1" customWidth="1"/>
    <col min="3077" max="3077" width="10.68359375" bestFit="1" customWidth="1"/>
    <col min="3079" max="3079" width="85.83984375" bestFit="1" customWidth="1"/>
    <col min="3080" max="3080" width="41.578125" bestFit="1" customWidth="1"/>
    <col min="3329" max="3329" width="20.68359375" customWidth="1"/>
    <col min="3330" max="3330" width="12.83984375" bestFit="1" customWidth="1"/>
    <col min="3331" max="3331" width="45" customWidth="1"/>
    <col min="3332" max="3332" width="6.41796875" bestFit="1" customWidth="1"/>
    <col min="3333" max="3333" width="10.68359375" bestFit="1" customWidth="1"/>
    <col min="3335" max="3335" width="85.83984375" bestFit="1" customWidth="1"/>
    <col min="3336" max="3336" width="41.578125" bestFit="1" customWidth="1"/>
    <col min="3585" max="3585" width="20.68359375" customWidth="1"/>
    <col min="3586" max="3586" width="12.83984375" bestFit="1" customWidth="1"/>
    <col min="3587" max="3587" width="45" customWidth="1"/>
    <col min="3588" max="3588" width="6.41796875" bestFit="1" customWidth="1"/>
    <col min="3589" max="3589" width="10.68359375" bestFit="1" customWidth="1"/>
    <col min="3591" max="3591" width="85.83984375" bestFit="1" customWidth="1"/>
    <col min="3592" max="3592" width="41.578125" bestFit="1" customWidth="1"/>
    <col min="3841" max="3841" width="20.68359375" customWidth="1"/>
    <col min="3842" max="3842" width="12.83984375" bestFit="1" customWidth="1"/>
    <col min="3843" max="3843" width="45" customWidth="1"/>
    <col min="3844" max="3844" width="6.41796875" bestFit="1" customWidth="1"/>
    <col min="3845" max="3845" width="10.68359375" bestFit="1" customWidth="1"/>
    <col min="3847" max="3847" width="85.83984375" bestFit="1" customWidth="1"/>
    <col min="3848" max="3848" width="41.578125" bestFit="1" customWidth="1"/>
    <col min="4097" max="4097" width="20.68359375" customWidth="1"/>
    <col min="4098" max="4098" width="12.83984375" bestFit="1" customWidth="1"/>
    <col min="4099" max="4099" width="45" customWidth="1"/>
    <col min="4100" max="4100" width="6.41796875" bestFit="1" customWidth="1"/>
    <col min="4101" max="4101" width="10.68359375" bestFit="1" customWidth="1"/>
    <col min="4103" max="4103" width="85.83984375" bestFit="1" customWidth="1"/>
    <col min="4104" max="4104" width="41.578125" bestFit="1" customWidth="1"/>
    <col min="4353" max="4353" width="20.68359375" customWidth="1"/>
    <col min="4354" max="4354" width="12.83984375" bestFit="1" customWidth="1"/>
    <col min="4355" max="4355" width="45" customWidth="1"/>
    <col min="4356" max="4356" width="6.41796875" bestFit="1" customWidth="1"/>
    <col min="4357" max="4357" width="10.68359375" bestFit="1" customWidth="1"/>
    <col min="4359" max="4359" width="85.83984375" bestFit="1" customWidth="1"/>
    <col min="4360" max="4360" width="41.578125" bestFit="1" customWidth="1"/>
    <col min="4609" max="4609" width="20.68359375" customWidth="1"/>
    <col min="4610" max="4610" width="12.83984375" bestFit="1" customWidth="1"/>
    <col min="4611" max="4611" width="45" customWidth="1"/>
    <col min="4612" max="4612" width="6.41796875" bestFit="1" customWidth="1"/>
    <col min="4613" max="4613" width="10.68359375" bestFit="1" customWidth="1"/>
    <col min="4615" max="4615" width="85.83984375" bestFit="1" customWidth="1"/>
    <col min="4616" max="4616" width="41.578125" bestFit="1" customWidth="1"/>
    <col min="4865" max="4865" width="20.68359375" customWidth="1"/>
    <col min="4866" max="4866" width="12.83984375" bestFit="1" customWidth="1"/>
    <col min="4867" max="4867" width="45" customWidth="1"/>
    <col min="4868" max="4868" width="6.41796875" bestFit="1" customWidth="1"/>
    <col min="4869" max="4869" width="10.68359375" bestFit="1" customWidth="1"/>
    <col min="4871" max="4871" width="85.83984375" bestFit="1" customWidth="1"/>
    <col min="4872" max="4872" width="41.578125" bestFit="1" customWidth="1"/>
    <col min="5121" max="5121" width="20.68359375" customWidth="1"/>
    <col min="5122" max="5122" width="12.83984375" bestFit="1" customWidth="1"/>
    <col min="5123" max="5123" width="45" customWidth="1"/>
    <col min="5124" max="5124" width="6.41796875" bestFit="1" customWidth="1"/>
    <col min="5125" max="5125" width="10.68359375" bestFit="1" customWidth="1"/>
    <col min="5127" max="5127" width="85.83984375" bestFit="1" customWidth="1"/>
    <col min="5128" max="5128" width="41.578125" bestFit="1" customWidth="1"/>
    <col min="5377" max="5377" width="20.68359375" customWidth="1"/>
    <col min="5378" max="5378" width="12.83984375" bestFit="1" customWidth="1"/>
    <col min="5379" max="5379" width="45" customWidth="1"/>
    <col min="5380" max="5380" width="6.41796875" bestFit="1" customWidth="1"/>
    <col min="5381" max="5381" width="10.68359375" bestFit="1" customWidth="1"/>
    <col min="5383" max="5383" width="85.83984375" bestFit="1" customWidth="1"/>
    <col min="5384" max="5384" width="41.578125" bestFit="1" customWidth="1"/>
    <col min="5633" max="5633" width="20.68359375" customWidth="1"/>
    <col min="5634" max="5634" width="12.83984375" bestFit="1" customWidth="1"/>
    <col min="5635" max="5635" width="45" customWidth="1"/>
    <col min="5636" max="5636" width="6.41796875" bestFit="1" customWidth="1"/>
    <col min="5637" max="5637" width="10.68359375" bestFit="1" customWidth="1"/>
    <col min="5639" max="5639" width="85.83984375" bestFit="1" customWidth="1"/>
    <col min="5640" max="5640" width="41.578125" bestFit="1" customWidth="1"/>
    <col min="5889" max="5889" width="20.68359375" customWidth="1"/>
    <col min="5890" max="5890" width="12.83984375" bestFit="1" customWidth="1"/>
    <col min="5891" max="5891" width="45" customWidth="1"/>
    <col min="5892" max="5892" width="6.41796875" bestFit="1" customWidth="1"/>
    <col min="5893" max="5893" width="10.68359375" bestFit="1" customWidth="1"/>
    <col min="5895" max="5895" width="85.83984375" bestFit="1" customWidth="1"/>
    <col min="5896" max="5896" width="41.578125" bestFit="1" customWidth="1"/>
    <col min="6145" max="6145" width="20.68359375" customWidth="1"/>
    <col min="6146" max="6146" width="12.83984375" bestFit="1" customWidth="1"/>
    <col min="6147" max="6147" width="45" customWidth="1"/>
    <col min="6148" max="6148" width="6.41796875" bestFit="1" customWidth="1"/>
    <col min="6149" max="6149" width="10.68359375" bestFit="1" customWidth="1"/>
    <col min="6151" max="6151" width="85.83984375" bestFit="1" customWidth="1"/>
    <col min="6152" max="6152" width="41.578125" bestFit="1" customWidth="1"/>
    <col min="6401" max="6401" width="20.68359375" customWidth="1"/>
    <col min="6402" max="6402" width="12.83984375" bestFit="1" customWidth="1"/>
    <col min="6403" max="6403" width="45" customWidth="1"/>
    <col min="6404" max="6404" width="6.41796875" bestFit="1" customWidth="1"/>
    <col min="6405" max="6405" width="10.68359375" bestFit="1" customWidth="1"/>
    <col min="6407" max="6407" width="85.83984375" bestFit="1" customWidth="1"/>
    <col min="6408" max="6408" width="41.578125" bestFit="1" customWidth="1"/>
    <col min="6657" max="6657" width="20.68359375" customWidth="1"/>
    <col min="6658" max="6658" width="12.83984375" bestFit="1" customWidth="1"/>
    <col min="6659" max="6659" width="45" customWidth="1"/>
    <col min="6660" max="6660" width="6.41796875" bestFit="1" customWidth="1"/>
    <col min="6661" max="6661" width="10.68359375" bestFit="1" customWidth="1"/>
    <col min="6663" max="6663" width="85.83984375" bestFit="1" customWidth="1"/>
    <col min="6664" max="6664" width="41.578125" bestFit="1" customWidth="1"/>
    <col min="6913" max="6913" width="20.68359375" customWidth="1"/>
    <col min="6914" max="6914" width="12.83984375" bestFit="1" customWidth="1"/>
    <col min="6915" max="6915" width="45" customWidth="1"/>
    <col min="6916" max="6916" width="6.41796875" bestFit="1" customWidth="1"/>
    <col min="6917" max="6917" width="10.68359375" bestFit="1" customWidth="1"/>
    <col min="6919" max="6919" width="85.83984375" bestFit="1" customWidth="1"/>
    <col min="6920" max="6920" width="41.578125" bestFit="1" customWidth="1"/>
    <col min="7169" max="7169" width="20.68359375" customWidth="1"/>
    <col min="7170" max="7170" width="12.83984375" bestFit="1" customWidth="1"/>
    <col min="7171" max="7171" width="45" customWidth="1"/>
    <col min="7172" max="7172" width="6.41796875" bestFit="1" customWidth="1"/>
    <col min="7173" max="7173" width="10.68359375" bestFit="1" customWidth="1"/>
    <col min="7175" max="7175" width="85.83984375" bestFit="1" customWidth="1"/>
    <col min="7176" max="7176" width="41.578125" bestFit="1" customWidth="1"/>
    <col min="7425" max="7425" width="20.68359375" customWidth="1"/>
    <col min="7426" max="7426" width="12.83984375" bestFit="1" customWidth="1"/>
    <col min="7427" max="7427" width="45" customWidth="1"/>
    <col min="7428" max="7428" width="6.41796875" bestFit="1" customWidth="1"/>
    <col min="7429" max="7429" width="10.68359375" bestFit="1" customWidth="1"/>
    <col min="7431" max="7431" width="85.83984375" bestFit="1" customWidth="1"/>
    <col min="7432" max="7432" width="41.578125" bestFit="1" customWidth="1"/>
    <col min="7681" max="7681" width="20.68359375" customWidth="1"/>
    <col min="7682" max="7682" width="12.83984375" bestFit="1" customWidth="1"/>
    <col min="7683" max="7683" width="45" customWidth="1"/>
    <col min="7684" max="7684" width="6.41796875" bestFit="1" customWidth="1"/>
    <col min="7685" max="7685" width="10.68359375" bestFit="1" customWidth="1"/>
    <col min="7687" max="7687" width="85.83984375" bestFit="1" customWidth="1"/>
    <col min="7688" max="7688" width="41.578125" bestFit="1" customWidth="1"/>
    <col min="7937" max="7937" width="20.68359375" customWidth="1"/>
    <col min="7938" max="7938" width="12.83984375" bestFit="1" customWidth="1"/>
    <col min="7939" max="7939" width="45" customWidth="1"/>
    <col min="7940" max="7940" width="6.41796875" bestFit="1" customWidth="1"/>
    <col min="7941" max="7941" width="10.68359375" bestFit="1" customWidth="1"/>
    <col min="7943" max="7943" width="85.83984375" bestFit="1" customWidth="1"/>
    <col min="7944" max="7944" width="41.578125" bestFit="1" customWidth="1"/>
    <col min="8193" max="8193" width="20.68359375" customWidth="1"/>
    <col min="8194" max="8194" width="12.83984375" bestFit="1" customWidth="1"/>
    <col min="8195" max="8195" width="45" customWidth="1"/>
    <col min="8196" max="8196" width="6.41796875" bestFit="1" customWidth="1"/>
    <col min="8197" max="8197" width="10.68359375" bestFit="1" customWidth="1"/>
    <col min="8199" max="8199" width="85.83984375" bestFit="1" customWidth="1"/>
    <col min="8200" max="8200" width="41.578125" bestFit="1" customWidth="1"/>
    <col min="8449" max="8449" width="20.68359375" customWidth="1"/>
    <col min="8450" max="8450" width="12.83984375" bestFit="1" customWidth="1"/>
    <col min="8451" max="8451" width="45" customWidth="1"/>
    <col min="8452" max="8452" width="6.41796875" bestFit="1" customWidth="1"/>
    <col min="8453" max="8453" width="10.68359375" bestFit="1" customWidth="1"/>
    <col min="8455" max="8455" width="85.83984375" bestFit="1" customWidth="1"/>
    <col min="8456" max="8456" width="41.578125" bestFit="1" customWidth="1"/>
    <col min="8705" max="8705" width="20.68359375" customWidth="1"/>
    <col min="8706" max="8706" width="12.83984375" bestFit="1" customWidth="1"/>
    <col min="8707" max="8707" width="45" customWidth="1"/>
    <col min="8708" max="8708" width="6.41796875" bestFit="1" customWidth="1"/>
    <col min="8709" max="8709" width="10.68359375" bestFit="1" customWidth="1"/>
    <col min="8711" max="8711" width="85.83984375" bestFit="1" customWidth="1"/>
    <col min="8712" max="8712" width="41.578125" bestFit="1" customWidth="1"/>
    <col min="8961" max="8961" width="20.68359375" customWidth="1"/>
    <col min="8962" max="8962" width="12.83984375" bestFit="1" customWidth="1"/>
    <col min="8963" max="8963" width="45" customWidth="1"/>
    <col min="8964" max="8964" width="6.41796875" bestFit="1" customWidth="1"/>
    <col min="8965" max="8965" width="10.68359375" bestFit="1" customWidth="1"/>
    <col min="8967" max="8967" width="85.83984375" bestFit="1" customWidth="1"/>
    <col min="8968" max="8968" width="41.578125" bestFit="1" customWidth="1"/>
    <col min="9217" max="9217" width="20.68359375" customWidth="1"/>
    <col min="9218" max="9218" width="12.83984375" bestFit="1" customWidth="1"/>
    <col min="9219" max="9219" width="45" customWidth="1"/>
    <col min="9220" max="9220" width="6.41796875" bestFit="1" customWidth="1"/>
    <col min="9221" max="9221" width="10.68359375" bestFit="1" customWidth="1"/>
    <col min="9223" max="9223" width="85.83984375" bestFit="1" customWidth="1"/>
    <col min="9224" max="9224" width="41.578125" bestFit="1" customWidth="1"/>
    <col min="9473" max="9473" width="20.68359375" customWidth="1"/>
    <col min="9474" max="9474" width="12.83984375" bestFit="1" customWidth="1"/>
    <col min="9475" max="9475" width="45" customWidth="1"/>
    <col min="9476" max="9476" width="6.41796875" bestFit="1" customWidth="1"/>
    <col min="9477" max="9477" width="10.68359375" bestFit="1" customWidth="1"/>
    <col min="9479" max="9479" width="85.83984375" bestFit="1" customWidth="1"/>
    <col min="9480" max="9480" width="41.578125" bestFit="1" customWidth="1"/>
    <col min="9729" max="9729" width="20.68359375" customWidth="1"/>
    <col min="9730" max="9730" width="12.83984375" bestFit="1" customWidth="1"/>
    <col min="9731" max="9731" width="45" customWidth="1"/>
    <col min="9732" max="9732" width="6.41796875" bestFit="1" customWidth="1"/>
    <col min="9733" max="9733" width="10.68359375" bestFit="1" customWidth="1"/>
    <col min="9735" max="9735" width="85.83984375" bestFit="1" customWidth="1"/>
    <col min="9736" max="9736" width="41.578125" bestFit="1" customWidth="1"/>
    <col min="9985" max="9985" width="20.68359375" customWidth="1"/>
    <col min="9986" max="9986" width="12.83984375" bestFit="1" customWidth="1"/>
    <col min="9987" max="9987" width="45" customWidth="1"/>
    <col min="9988" max="9988" width="6.41796875" bestFit="1" customWidth="1"/>
    <col min="9989" max="9989" width="10.68359375" bestFit="1" customWidth="1"/>
    <col min="9991" max="9991" width="85.83984375" bestFit="1" customWidth="1"/>
    <col min="9992" max="9992" width="41.578125" bestFit="1" customWidth="1"/>
    <col min="10241" max="10241" width="20.68359375" customWidth="1"/>
    <col min="10242" max="10242" width="12.83984375" bestFit="1" customWidth="1"/>
    <col min="10243" max="10243" width="45" customWidth="1"/>
    <col min="10244" max="10244" width="6.41796875" bestFit="1" customWidth="1"/>
    <col min="10245" max="10245" width="10.68359375" bestFit="1" customWidth="1"/>
    <col min="10247" max="10247" width="85.83984375" bestFit="1" customWidth="1"/>
    <col min="10248" max="10248" width="41.578125" bestFit="1" customWidth="1"/>
    <col min="10497" max="10497" width="20.68359375" customWidth="1"/>
    <col min="10498" max="10498" width="12.83984375" bestFit="1" customWidth="1"/>
    <col min="10499" max="10499" width="45" customWidth="1"/>
    <col min="10500" max="10500" width="6.41796875" bestFit="1" customWidth="1"/>
    <col min="10501" max="10501" width="10.68359375" bestFit="1" customWidth="1"/>
    <col min="10503" max="10503" width="85.83984375" bestFit="1" customWidth="1"/>
    <col min="10504" max="10504" width="41.578125" bestFit="1" customWidth="1"/>
    <col min="10753" max="10753" width="20.68359375" customWidth="1"/>
    <col min="10754" max="10754" width="12.83984375" bestFit="1" customWidth="1"/>
    <col min="10755" max="10755" width="45" customWidth="1"/>
    <col min="10756" max="10756" width="6.41796875" bestFit="1" customWidth="1"/>
    <col min="10757" max="10757" width="10.68359375" bestFit="1" customWidth="1"/>
    <col min="10759" max="10759" width="85.83984375" bestFit="1" customWidth="1"/>
    <col min="10760" max="10760" width="41.578125" bestFit="1" customWidth="1"/>
    <col min="11009" max="11009" width="20.68359375" customWidth="1"/>
    <col min="11010" max="11010" width="12.83984375" bestFit="1" customWidth="1"/>
    <col min="11011" max="11011" width="45" customWidth="1"/>
    <col min="11012" max="11012" width="6.41796875" bestFit="1" customWidth="1"/>
    <col min="11013" max="11013" width="10.68359375" bestFit="1" customWidth="1"/>
    <col min="11015" max="11015" width="85.83984375" bestFit="1" customWidth="1"/>
    <col min="11016" max="11016" width="41.578125" bestFit="1" customWidth="1"/>
    <col min="11265" max="11265" width="20.68359375" customWidth="1"/>
    <col min="11266" max="11266" width="12.83984375" bestFit="1" customWidth="1"/>
    <col min="11267" max="11267" width="45" customWidth="1"/>
    <col min="11268" max="11268" width="6.41796875" bestFit="1" customWidth="1"/>
    <col min="11269" max="11269" width="10.68359375" bestFit="1" customWidth="1"/>
    <col min="11271" max="11271" width="85.83984375" bestFit="1" customWidth="1"/>
    <col min="11272" max="11272" width="41.578125" bestFit="1" customWidth="1"/>
    <col min="11521" max="11521" width="20.68359375" customWidth="1"/>
    <col min="11522" max="11522" width="12.83984375" bestFit="1" customWidth="1"/>
    <col min="11523" max="11523" width="45" customWidth="1"/>
    <col min="11524" max="11524" width="6.41796875" bestFit="1" customWidth="1"/>
    <col min="11525" max="11525" width="10.68359375" bestFit="1" customWidth="1"/>
    <col min="11527" max="11527" width="85.83984375" bestFit="1" customWidth="1"/>
    <col min="11528" max="11528" width="41.578125" bestFit="1" customWidth="1"/>
    <col min="11777" max="11777" width="20.68359375" customWidth="1"/>
    <col min="11778" max="11778" width="12.83984375" bestFit="1" customWidth="1"/>
    <col min="11779" max="11779" width="45" customWidth="1"/>
    <col min="11780" max="11780" width="6.41796875" bestFit="1" customWidth="1"/>
    <col min="11781" max="11781" width="10.68359375" bestFit="1" customWidth="1"/>
    <col min="11783" max="11783" width="85.83984375" bestFit="1" customWidth="1"/>
    <col min="11784" max="11784" width="41.578125" bestFit="1" customWidth="1"/>
    <col min="12033" max="12033" width="20.68359375" customWidth="1"/>
    <col min="12034" max="12034" width="12.83984375" bestFit="1" customWidth="1"/>
    <col min="12035" max="12035" width="45" customWidth="1"/>
    <col min="12036" max="12036" width="6.41796875" bestFit="1" customWidth="1"/>
    <col min="12037" max="12037" width="10.68359375" bestFit="1" customWidth="1"/>
    <col min="12039" max="12039" width="85.83984375" bestFit="1" customWidth="1"/>
    <col min="12040" max="12040" width="41.578125" bestFit="1" customWidth="1"/>
    <col min="12289" max="12289" width="20.68359375" customWidth="1"/>
    <col min="12290" max="12290" width="12.83984375" bestFit="1" customWidth="1"/>
    <col min="12291" max="12291" width="45" customWidth="1"/>
    <col min="12292" max="12292" width="6.41796875" bestFit="1" customWidth="1"/>
    <col min="12293" max="12293" width="10.68359375" bestFit="1" customWidth="1"/>
    <col min="12295" max="12295" width="85.83984375" bestFit="1" customWidth="1"/>
    <col min="12296" max="12296" width="41.578125" bestFit="1" customWidth="1"/>
    <col min="12545" max="12545" width="20.68359375" customWidth="1"/>
    <col min="12546" max="12546" width="12.83984375" bestFit="1" customWidth="1"/>
    <col min="12547" max="12547" width="45" customWidth="1"/>
    <col min="12548" max="12548" width="6.41796875" bestFit="1" customWidth="1"/>
    <col min="12549" max="12549" width="10.68359375" bestFit="1" customWidth="1"/>
    <col min="12551" max="12551" width="85.83984375" bestFit="1" customWidth="1"/>
    <col min="12552" max="12552" width="41.578125" bestFit="1" customWidth="1"/>
    <col min="12801" max="12801" width="20.68359375" customWidth="1"/>
    <col min="12802" max="12802" width="12.83984375" bestFit="1" customWidth="1"/>
    <col min="12803" max="12803" width="45" customWidth="1"/>
    <col min="12804" max="12804" width="6.41796875" bestFit="1" customWidth="1"/>
    <col min="12805" max="12805" width="10.68359375" bestFit="1" customWidth="1"/>
    <col min="12807" max="12807" width="85.83984375" bestFit="1" customWidth="1"/>
    <col min="12808" max="12808" width="41.578125" bestFit="1" customWidth="1"/>
    <col min="13057" max="13057" width="20.68359375" customWidth="1"/>
    <col min="13058" max="13058" width="12.83984375" bestFit="1" customWidth="1"/>
    <col min="13059" max="13059" width="45" customWidth="1"/>
    <col min="13060" max="13060" width="6.41796875" bestFit="1" customWidth="1"/>
    <col min="13061" max="13061" width="10.68359375" bestFit="1" customWidth="1"/>
    <col min="13063" max="13063" width="85.83984375" bestFit="1" customWidth="1"/>
    <col min="13064" max="13064" width="41.578125" bestFit="1" customWidth="1"/>
    <col min="13313" max="13313" width="20.68359375" customWidth="1"/>
    <col min="13314" max="13314" width="12.83984375" bestFit="1" customWidth="1"/>
    <col min="13315" max="13315" width="45" customWidth="1"/>
    <col min="13316" max="13316" width="6.41796875" bestFit="1" customWidth="1"/>
    <col min="13317" max="13317" width="10.68359375" bestFit="1" customWidth="1"/>
    <col min="13319" max="13319" width="85.83984375" bestFit="1" customWidth="1"/>
    <col min="13320" max="13320" width="41.578125" bestFit="1" customWidth="1"/>
    <col min="13569" max="13569" width="20.68359375" customWidth="1"/>
    <col min="13570" max="13570" width="12.83984375" bestFit="1" customWidth="1"/>
    <col min="13571" max="13571" width="45" customWidth="1"/>
    <col min="13572" max="13572" width="6.41796875" bestFit="1" customWidth="1"/>
    <col min="13573" max="13573" width="10.68359375" bestFit="1" customWidth="1"/>
    <col min="13575" max="13575" width="85.83984375" bestFit="1" customWidth="1"/>
    <col min="13576" max="13576" width="41.578125" bestFit="1" customWidth="1"/>
    <col min="13825" max="13825" width="20.68359375" customWidth="1"/>
    <col min="13826" max="13826" width="12.83984375" bestFit="1" customWidth="1"/>
    <col min="13827" max="13827" width="45" customWidth="1"/>
    <col min="13828" max="13828" width="6.41796875" bestFit="1" customWidth="1"/>
    <col min="13829" max="13829" width="10.68359375" bestFit="1" customWidth="1"/>
    <col min="13831" max="13831" width="85.83984375" bestFit="1" customWidth="1"/>
    <col min="13832" max="13832" width="41.578125" bestFit="1" customWidth="1"/>
    <col min="14081" max="14081" width="20.68359375" customWidth="1"/>
    <col min="14082" max="14082" width="12.83984375" bestFit="1" customWidth="1"/>
    <col min="14083" max="14083" width="45" customWidth="1"/>
    <col min="14084" max="14084" width="6.41796875" bestFit="1" customWidth="1"/>
    <col min="14085" max="14085" width="10.68359375" bestFit="1" customWidth="1"/>
    <col min="14087" max="14087" width="85.83984375" bestFit="1" customWidth="1"/>
    <col min="14088" max="14088" width="41.578125" bestFit="1" customWidth="1"/>
    <col min="14337" max="14337" width="20.68359375" customWidth="1"/>
    <col min="14338" max="14338" width="12.83984375" bestFit="1" customWidth="1"/>
    <col min="14339" max="14339" width="45" customWidth="1"/>
    <col min="14340" max="14340" width="6.41796875" bestFit="1" customWidth="1"/>
    <col min="14341" max="14341" width="10.68359375" bestFit="1" customWidth="1"/>
    <col min="14343" max="14343" width="85.83984375" bestFit="1" customWidth="1"/>
    <col min="14344" max="14344" width="41.578125" bestFit="1" customWidth="1"/>
    <col min="14593" max="14593" width="20.68359375" customWidth="1"/>
    <col min="14594" max="14594" width="12.83984375" bestFit="1" customWidth="1"/>
    <col min="14595" max="14595" width="45" customWidth="1"/>
    <col min="14596" max="14596" width="6.41796875" bestFit="1" customWidth="1"/>
    <col min="14597" max="14597" width="10.68359375" bestFit="1" customWidth="1"/>
    <col min="14599" max="14599" width="85.83984375" bestFit="1" customWidth="1"/>
    <col min="14600" max="14600" width="41.578125" bestFit="1" customWidth="1"/>
    <col min="14849" max="14849" width="20.68359375" customWidth="1"/>
    <col min="14850" max="14850" width="12.83984375" bestFit="1" customWidth="1"/>
    <col min="14851" max="14851" width="45" customWidth="1"/>
    <col min="14852" max="14852" width="6.41796875" bestFit="1" customWidth="1"/>
    <col min="14853" max="14853" width="10.68359375" bestFit="1" customWidth="1"/>
    <col min="14855" max="14855" width="85.83984375" bestFit="1" customWidth="1"/>
    <col min="14856" max="14856" width="41.578125" bestFit="1" customWidth="1"/>
    <col min="15105" max="15105" width="20.68359375" customWidth="1"/>
    <col min="15106" max="15106" width="12.83984375" bestFit="1" customWidth="1"/>
    <col min="15107" max="15107" width="45" customWidth="1"/>
    <col min="15108" max="15108" width="6.41796875" bestFit="1" customWidth="1"/>
    <col min="15109" max="15109" width="10.68359375" bestFit="1" customWidth="1"/>
    <col min="15111" max="15111" width="85.83984375" bestFit="1" customWidth="1"/>
    <col min="15112" max="15112" width="41.578125" bestFit="1" customWidth="1"/>
    <col min="15361" max="15361" width="20.68359375" customWidth="1"/>
    <col min="15362" max="15362" width="12.83984375" bestFit="1" customWidth="1"/>
    <col min="15363" max="15363" width="45" customWidth="1"/>
    <col min="15364" max="15364" width="6.41796875" bestFit="1" customWidth="1"/>
    <col min="15365" max="15365" width="10.68359375" bestFit="1" customWidth="1"/>
    <col min="15367" max="15367" width="85.83984375" bestFit="1" customWidth="1"/>
    <col min="15368" max="15368" width="41.578125" bestFit="1" customWidth="1"/>
    <col min="15617" max="15617" width="20.68359375" customWidth="1"/>
    <col min="15618" max="15618" width="12.83984375" bestFit="1" customWidth="1"/>
    <col min="15619" max="15619" width="45" customWidth="1"/>
    <col min="15620" max="15620" width="6.41796875" bestFit="1" customWidth="1"/>
    <col min="15621" max="15621" width="10.68359375" bestFit="1" customWidth="1"/>
    <col min="15623" max="15623" width="85.83984375" bestFit="1" customWidth="1"/>
    <col min="15624" max="15624" width="41.578125" bestFit="1" customWidth="1"/>
    <col min="15873" max="15873" width="20.68359375" customWidth="1"/>
    <col min="15874" max="15874" width="12.83984375" bestFit="1" customWidth="1"/>
    <col min="15875" max="15875" width="45" customWidth="1"/>
    <col min="15876" max="15876" width="6.41796875" bestFit="1" customWidth="1"/>
    <col min="15877" max="15877" width="10.68359375" bestFit="1" customWidth="1"/>
    <col min="15879" max="15879" width="85.83984375" bestFit="1" customWidth="1"/>
    <col min="15880" max="15880" width="41.578125" bestFit="1" customWidth="1"/>
    <col min="16129" max="16129" width="20.68359375" customWidth="1"/>
    <col min="16130" max="16130" width="12.83984375" bestFit="1" customWidth="1"/>
    <col min="16131" max="16131" width="45" customWidth="1"/>
    <col min="16132" max="16132" width="6.41796875" bestFit="1" customWidth="1"/>
    <col min="16133" max="16133" width="10.68359375" bestFit="1" customWidth="1"/>
    <col min="16135" max="16135" width="85.83984375" bestFit="1" customWidth="1"/>
    <col min="16136" max="16136" width="41.578125" bestFit="1" customWidth="1"/>
  </cols>
  <sheetData>
    <row r="1" spans="1:4" x14ac:dyDescent="0.55000000000000004">
      <c r="A1" s="42" t="s">
        <v>53</v>
      </c>
      <c r="C1" s="42" t="s">
        <v>53</v>
      </c>
    </row>
    <row r="2" spans="1:4" x14ac:dyDescent="0.55000000000000004">
      <c r="A2" s="7">
        <v>40</v>
      </c>
      <c r="D2" s="7">
        <v>26</v>
      </c>
    </row>
    <row r="3" spans="1:4" x14ac:dyDescent="0.55000000000000004">
      <c r="A3" s="7">
        <v>37</v>
      </c>
      <c r="D3" s="7">
        <v>14</v>
      </c>
    </row>
    <row r="4" spans="1:4" x14ac:dyDescent="0.55000000000000004">
      <c r="A4" s="7">
        <v>35</v>
      </c>
      <c r="D4" s="7">
        <v>40</v>
      </c>
    </row>
    <row r="5" spans="1:4" x14ac:dyDescent="0.55000000000000004">
      <c r="A5" s="7">
        <v>26</v>
      </c>
      <c r="D5" s="7">
        <v>18</v>
      </c>
    </row>
    <row r="6" spans="1:4" x14ac:dyDescent="0.55000000000000004">
      <c r="A6" s="7">
        <v>16</v>
      </c>
      <c r="D6" s="7">
        <v>42</v>
      </c>
    </row>
    <row r="7" spans="1:4" x14ac:dyDescent="0.55000000000000004">
      <c r="A7" s="7">
        <v>28</v>
      </c>
      <c r="D7" s="7">
        <v>26</v>
      </c>
    </row>
    <row r="8" spans="1:4" x14ac:dyDescent="0.55000000000000004">
      <c r="A8" s="7">
        <v>44</v>
      </c>
      <c r="D8" s="7">
        <v>12</v>
      </c>
    </row>
    <row r="9" spans="1:4" x14ac:dyDescent="0.55000000000000004">
      <c r="A9" s="7">
        <v>24</v>
      </c>
      <c r="D9" s="7">
        <v>27</v>
      </c>
    </row>
    <row r="10" spans="1:4" x14ac:dyDescent="0.55000000000000004">
      <c r="A10" s="7">
        <v>41</v>
      </c>
      <c r="D10" s="7">
        <v>19</v>
      </c>
    </row>
    <row r="11" spans="1:4" x14ac:dyDescent="0.55000000000000004">
      <c r="A11" s="32">
        <f>SUM(A2:A10)</f>
        <v>291</v>
      </c>
      <c r="C11" s="32"/>
      <c r="D11" s="7"/>
    </row>
    <row r="12" spans="1:4" x14ac:dyDescent="0.55000000000000004">
      <c r="A12" s="31" t="s">
        <v>104</v>
      </c>
      <c r="C12" s="31" t="s">
        <v>105</v>
      </c>
      <c r="D12" s="43">
        <f>AVERAGE(D2:D10)</f>
        <v>24.888888888888889</v>
      </c>
    </row>
    <row r="13" spans="1:4" x14ac:dyDescent="0.55000000000000004">
      <c r="C13" s="31" t="s">
        <v>106</v>
      </c>
      <c r="D13" s="43">
        <f>GEOMEAN(D2:D10)</f>
        <v>22.943606261791086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C11"/>
  <sheetViews>
    <sheetView zoomScale="105" zoomScaleNormal="105" workbookViewId="0">
      <selection activeCell="C11" sqref="C11"/>
    </sheetView>
  </sheetViews>
  <sheetFormatPr defaultRowHeight="14.4" x14ac:dyDescent="0.55000000000000004"/>
  <cols>
    <col min="1" max="1" width="25.578125" customWidth="1"/>
    <col min="257" max="257" width="25.578125" customWidth="1"/>
    <col min="513" max="513" width="25.578125" customWidth="1"/>
    <col min="769" max="769" width="25.578125" customWidth="1"/>
    <col min="1025" max="1025" width="25.578125" customWidth="1"/>
    <col min="1281" max="1281" width="25.578125" customWidth="1"/>
    <col min="1537" max="1537" width="25.578125" customWidth="1"/>
    <col min="1793" max="1793" width="25.578125" customWidth="1"/>
    <col min="2049" max="2049" width="25.578125" customWidth="1"/>
    <col min="2305" max="2305" width="25.578125" customWidth="1"/>
    <col min="2561" max="2561" width="25.578125" customWidth="1"/>
    <col min="2817" max="2817" width="25.578125" customWidth="1"/>
    <col min="3073" max="3073" width="25.578125" customWidth="1"/>
    <col min="3329" max="3329" width="25.578125" customWidth="1"/>
    <col min="3585" max="3585" width="25.578125" customWidth="1"/>
    <col min="3841" max="3841" width="25.578125" customWidth="1"/>
    <col min="4097" max="4097" width="25.578125" customWidth="1"/>
    <col min="4353" max="4353" width="25.578125" customWidth="1"/>
    <col min="4609" max="4609" width="25.578125" customWidth="1"/>
    <col min="4865" max="4865" width="25.578125" customWidth="1"/>
    <col min="5121" max="5121" width="25.578125" customWidth="1"/>
    <col min="5377" max="5377" width="25.578125" customWidth="1"/>
    <col min="5633" max="5633" width="25.578125" customWidth="1"/>
    <col min="5889" max="5889" width="25.578125" customWidth="1"/>
    <col min="6145" max="6145" width="25.578125" customWidth="1"/>
    <col min="6401" max="6401" width="25.578125" customWidth="1"/>
    <col min="6657" max="6657" width="25.578125" customWidth="1"/>
    <col min="6913" max="6913" width="25.578125" customWidth="1"/>
    <col min="7169" max="7169" width="25.578125" customWidth="1"/>
    <col min="7425" max="7425" width="25.578125" customWidth="1"/>
    <col min="7681" max="7681" width="25.578125" customWidth="1"/>
    <col min="7937" max="7937" width="25.578125" customWidth="1"/>
    <col min="8193" max="8193" width="25.578125" customWidth="1"/>
    <col min="8449" max="8449" width="25.578125" customWidth="1"/>
    <col min="8705" max="8705" width="25.578125" customWidth="1"/>
    <col min="8961" max="8961" width="25.578125" customWidth="1"/>
    <col min="9217" max="9217" width="25.578125" customWidth="1"/>
    <col min="9473" max="9473" width="25.578125" customWidth="1"/>
    <col min="9729" max="9729" width="25.578125" customWidth="1"/>
    <col min="9985" max="9985" width="25.578125" customWidth="1"/>
    <col min="10241" max="10241" width="25.578125" customWidth="1"/>
    <col min="10497" max="10497" width="25.578125" customWidth="1"/>
    <col min="10753" max="10753" width="25.578125" customWidth="1"/>
    <col min="11009" max="11009" width="25.578125" customWidth="1"/>
    <col min="11265" max="11265" width="25.578125" customWidth="1"/>
    <col min="11521" max="11521" width="25.578125" customWidth="1"/>
    <col min="11777" max="11777" width="25.578125" customWidth="1"/>
    <col min="12033" max="12033" width="25.578125" customWidth="1"/>
    <col min="12289" max="12289" width="25.578125" customWidth="1"/>
    <col min="12545" max="12545" width="25.578125" customWidth="1"/>
    <col min="12801" max="12801" width="25.578125" customWidth="1"/>
    <col min="13057" max="13057" width="25.578125" customWidth="1"/>
    <col min="13313" max="13313" width="25.578125" customWidth="1"/>
    <col min="13569" max="13569" width="25.578125" customWidth="1"/>
    <col min="13825" max="13825" width="25.578125" customWidth="1"/>
    <col min="14081" max="14081" width="25.578125" customWidth="1"/>
    <col min="14337" max="14337" width="25.578125" customWidth="1"/>
    <col min="14593" max="14593" width="25.578125" customWidth="1"/>
    <col min="14849" max="14849" width="25.578125" customWidth="1"/>
    <col min="15105" max="15105" width="25.578125" customWidth="1"/>
    <col min="15361" max="15361" width="25.578125" customWidth="1"/>
    <col min="15617" max="15617" width="25.578125" customWidth="1"/>
    <col min="15873" max="15873" width="25.578125" customWidth="1"/>
    <col min="16129" max="16129" width="25.578125" customWidth="1"/>
  </cols>
  <sheetData>
    <row r="1" spans="1:3" x14ac:dyDescent="0.55000000000000004">
      <c r="C1" s="44" t="s">
        <v>53</v>
      </c>
    </row>
    <row r="2" spans="1:3" x14ac:dyDescent="0.55000000000000004">
      <c r="C2" s="7">
        <v>19</v>
      </c>
    </row>
    <row r="3" spans="1:3" x14ac:dyDescent="0.55000000000000004">
      <c r="C3" s="7">
        <v>6</v>
      </c>
    </row>
    <row r="4" spans="1:3" x14ac:dyDescent="0.55000000000000004">
      <c r="C4" s="7">
        <v>12</v>
      </c>
    </row>
    <row r="5" spans="1:3" x14ac:dyDescent="0.55000000000000004">
      <c r="C5" s="7">
        <v>12</v>
      </c>
    </row>
    <row r="6" spans="1:3" x14ac:dyDescent="0.55000000000000004">
      <c r="C6" s="7">
        <v>19</v>
      </c>
    </row>
    <row r="7" spans="1:3" x14ac:dyDescent="0.55000000000000004">
      <c r="C7" s="7">
        <v>19</v>
      </c>
    </row>
    <row r="8" spans="1:3" x14ac:dyDescent="0.55000000000000004">
      <c r="C8" s="7">
        <v>6</v>
      </c>
    </row>
    <row r="9" spans="1:3" x14ac:dyDescent="0.55000000000000004">
      <c r="C9" s="45">
        <v>8</v>
      </c>
    </row>
    <row r="10" spans="1:3" ht="28.8" x14ac:dyDescent="0.55000000000000004">
      <c r="A10" s="31" t="s">
        <v>107</v>
      </c>
      <c r="B10" s="44" t="s">
        <v>59</v>
      </c>
      <c r="C10" s="32">
        <f>SUM(C2:C9)</f>
        <v>101</v>
      </c>
    </row>
    <row r="11" spans="1:3" ht="28.8" x14ac:dyDescent="0.55000000000000004">
      <c r="A11" s="31" t="s">
        <v>108</v>
      </c>
      <c r="B11" s="44" t="s">
        <v>59</v>
      </c>
      <c r="C11" s="32">
        <f>C2+C3+C4+C5+C6+C7+C8+C9</f>
        <v>101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102"/>
  <sheetViews>
    <sheetView topLeftCell="C16" zoomScale="115" zoomScaleNormal="115" workbookViewId="0">
      <selection activeCell="J28" sqref="J28"/>
    </sheetView>
  </sheetViews>
  <sheetFormatPr defaultRowHeight="14.4" x14ac:dyDescent="0.55000000000000004"/>
  <cols>
    <col min="1" max="1" width="10.68359375" customWidth="1"/>
    <col min="5" max="5" width="11.26171875" customWidth="1"/>
    <col min="257" max="257" width="10.68359375" customWidth="1"/>
    <col min="261" max="261" width="11.26171875" customWidth="1"/>
    <col min="513" max="513" width="10.68359375" customWidth="1"/>
    <col min="517" max="517" width="11.26171875" customWidth="1"/>
    <col min="769" max="769" width="10.68359375" customWidth="1"/>
    <col min="773" max="773" width="11.26171875" customWidth="1"/>
    <col min="1025" max="1025" width="10.68359375" customWidth="1"/>
    <col min="1029" max="1029" width="11.26171875" customWidth="1"/>
    <col min="1281" max="1281" width="10.68359375" customWidth="1"/>
    <col min="1285" max="1285" width="11.26171875" customWidth="1"/>
    <col min="1537" max="1537" width="10.68359375" customWidth="1"/>
    <col min="1541" max="1541" width="11.26171875" customWidth="1"/>
    <col min="1793" max="1793" width="10.68359375" customWidth="1"/>
    <col min="1797" max="1797" width="11.26171875" customWidth="1"/>
    <col min="2049" max="2049" width="10.68359375" customWidth="1"/>
    <col min="2053" max="2053" width="11.26171875" customWidth="1"/>
    <col min="2305" max="2305" width="10.68359375" customWidth="1"/>
    <col min="2309" max="2309" width="11.26171875" customWidth="1"/>
    <col min="2561" max="2561" width="10.68359375" customWidth="1"/>
    <col min="2565" max="2565" width="11.26171875" customWidth="1"/>
    <col min="2817" max="2817" width="10.68359375" customWidth="1"/>
    <col min="2821" max="2821" width="11.26171875" customWidth="1"/>
    <col min="3073" max="3073" width="10.68359375" customWidth="1"/>
    <col min="3077" max="3077" width="11.26171875" customWidth="1"/>
    <col min="3329" max="3329" width="10.68359375" customWidth="1"/>
    <col min="3333" max="3333" width="11.26171875" customWidth="1"/>
    <col min="3585" max="3585" width="10.68359375" customWidth="1"/>
    <col min="3589" max="3589" width="11.26171875" customWidth="1"/>
    <col min="3841" max="3841" width="10.68359375" customWidth="1"/>
    <col min="3845" max="3845" width="11.26171875" customWidth="1"/>
    <col min="4097" max="4097" width="10.68359375" customWidth="1"/>
    <col min="4101" max="4101" width="11.26171875" customWidth="1"/>
    <col min="4353" max="4353" width="10.68359375" customWidth="1"/>
    <col min="4357" max="4357" width="11.26171875" customWidth="1"/>
    <col min="4609" max="4609" width="10.68359375" customWidth="1"/>
    <col min="4613" max="4613" width="11.26171875" customWidth="1"/>
    <col min="4865" max="4865" width="10.68359375" customWidth="1"/>
    <col min="4869" max="4869" width="11.26171875" customWidth="1"/>
    <col min="5121" max="5121" width="10.68359375" customWidth="1"/>
    <col min="5125" max="5125" width="11.26171875" customWidth="1"/>
    <col min="5377" max="5377" width="10.68359375" customWidth="1"/>
    <col min="5381" max="5381" width="11.26171875" customWidth="1"/>
    <col min="5633" max="5633" width="10.68359375" customWidth="1"/>
    <col min="5637" max="5637" width="11.26171875" customWidth="1"/>
    <col min="5889" max="5889" width="10.68359375" customWidth="1"/>
    <col min="5893" max="5893" width="11.26171875" customWidth="1"/>
    <col min="6145" max="6145" width="10.68359375" customWidth="1"/>
    <col min="6149" max="6149" width="11.26171875" customWidth="1"/>
    <col min="6401" max="6401" width="10.68359375" customWidth="1"/>
    <col min="6405" max="6405" width="11.26171875" customWidth="1"/>
    <col min="6657" max="6657" width="10.68359375" customWidth="1"/>
    <col min="6661" max="6661" width="11.26171875" customWidth="1"/>
    <col min="6913" max="6913" width="10.68359375" customWidth="1"/>
    <col min="6917" max="6917" width="11.26171875" customWidth="1"/>
    <col min="7169" max="7169" width="10.68359375" customWidth="1"/>
    <col min="7173" max="7173" width="11.26171875" customWidth="1"/>
    <col min="7425" max="7425" width="10.68359375" customWidth="1"/>
    <col min="7429" max="7429" width="11.26171875" customWidth="1"/>
    <col min="7681" max="7681" width="10.68359375" customWidth="1"/>
    <col min="7685" max="7685" width="11.26171875" customWidth="1"/>
    <col min="7937" max="7937" width="10.68359375" customWidth="1"/>
    <col min="7941" max="7941" width="11.26171875" customWidth="1"/>
    <col min="8193" max="8193" width="10.68359375" customWidth="1"/>
    <col min="8197" max="8197" width="11.26171875" customWidth="1"/>
    <col min="8449" max="8449" width="10.68359375" customWidth="1"/>
    <col min="8453" max="8453" width="11.26171875" customWidth="1"/>
    <col min="8705" max="8705" width="10.68359375" customWidth="1"/>
    <col min="8709" max="8709" width="11.26171875" customWidth="1"/>
    <col min="8961" max="8961" width="10.68359375" customWidth="1"/>
    <col min="8965" max="8965" width="11.26171875" customWidth="1"/>
    <col min="9217" max="9217" width="10.68359375" customWidth="1"/>
    <col min="9221" max="9221" width="11.26171875" customWidth="1"/>
    <col min="9473" max="9473" width="10.68359375" customWidth="1"/>
    <col min="9477" max="9477" width="11.26171875" customWidth="1"/>
    <col min="9729" max="9729" width="10.68359375" customWidth="1"/>
    <col min="9733" max="9733" width="11.26171875" customWidth="1"/>
    <col min="9985" max="9985" width="10.68359375" customWidth="1"/>
    <col min="9989" max="9989" width="11.26171875" customWidth="1"/>
    <col min="10241" max="10241" width="10.68359375" customWidth="1"/>
    <col min="10245" max="10245" width="11.26171875" customWidth="1"/>
    <col min="10497" max="10497" width="10.68359375" customWidth="1"/>
    <col min="10501" max="10501" width="11.26171875" customWidth="1"/>
    <col min="10753" max="10753" width="10.68359375" customWidth="1"/>
    <col min="10757" max="10757" width="11.26171875" customWidth="1"/>
    <col min="11009" max="11009" width="10.68359375" customWidth="1"/>
    <col min="11013" max="11013" width="11.26171875" customWidth="1"/>
    <col min="11265" max="11265" width="10.68359375" customWidth="1"/>
    <col min="11269" max="11269" width="11.26171875" customWidth="1"/>
    <col min="11521" max="11521" width="10.68359375" customWidth="1"/>
    <col min="11525" max="11525" width="11.26171875" customWidth="1"/>
    <col min="11777" max="11777" width="10.68359375" customWidth="1"/>
    <col min="11781" max="11781" width="11.26171875" customWidth="1"/>
    <col min="12033" max="12033" width="10.68359375" customWidth="1"/>
    <col min="12037" max="12037" width="11.26171875" customWidth="1"/>
    <col min="12289" max="12289" width="10.68359375" customWidth="1"/>
    <col min="12293" max="12293" width="11.26171875" customWidth="1"/>
    <col min="12545" max="12545" width="10.68359375" customWidth="1"/>
    <col min="12549" max="12549" width="11.26171875" customWidth="1"/>
    <col min="12801" max="12801" width="10.68359375" customWidth="1"/>
    <col min="12805" max="12805" width="11.26171875" customWidth="1"/>
    <col min="13057" max="13057" width="10.68359375" customWidth="1"/>
    <col min="13061" max="13061" width="11.26171875" customWidth="1"/>
    <col min="13313" max="13313" width="10.68359375" customWidth="1"/>
    <col min="13317" max="13317" width="11.26171875" customWidth="1"/>
    <col min="13569" max="13569" width="10.68359375" customWidth="1"/>
    <col min="13573" max="13573" width="11.26171875" customWidth="1"/>
    <col min="13825" max="13825" width="10.68359375" customWidth="1"/>
    <col min="13829" max="13829" width="11.26171875" customWidth="1"/>
    <col min="14081" max="14081" width="10.68359375" customWidth="1"/>
    <col min="14085" max="14085" width="11.26171875" customWidth="1"/>
    <col min="14337" max="14337" width="10.68359375" customWidth="1"/>
    <col min="14341" max="14341" width="11.26171875" customWidth="1"/>
    <col min="14593" max="14593" width="10.68359375" customWidth="1"/>
    <col min="14597" max="14597" width="11.26171875" customWidth="1"/>
    <col min="14849" max="14849" width="10.68359375" customWidth="1"/>
    <col min="14853" max="14853" width="11.26171875" customWidth="1"/>
    <col min="15105" max="15105" width="10.68359375" customWidth="1"/>
    <col min="15109" max="15109" width="11.26171875" customWidth="1"/>
    <col min="15361" max="15361" width="10.68359375" customWidth="1"/>
    <col min="15365" max="15365" width="11.26171875" customWidth="1"/>
    <col min="15617" max="15617" width="10.68359375" customWidth="1"/>
    <col min="15621" max="15621" width="11.26171875" customWidth="1"/>
    <col min="15873" max="15873" width="10.68359375" customWidth="1"/>
    <col min="15877" max="15877" width="11.26171875" customWidth="1"/>
    <col min="16129" max="16129" width="10.68359375" customWidth="1"/>
    <col min="16133" max="16133" width="11.26171875" customWidth="1"/>
  </cols>
  <sheetData>
    <row r="1" spans="1:10" ht="14.7" thickBot="1" x14ac:dyDescent="0.6">
      <c r="A1" s="46" t="s">
        <v>109</v>
      </c>
      <c r="B1" s="46" t="s">
        <v>15</v>
      </c>
      <c r="D1" s="47" t="s">
        <v>110</v>
      </c>
      <c r="E1" s="32">
        <f>COUNT(B2:B102)</f>
        <v>101</v>
      </c>
      <c r="F1" s="47" t="s">
        <v>111</v>
      </c>
      <c r="G1" s="47" t="s">
        <v>111</v>
      </c>
    </row>
    <row r="2" spans="1:10" x14ac:dyDescent="0.55000000000000004">
      <c r="A2" s="48" t="s">
        <v>112</v>
      </c>
      <c r="B2" s="48">
        <v>23786.756647182618</v>
      </c>
      <c r="D2" s="47" t="s">
        <v>113</v>
      </c>
      <c r="E2" s="32">
        <f>MEDIAN(B2:B102)</f>
        <v>22404.148093208169</v>
      </c>
      <c r="F2" s="7"/>
    </row>
    <row r="3" spans="1:10" x14ac:dyDescent="0.55000000000000004">
      <c r="A3" s="49" t="s">
        <v>174</v>
      </c>
      <c r="B3" s="49">
        <v>19445.162626837384</v>
      </c>
      <c r="D3" s="47" t="s">
        <v>114</v>
      </c>
      <c r="E3" s="32">
        <f>SUM(B2:B102)</f>
        <v>2281108.4609518545</v>
      </c>
      <c r="F3" s="7"/>
    </row>
    <row r="4" spans="1:10" x14ac:dyDescent="0.55000000000000004">
      <c r="A4" s="48" t="s">
        <v>115</v>
      </c>
      <c r="B4" s="48">
        <v>18044.59622494346</v>
      </c>
      <c r="D4" s="47" t="s">
        <v>116</v>
      </c>
      <c r="E4" s="32">
        <f>SUMIF(B2:B102,F4)</f>
        <v>810974.48615826212</v>
      </c>
      <c r="F4" s="7" t="s">
        <v>117</v>
      </c>
    </row>
    <row r="5" spans="1:10" x14ac:dyDescent="0.55000000000000004">
      <c r="A5" s="49" t="s">
        <v>112</v>
      </c>
      <c r="B5" s="49">
        <v>18991.316422037151</v>
      </c>
      <c r="D5" s="47" t="s">
        <v>118</v>
      </c>
      <c r="E5" s="32">
        <f>COUNTIF(A2:A102,F5)</f>
        <v>29</v>
      </c>
      <c r="F5" s="7" t="s">
        <v>115</v>
      </c>
    </row>
    <row r="6" spans="1:10" x14ac:dyDescent="0.55000000000000004">
      <c r="A6" s="48" t="s">
        <v>174</v>
      </c>
      <c r="B6" s="48">
        <v>23322.198889308569</v>
      </c>
      <c r="D6" s="47" t="s">
        <v>116</v>
      </c>
      <c r="E6" s="32">
        <f>SUMIF(A2:A102,F6,B2:B102)</f>
        <v>661983.8725254148</v>
      </c>
      <c r="F6" s="7" t="s">
        <v>115</v>
      </c>
    </row>
    <row r="7" spans="1:10" x14ac:dyDescent="0.55000000000000004">
      <c r="A7" s="49" t="s">
        <v>112</v>
      </c>
      <c r="B7" s="49">
        <v>23926.96242077036</v>
      </c>
      <c r="D7" s="47" t="s">
        <v>118</v>
      </c>
      <c r="E7" s="32">
        <f>(COUNTIF(A2:A102,F7)+COUNTIF(A2:A102,G7))</f>
        <v>72</v>
      </c>
      <c r="F7" s="7" t="s">
        <v>112</v>
      </c>
      <c r="G7" s="7" t="s">
        <v>174</v>
      </c>
    </row>
    <row r="8" spans="1:10" x14ac:dyDescent="0.55000000000000004">
      <c r="A8" s="48" t="s">
        <v>115</v>
      </c>
      <c r="B8" s="48">
        <v>18316.542994472398</v>
      </c>
    </row>
    <row r="9" spans="1:10" x14ac:dyDescent="0.55000000000000004">
      <c r="A9" s="49" t="s">
        <v>174</v>
      </c>
      <c r="B9" s="49">
        <v>18299.781670229037</v>
      </c>
    </row>
    <row r="10" spans="1:10" ht="14.7" thickBot="1" x14ac:dyDescent="0.6">
      <c r="A10" s="48" t="s">
        <v>115</v>
      </c>
      <c r="B10" s="48">
        <v>29285.047601824652</v>
      </c>
    </row>
    <row r="11" spans="1:10" ht="14.7" thickBot="1" x14ac:dyDescent="0.6">
      <c r="A11" s="49" t="s">
        <v>115</v>
      </c>
      <c r="B11" s="49">
        <v>28647.13468416391</v>
      </c>
      <c r="D11" s="70" t="s">
        <v>158</v>
      </c>
      <c r="E11" s="71"/>
      <c r="F11" s="71"/>
      <c r="G11" s="71"/>
      <c r="H11" s="72"/>
    </row>
    <row r="12" spans="1:10" ht="14.7" thickBot="1" x14ac:dyDescent="0.6">
      <c r="A12" s="48" t="s">
        <v>112</v>
      </c>
      <c r="B12" s="48">
        <v>18911.236784578454</v>
      </c>
    </row>
    <row r="13" spans="1:10" x14ac:dyDescent="0.55000000000000004">
      <c r="A13" s="49" t="s">
        <v>115</v>
      </c>
      <c r="B13" s="49">
        <v>23707.733744262157</v>
      </c>
      <c r="D13" s="73" t="s">
        <v>159</v>
      </c>
      <c r="E13" s="74"/>
      <c r="F13" s="74"/>
      <c r="G13" s="74"/>
      <c r="H13" s="75"/>
    </row>
    <row r="14" spans="1:10" ht="14.7" thickBot="1" x14ac:dyDescent="0.6">
      <c r="A14" s="48" t="s">
        <v>174</v>
      </c>
      <c r="B14" s="48">
        <v>28364.927610870887</v>
      </c>
      <c r="D14" s="76"/>
      <c r="E14" s="77"/>
      <c r="F14" s="77"/>
      <c r="G14" s="77"/>
      <c r="H14" s="78"/>
    </row>
    <row r="15" spans="1:10" x14ac:dyDescent="0.55000000000000004">
      <c r="A15" s="49" t="s">
        <v>112</v>
      </c>
      <c r="B15" s="49">
        <v>19069.352323485917</v>
      </c>
    </row>
    <row r="16" spans="1:10" x14ac:dyDescent="0.55000000000000004">
      <c r="A16" s="48" t="s">
        <v>174</v>
      </c>
      <c r="B16" s="48">
        <v>29235.425657120835</v>
      </c>
      <c r="D16" s="79"/>
      <c r="E16" s="80">
        <v>2011</v>
      </c>
      <c r="F16" s="80">
        <v>2012</v>
      </c>
      <c r="G16" s="80">
        <v>2013</v>
      </c>
      <c r="H16" s="80">
        <v>2014</v>
      </c>
      <c r="I16" s="80">
        <v>2015</v>
      </c>
      <c r="J16" s="80">
        <v>2016</v>
      </c>
    </row>
    <row r="17" spans="1:12" x14ac:dyDescent="0.55000000000000004">
      <c r="A17" s="49" t="s">
        <v>174</v>
      </c>
      <c r="B17" s="49">
        <v>22852.860501299037</v>
      </c>
      <c r="D17" s="79" t="s">
        <v>160</v>
      </c>
      <c r="E17" s="81">
        <v>149</v>
      </c>
      <c r="F17" s="81">
        <v>202</v>
      </c>
      <c r="G17" s="81">
        <v>101</v>
      </c>
      <c r="H17" s="81">
        <v>271</v>
      </c>
      <c r="I17" s="81">
        <v>199</v>
      </c>
      <c r="J17" s="81">
        <v>118</v>
      </c>
      <c r="L17">
        <f>AVERAGE(Pune)</f>
        <v>173.33333333333334</v>
      </c>
    </row>
    <row r="18" spans="1:12" x14ac:dyDescent="0.55000000000000004">
      <c r="A18" s="48" t="s">
        <v>115</v>
      </c>
      <c r="B18" s="48">
        <v>22827.896959300422</v>
      </c>
      <c r="D18" s="79" t="s">
        <v>161</v>
      </c>
      <c r="E18" s="81">
        <v>226</v>
      </c>
      <c r="F18" s="81">
        <v>192</v>
      </c>
      <c r="G18" s="81">
        <v>112</v>
      </c>
      <c r="H18" s="81">
        <v>136</v>
      </c>
      <c r="I18" s="81">
        <v>174</v>
      </c>
      <c r="J18" s="81">
        <v>161</v>
      </c>
      <c r="L18">
        <f>AVERAGE(Mumbai)</f>
        <v>166.83333333333334</v>
      </c>
    </row>
    <row r="19" spans="1:12" x14ac:dyDescent="0.55000000000000004">
      <c r="A19" s="49" t="s">
        <v>115</v>
      </c>
      <c r="B19" s="49">
        <v>23328.257488797648</v>
      </c>
      <c r="D19" s="79" t="s">
        <v>162</v>
      </c>
      <c r="E19" s="81">
        <v>163</v>
      </c>
      <c r="F19" s="81">
        <v>181</v>
      </c>
      <c r="G19" s="81">
        <v>127</v>
      </c>
      <c r="H19" s="81">
        <v>116</v>
      </c>
      <c r="I19" s="81">
        <v>264</v>
      </c>
      <c r="J19" s="81">
        <v>185</v>
      </c>
      <c r="L19">
        <f>AVERAGE(Kolkatta)</f>
        <v>172.66666666666666</v>
      </c>
    </row>
    <row r="20" spans="1:12" x14ac:dyDescent="0.55000000000000004">
      <c r="A20" s="48" t="s">
        <v>115</v>
      </c>
      <c r="B20" s="48">
        <v>28623.225035670559</v>
      </c>
      <c r="D20" s="79" t="s">
        <v>163</v>
      </c>
      <c r="E20" s="81">
        <v>103</v>
      </c>
      <c r="F20" s="81">
        <v>102</v>
      </c>
      <c r="G20" s="81">
        <v>125</v>
      </c>
      <c r="H20" s="81">
        <v>221</v>
      </c>
      <c r="I20" s="81">
        <v>133</v>
      </c>
      <c r="J20" s="81">
        <v>239</v>
      </c>
      <c r="L20">
        <f>AVERAGE(Chennai)</f>
        <v>153.83333333333334</v>
      </c>
    </row>
    <row r="21" spans="1:12" x14ac:dyDescent="0.55000000000000004">
      <c r="A21" s="49" t="s">
        <v>174</v>
      </c>
      <c r="B21" s="49">
        <v>29218.491887919958</v>
      </c>
      <c r="D21" s="79" t="s">
        <v>164</v>
      </c>
      <c r="E21" s="81">
        <v>273</v>
      </c>
      <c r="F21" s="81">
        <v>180</v>
      </c>
      <c r="G21" s="81">
        <v>151</v>
      </c>
      <c r="H21" s="81">
        <v>183</v>
      </c>
      <c r="I21" s="81">
        <v>263</v>
      </c>
      <c r="J21" s="81">
        <v>179</v>
      </c>
      <c r="L21">
        <f>AVERAGE(Bangalore)</f>
        <v>204.83333333333334</v>
      </c>
    </row>
    <row r="22" spans="1:12" x14ac:dyDescent="0.55000000000000004">
      <c r="A22" s="48" t="s">
        <v>112</v>
      </c>
      <c r="B22" s="48">
        <v>22562.198701893918</v>
      </c>
      <c r="D22" s="79" t="s">
        <v>165</v>
      </c>
      <c r="E22" s="81">
        <v>284</v>
      </c>
      <c r="F22" s="81">
        <v>206</v>
      </c>
      <c r="G22" s="81">
        <v>158</v>
      </c>
      <c r="H22" s="81">
        <v>167</v>
      </c>
      <c r="I22" s="81">
        <v>168</v>
      </c>
      <c r="J22" s="81">
        <v>148</v>
      </c>
      <c r="L22">
        <f>AVERAGE(Delhi)</f>
        <v>188.5</v>
      </c>
    </row>
    <row r="23" spans="1:12" ht="14.7" thickBot="1" x14ac:dyDescent="0.6">
      <c r="A23" s="49" t="s">
        <v>174</v>
      </c>
      <c r="B23" s="49">
        <v>29933.758144872885</v>
      </c>
    </row>
    <row r="24" spans="1:12" ht="14.7" thickBot="1" x14ac:dyDescent="0.6">
      <c r="A24" s="48" t="s">
        <v>174</v>
      </c>
      <c r="B24" s="48">
        <v>22081.98352876541</v>
      </c>
      <c r="D24" s="82" t="s">
        <v>166</v>
      </c>
      <c r="E24" s="83"/>
      <c r="F24" s="83"/>
      <c r="G24" s="83"/>
      <c r="H24" s="83"/>
      <c r="I24" s="84"/>
    </row>
    <row r="25" spans="1:12" ht="14.7" thickBot="1" x14ac:dyDescent="0.6">
      <c r="A25" s="49" t="s">
        <v>174</v>
      </c>
      <c r="B25" s="49">
        <v>23675.205397835696</v>
      </c>
    </row>
    <row r="26" spans="1:12" ht="14.7" thickBot="1" x14ac:dyDescent="0.6">
      <c r="A26" s="48" t="s">
        <v>112</v>
      </c>
      <c r="B26" s="48">
        <v>18030.973584777308</v>
      </c>
      <c r="D26" s="82" t="s">
        <v>167</v>
      </c>
      <c r="E26" s="83"/>
      <c r="F26" s="83"/>
      <c r="G26" s="84"/>
    </row>
    <row r="27" spans="1:12" x14ac:dyDescent="0.55000000000000004">
      <c r="A27" s="49" t="s">
        <v>112</v>
      </c>
      <c r="B27" s="49">
        <v>29399.134604647796</v>
      </c>
    </row>
    <row r="28" spans="1:12" x14ac:dyDescent="0.55000000000000004">
      <c r="A28" s="48" t="s">
        <v>112</v>
      </c>
      <c r="B28" s="48">
        <v>28241.30365530814</v>
      </c>
    </row>
    <row r="29" spans="1:12" x14ac:dyDescent="0.55000000000000004">
      <c r="A29" s="49" t="s">
        <v>112</v>
      </c>
      <c r="B29" s="49">
        <v>22698.481805813812</v>
      </c>
      <c r="D29" s="79"/>
      <c r="E29" s="80" t="s">
        <v>168</v>
      </c>
      <c r="F29" s="80" t="s">
        <v>169</v>
      </c>
      <c r="G29" s="80" t="s">
        <v>170</v>
      </c>
      <c r="H29" s="80" t="s">
        <v>171</v>
      </c>
      <c r="I29" s="80" t="s">
        <v>172</v>
      </c>
      <c r="J29" s="80" t="s">
        <v>173</v>
      </c>
    </row>
    <row r="30" spans="1:12" x14ac:dyDescent="0.55000000000000004">
      <c r="A30" s="48" t="s">
        <v>174</v>
      </c>
      <c r="B30" s="48">
        <v>17924.14068073608</v>
      </c>
      <c r="D30" s="79" t="s">
        <v>160</v>
      </c>
      <c r="E30" s="81">
        <v>149</v>
      </c>
      <c r="F30" s="81">
        <v>202</v>
      </c>
      <c r="G30" s="81">
        <v>101</v>
      </c>
      <c r="H30" s="81">
        <v>271</v>
      </c>
      <c r="I30" s="81">
        <v>199</v>
      </c>
      <c r="J30" s="81">
        <v>118</v>
      </c>
    </row>
    <row r="31" spans="1:12" x14ac:dyDescent="0.55000000000000004">
      <c r="A31" s="49" t="s">
        <v>115</v>
      </c>
      <c r="B31" s="49">
        <v>29330.064770319725</v>
      </c>
      <c r="D31" s="79" t="s">
        <v>161</v>
      </c>
      <c r="E31" s="81">
        <v>226</v>
      </c>
      <c r="F31" s="81">
        <v>192</v>
      </c>
      <c r="G31" s="81">
        <v>112</v>
      </c>
      <c r="H31" s="81">
        <v>136</v>
      </c>
      <c r="I31" s="81">
        <v>174</v>
      </c>
      <c r="J31" s="81">
        <v>161</v>
      </c>
    </row>
    <row r="32" spans="1:12" x14ac:dyDescent="0.55000000000000004">
      <c r="A32" s="48" t="s">
        <v>112</v>
      </c>
      <c r="B32" s="48">
        <v>28630.231739962241</v>
      </c>
      <c r="D32" s="79" t="s">
        <v>162</v>
      </c>
      <c r="E32" s="81">
        <v>163</v>
      </c>
      <c r="F32" s="81">
        <v>181</v>
      </c>
      <c r="G32" s="81">
        <v>127</v>
      </c>
      <c r="H32" s="81">
        <v>116</v>
      </c>
      <c r="I32" s="81">
        <v>264</v>
      </c>
      <c r="J32" s="81">
        <v>185</v>
      </c>
    </row>
    <row r="33" spans="1:10" x14ac:dyDescent="0.55000000000000004">
      <c r="A33" s="49" t="s">
        <v>115</v>
      </c>
      <c r="B33" s="49">
        <v>28979.406763607614</v>
      </c>
      <c r="D33" s="79" t="s">
        <v>163</v>
      </c>
      <c r="E33" s="81">
        <v>103</v>
      </c>
      <c r="F33" s="81">
        <v>102</v>
      </c>
      <c r="G33" s="81">
        <v>125</v>
      </c>
      <c r="H33" s="81">
        <v>221</v>
      </c>
      <c r="I33" s="81">
        <v>133</v>
      </c>
      <c r="J33" s="81">
        <v>239</v>
      </c>
    </row>
    <row r="34" spans="1:10" x14ac:dyDescent="0.55000000000000004">
      <c r="A34" s="48" t="s">
        <v>115</v>
      </c>
      <c r="B34" s="48">
        <v>17971.509106976846</v>
      </c>
      <c r="D34" s="79" t="s">
        <v>164</v>
      </c>
      <c r="E34" s="81">
        <v>273</v>
      </c>
      <c r="F34" s="81">
        <v>180</v>
      </c>
      <c r="G34" s="81">
        <v>151</v>
      </c>
      <c r="H34" s="81">
        <v>183</v>
      </c>
      <c r="I34" s="81">
        <v>263</v>
      </c>
      <c r="J34" s="81">
        <v>179</v>
      </c>
    </row>
    <row r="35" spans="1:10" x14ac:dyDescent="0.55000000000000004">
      <c r="A35" s="49" t="s">
        <v>112</v>
      </c>
      <c r="B35" s="49">
        <v>22439.085787042535</v>
      </c>
      <c r="D35" s="79" t="s">
        <v>165</v>
      </c>
      <c r="E35" s="81">
        <v>284</v>
      </c>
      <c r="F35" s="81">
        <v>206</v>
      </c>
      <c r="G35" s="81">
        <v>158</v>
      </c>
      <c r="H35" s="81">
        <v>167</v>
      </c>
      <c r="I35" s="81">
        <v>168</v>
      </c>
      <c r="J35" s="81">
        <v>148</v>
      </c>
    </row>
    <row r="36" spans="1:10" x14ac:dyDescent="0.55000000000000004">
      <c r="A36" s="48" t="s">
        <v>174</v>
      </c>
      <c r="B36" s="48">
        <v>17971.046405579753</v>
      </c>
    </row>
    <row r="37" spans="1:10" x14ac:dyDescent="0.55000000000000004">
      <c r="A37" s="49" t="s">
        <v>174</v>
      </c>
      <c r="B37" s="49">
        <v>22404.148093208169</v>
      </c>
    </row>
    <row r="38" spans="1:10" x14ac:dyDescent="0.55000000000000004">
      <c r="A38" s="48" t="s">
        <v>112</v>
      </c>
      <c r="B38" s="48">
        <v>23304.600240269359</v>
      </c>
    </row>
    <row r="39" spans="1:10" x14ac:dyDescent="0.55000000000000004">
      <c r="A39" s="49" t="s">
        <v>174</v>
      </c>
      <c r="B39" s="49">
        <v>18011.323460166241</v>
      </c>
    </row>
    <row r="40" spans="1:10" x14ac:dyDescent="0.55000000000000004">
      <c r="A40" s="48" t="s">
        <v>115</v>
      </c>
      <c r="B40" s="48">
        <v>29655.443644745799</v>
      </c>
    </row>
    <row r="41" spans="1:10" x14ac:dyDescent="0.55000000000000004">
      <c r="A41" s="49" t="s">
        <v>174</v>
      </c>
      <c r="B41" s="49">
        <v>18726.776893566341</v>
      </c>
    </row>
    <row r="42" spans="1:10" x14ac:dyDescent="0.55000000000000004">
      <c r="A42" s="48" t="s">
        <v>112</v>
      </c>
      <c r="B42" s="48">
        <v>18307.886784062652</v>
      </c>
    </row>
    <row r="43" spans="1:10" x14ac:dyDescent="0.55000000000000004">
      <c r="A43" s="49" t="s">
        <v>115</v>
      </c>
      <c r="B43" s="49">
        <v>18106.976139688602</v>
      </c>
    </row>
    <row r="44" spans="1:10" x14ac:dyDescent="0.55000000000000004">
      <c r="A44" s="48" t="s">
        <v>174</v>
      </c>
      <c r="B44" s="48">
        <v>18160.329068783059</v>
      </c>
    </row>
    <row r="45" spans="1:10" x14ac:dyDescent="0.55000000000000004">
      <c r="A45" s="49" t="s">
        <v>174</v>
      </c>
      <c r="B45" s="49">
        <v>23885.916733738166</v>
      </c>
    </row>
    <row r="46" spans="1:10" x14ac:dyDescent="0.55000000000000004">
      <c r="A46" s="48" t="s">
        <v>112</v>
      </c>
      <c r="B46" s="48">
        <v>29950.558403881878</v>
      </c>
    </row>
    <row r="47" spans="1:10" x14ac:dyDescent="0.55000000000000004">
      <c r="A47" s="49" t="s">
        <v>112</v>
      </c>
      <c r="B47" s="49">
        <v>17826.592427427116</v>
      </c>
    </row>
    <row r="48" spans="1:10" x14ac:dyDescent="0.55000000000000004">
      <c r="A48" s="48" t="s">
        <v>174</v>
      </c>
      <c r="B48" s="48">
        <v>23497.359008259031</v>
      </c>
    </row>
    <row r="49" spans="1:2" x14ac:dyDescent="0.55000000000000004">
      <c r="A49" s="49" t="s">
        <v>174</v>
      </c>
      <c r="B49" s="49">
        <v>18743.238630136886</v>
      </c>
    </row>
    <row r="50" spans="1:2" x14ac:dyDescent="0.55000000000000004">
      <c r="A50" s="48" t="s">
        <v>174</v>
      </c>
      <c r="B50" s="48">
        <v>19362.939565074386</v>
      </c>
    </row>
    <row r="51" spans="1:2" x14ac:dyDescent="0.55000000000000004">
      <c r="A51" s="49" t="s">
        <v>112</v>
      </c>
      <c r="B51" s="49">
        <v>29044.49115991476</v>
      </c>
    </row>
    <row r="52" spans="1:2" x14ac:dyDescent="0.55000000000000004">
      <c r="A52" s="48" t="s">
        <v>112</v>
      </c>
      <c r="B52" s="48">
        <v>18396.372463944928</v>
      </c>
    </row>
    <row r="53" spans="1:2" x14ac:dyDescent="0.55000000000000004">
      <c r="A53" s="49" t="s">
        <v>115</v>
      </c>
      <c r="B53" s="49">
        <v>29840.563831020336</v>
      </c>
    </row>
    <row r="54" spans="1:2" x14ac:dyDescent="0.55000000000000004">
      <c r="A54" s="48" t="s">
        <v>115</v>
      </c>
      <c r="B54" s="48">
        <v>29878.321173671466</v>
      </c>
    </row>
    <row r="55" spans="1:2" x14ac:dyDescent="0.55000000000000004">
      <c r="A55" s="49" t="s">
        <v>112</v>
      </c>
      <c r="B55" s="49">
        <v>18752.597458180055</v>
      </c>
    </row>
    <row r="56" spans="1:2" x14ac:dyDescent="0.55000000000000004">
      <c r="A56" s="48" t="s">
        <v>174</v>
      </c>
      <c r="B56" s="48">
        <v>23019.195657104425</v>
      </c>
    </row>
    <row r="57" spans="1:2" x14ac:dyDescent="0.55000000000000004">
      <c r="A57" s="49" t="s">
        <v>112</v>
      </c>
      <c r="B57" s="49">
        <v>28408.112491197251</v>
      </c>
    </row>
    <row r="58" spans="1:2" x14ac:dyDescent="0.55000000000000004">
      <c r="A58" s="48" t="s">
        <v>115</v>
      </c>
      <c r="B58" s="48">
        <v>17580.721271938281</v>
      </c>
    </row>
    <row r="59" spans="1:2" x14ac:dyDescent="0.55000000000000004">
      <c r="A59" s="49" t="s">
        <v>112</v>
      </c>
      <c r="B59" s="49">
        <v>22388.684581018293</v>
      </c>
    </row>
    <row r="60" spans="1:2" x14ac:dyDescent="0.55000000000000004">
      <c r="A60" s="48" t="s">
        <v>115</v>
      </c>
      <c r="B60" s="48">
        <v>18524.005149634802</v>
      </c>
    </row>
    <row r="61" spans="1:2" x14ac:dyDescent="0.55000000000000004">
      <c r="A61" s="49" t="s">
        <v>115</v>
      </c>
      <c r="B61" s="49">
        <v>22476.479785110874</v>
      </c>
    </row>
    <row r="62" spans="1:2" x14ac:dyDescent="0.55000000000000004">
      <c r="A62" s="48" t="s">
        <v>115</v>
      </c>
      <c r="B62" s="48">
        <v>18005.494683348796</v>
      </c>
    </row>
    <row r="63" spans="1:2" x14ac:dyDescent="0.55000000000000004">
      <c r="A63" s="49" t="s">
        <v>174</v>
      </c>
      <c r="B63" s="49">
        <v>22567.956612244314</v>
      </c>
    </row>
    <row r="64" spans="1:2" x14ac:dyDescent="0.55000000000000004">
      <c r="A64" s="48" t="s">
        <v>174</v>
      </c>
      <c r="B64" s="48">
        <v>28612.91124302848</v>
      </c>
    </row>
    <row r="65" spans="1:2" x14ac:dyDescent="0.55000000000000004">
      <c r="A65" s="49" t="s">
        <v>112</v>
      </c>
      <c r="B65" s="49">
        <v>17609.124419639891</v>
      </c>
    </row>
    <row r="66" spans="1:2" x14ac:dyDescent="0.55000000000000004">
      <c r="A66" s="48" t="s">
        <v>112</v>
      </c>
      <c r="B66" s="48">
        <v>18536.841026331316</v>
      </c>
    </row>
    <row r="67" spans="1:2" x14ac:dyDescent="0.55000000000000004">
      <c r="A67" s="49" t="s">
        <v>174</v>
      </c>
      <c r="B67" s="49">
        <v>19175.768560069238</v>
      </c>
    </row>
    <row r="68" spans="1:2" x14ac:dyDescent="0.55000000000000004">
      <c r="A68" s="48" t="s">
        <v>112</v>
      </c>
      <c r="B68" s="48">
        <v>23925.600882375384</v>
      </c>
    </row>
    <row r="69" spans="1:2" x14ac:dyDescent="0.55000000000000004">
      <c r="A69" s="49" t="s">
        <v>112</v>
      </c>
      <c r="B69" s="49">
        <v>17526.255612009008</v>
      </c>
    </row>
    <row r="70" spans="1:2" x14ac:dyDescent="0.55000000000000004">
      <c r="A70" s="48" t="s">
        <v>174</v>
      </c>
      <c r="B70" s="48">
        <v>21993.539917263777</v>
      </c>
    </row>
    <row r="71" spans="1:2" x14ac:dyDescent="0.55000000000000004">
      <c r="A71" s="49" t="s">
        <v>174</v>
      </c>
      <c r="B71" s="49">
        <v>17703.470480363845</v>
      </c>
    </row>
    <row r="72" spans="1:2" x14ac:dyDescent="0.55000000000000004">
      <c r="A72" s="48" t="s">
        <v>112</v>
      </c>
      <c r="B72" s="48">
        <v>23019.505133209041</v>
      </c>
    </row>
    <row r="73" spans="1:2" x14ac:dyDescent="0.55000000000000004">
      <c r="A73" s="49" t="s">
        <v>174</v>
      </c>
      <c r="B73" s="49">
        <v>18814.985744112364</v>
      </c>
    </row>
    <row r="74" spans="1:2" x14ac:dyDescent="0.55000000000000004">
      <c r="A74" s="48" t="s">
        <v>112</v>
      </c>
      <c r="B74" s="48">
        <v>23130.842407230994</v>
      </c>
    </row>
    <row r="75" spans="1:2" x14ac:dyDescent="0.55000000000000004">
      <c r="A75" s="49" t="s">
        <v>115</v>
      </c>
      <c r="B75" s="49">
        <v>29305.152142944178</v>
      </c>
    </row>
    <row r="76" spans="1:2" x14ac:dyDescent="0.55000000000000004">
      <c r="A76" s="48" t="s">
        <v>112</v>
      </c>
      <c r="B76" s="48">
        <v>28938.590499168502</v>
      </c>
    </row>
    <row r="77" spans="1:2" x14ac:dyDescent="0.55000000000000004">
      <c r="A77" s="49" t="s">
        <v>174</v>
      </c>
      <c r="B77" s="49">
        <v>19128.034550716115</v>
      </c>
    </row>
    <row r="78" spans="1:2" x14ac:dyDescent="0.55000000000000004">
      <c r="A78" s="48" t="s">
        <v>115</v>
      </c>
      <c r="B78" s="48">
        <v>19108.697088470384</v>
      </c>
    </row>
    <row r="79" spans="1:2" x14ac:dyDescent="0.55000000000000004">
      <c r="A79" s="49" t="s">
        <v>112</v>
      </c>
      <c r="B79" s="49">
        <v>18824.684490402677</v>
      </c>
    </row>
    <row r="80" spans="1:2" x14ac:dyDescent="0.55000000000000004">
      <c r="A80" s="48" t="s">
        <v>115</v>
      </c>
      <c r="B80" s="48">
        <v>19182.079478938213</v>
      </c>
    </row>
    <row r="81" spans="1:2" x14ac:dyDescent="0.55000000000000004">
      <c r="A81" s="49" t="s">
        <v>112</v>
      </c>
      <c r="B81" s="49">
        <v>19458.241067955638</v>
      </c>
    </row>
    <row r="82" spans="1:2" x14ac:dyDescent="0.55000000000000004">
      <c r="A82" s="48" t="s">
        <v>115</v>
      </c>
      <c r="B82" s="48">
        <v>23863.917445635136</v>
      </c>
    </row>
    <row r="83" spans="1:2" x14ac:dyDescent="0.55000000000000004">
      <c r="A83" s="49" t="s">
        <v>174</v>
      </c>
      <c r="B83" s="49">
        <v>29161.44720216874</v>
      </c>
    </row>
    <row r="84" spans="1:2" x14ac:dyDescent="0.55000000000000004">
      <c r="A84" s="48" t="s">
        <v>112</v>
      </c>
      <c r="B84" s="48">
        <v>18083.296947853163</v>
      </c>
    </row>
    <row r="85" spans="1:2" x14ac:dyDescent="0.55000000000000004">
      <c r="A85" s="49" t="s">
        <v>174</v>
      </c>
      <c r="B85" s="49">
        <v>29592.8013940071</v>
      </c>
    </row>
    <row r="86" spans="1:2" x14ac:dyDescent="0.55000000000000004">
      <c r="A86" s="48" t="s">
        <v>115</v>
      </c>
      <c r="B86" s="48">
        <v>18656.465300367832</v>
      </c>
    </row>
    <row r="87" spans="1:2" x14ac:dyDescent="0.55000000000000004">
      <c r="A87" s="49" t="s">
        <v>112</v>
      </c>
      <c r="B87" s="49">
        <v>18116.151959975894</v>
      </c>
    </row>
    <row r="88" spans="1:2" x14ac:dyDescent="0.55000000000000004">
      <c r="A88" s="48" t="s">
        <v>115</v>
      </c>
      <c r="B88" s="48">
        <v>17723.554170863306</v>
      </c>
    </row>
    <row r="89" spans="1:2" x14ac:dyDescent="0.55000000000000004">
      <c r="A89" s="49" t="s">
        <v>115</v>
      </c>
      <c r="B89" s="49">
        <v>22277.43739371109</v>
      </c>
    </row>
    <row r="90" spans="1:2" x14ac:dyDescent="0.55000000000000004">
      <c r="A90" s="48" t="s">
        <v>115</v>
      </c>
      <c r="B90" s="48">
        <v>22286.186704651966</v>
      </c>
    </row>
    <row r="91" spans="1:2" x14ac:dyDescent="0.55000000000000004">
      <c r="A91" s="49" t="s">
        <v>174</v>
      </c>
      <c r="B91" s="49">
        <v>17633.343464972953</v>
      </c>
    </row>
    <row r="92" spans="1:2" x14ac:dyDescent="0.55000000000000004">
      <c r="A92" s="48" t="s">
        <v>115</v>
      </c>
      <c r="B92" s="48">
        <v>18432.7249493745</v>
      </c>
    </row>
    <row r="93" spans="1:2" x14ac:dyDescent="0.55000000000000004">
      <c r="A93" s="49" t="s">
        <v>174</v>
      </c>
      <c r="B93" s="49">
        <v>28593.790647684127</v>
      </c>
    </row>
    <row r="94" spans="1:2" x14ac:dyDescent="0.55000000000000004">
      <c r="A94" s="48" t="s">
        <v>112</v>
      </c>
      <c r="B94" s="48">
        <v>22284.633245584329</v>
      </c>
    </row>
    <row r="95" spans="1:2" x14ac:dyDescent="0.55000000000000004">
      <c r="A95" s="49" t="s">
        <v>112</v>
      </c>
      <c r="B95" s="49">
        <v>23024.927408436568</v>
      </c>
    </row>
    <row r="96" spans="1:2" x14ac:dyDescent="0.55000000000000004">
      <c r="A96" s="48" t="s">
        <v>112</v>
      </c>
      <c r="B96" s="48">
        <v>19515.512542468194</v>
      </c>
    </row>
    <row r="97" spans="1:2" x14ac:dyDescent="0.55000000000000004">
      <c r="A97" s="49" t="s">
        <v>112</v>
      </c>
      <c r="B97" s="49">
        <v>29236.399061726446</v>
      </c>
    </row>
    <row r="98" spans="1:2" x14ac:dyDescent="0.55000000000000004">
      <c r="A98" s="48" t="s">
        <v>115</v>
      </c>
      <c r="B98" s="48">
        <v>18018.236796959958</v>
      </c>
    </row>
    <row r="99" spans="1:2" x14ac:dyDescent="0.55000000000000004">
      <c r="A99" s="49" t="s">
        <v>174</v>
      </c>
      <c r="B99" s="49">
        <v>22444.652116386926</v>
      </c>
    </row>
    <row r="100" spans="1:2" x14ac:dyDescent="0.55000000000000004">
      <c r="A100" s="48" t="s">
        <v>112</v>
      </c>
      <c r="B100" s="48">
        <v>18246.104685811701</v>
      </c>
    </row>
    <row r="101" spans="1:2" x14ac:dyDescent="0.55000000000000004">
      <c r="A101" s="49" t="s">
        <v>174</v>
      </c>
      <c r="B101" s="49">
        <v>29185.35181593243</v>
      </c>
    </row>
    <row r="102" spans="1:2" x14ac:dyDescent="0.55000000000000004">
      <c r="A102" s="48" t="s">
        <v>174</v>
      </c>
      <c r="B102" s="48">
        <v>23836.682688501649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N58"/>
  <sheetViews>
    <sheetView zoomScaleNormal="100" workbookViewId="0">
      <selection activeCell="N49" sqref="N49"/>
    </sheetView>
  </sheetViews>
  <sheetFormatPr defaultRowHeight="14.4" x14ac:dyDescent="0.55000000000000004"/>
  <cols>
    <col min="1" max="1" width="23.26171875" bestFit="1" customWidth="1"/>
    <col min="2" max="2" width="11.26171875" customWidth="1"/>
    <col min="3" max="3" width="15.41796875" bestFit="1" customWidth="1"/>
    <col min="4" max="5" width="10.578125" customWidth="1"/>
    <col min="6" max="13" width="10.578125" bestFit="1" customWidth="1"/>
    <col min="14" max="14" width="11.15625" customWidth="1"/>
    <col min="257" max="257" width="23.26171875" bestFit="1" customWidth="1"/>
    <col min="258" max="258" width="11.26171875" customWidth="1"/>
    <col min="259" max="261" width="10.578125" customWidth="1"/>
    <col min="262" max="269" width="10.578125" bestFit="1" customWidth="1"/>
    <col min="270" max="270" width="7.26171875" customWidth="1"/>
    <col min="513" max="513" width="23.26171875" bestFit="1" customWidth="1"/>
    <col min="514" max="514" width="11.26171875" customWidth="1"/>
    <col min="515" max="517" width="10.578125" customWidth="1"/>
    <col min="518" max="525" width="10.578125" bestFit="1" customWidth="1"/>
    <col min="526" max="526" width="7.26171875" customWidth="1"/>
    <col min="769" max="769" width="23.26171875" bestFit="1" customWidth="1"/>
    <col min="770" max="770" width="11.26171875" customWidth="1"/>
    <col min="771" max="773" width="10.578125" customWidth="1"/>
    <col min="774" max="781" width="10.578125" bestFit="1" customWidth="1"/>
    <col min="782" max="782" width="7.26171875" customWidth="1"/>
    <col min="1025" max="1025" width="23.26171875" bestFit="1" customWidth="1"/>
    <col min="1026" max="1026" width="11.26171875" customWidth="1"/>
    <col min="1027" max="1029" width="10.578125" customWidth="1"/>
    <col min="1030" max="1037" width="10.578125" bestFit="1" customWidth="1"/>
    <col min="1038" max="1038" width="7.26171875" customWidth="1"/>
    <col min="1281" max="1281" width="23.26171875" bestFit="1" customWidth="1"/>
    <col min="1282" max="1282" width="11.26171875" customWidth="1"/>
    <col min="1283" max="1285" width="10.578125" customWidth="1"/>
    <col min="1286" max="1293" width="10.578125" bestFit="1" customWidth="1"/>
    <col min="1294" max="1294" width="7.26171875" customWidth="1"/>
    <col min="1537" max="1537" width="23.26171875" bestFit="1" customWidth="1"/>
    <col min="1538" max="1538" width="11.26171875" customWidth="1"/>
    <col min="1539" max="1541" width="10.578125" customWidth="1"/>
    <col min="1542" max="1549" width="10.578125" bestFit="1" customWidth="1"/>
    <col min="1550" max="1550" width="7.26171875" customWidth="1"/>
    <col min="1793" max="1793" width="23.26171875" bestFit="1" customWidth="1"/>
    <col min="1794" max="1794" width="11.26171875" customWidth="1"/>
    <col min="1795" max="1797" width="10.578125" customWidth="1"/>
    <col min="1798" max="1805" width="10.578125" bestFit="1" customWidth="1"/>
    <col min="1806" max="1806" width="7.26171875" customWidth="1"/>
    <col min="2049" max="2049" width="23.26171875" bestFit="1" customWidth="1"/>
    <col min="2050" max="2050" width="11.26171875" customWidth="1"/>
    <col min="2051" max="2053" width="10.578125" customWidth="1"/>
    <col min="2054" max="2061" width="10.578125" bestFit="1" customWidth="1"/>
    <col min="2062" max="2062" width="7.26171875" customWidth="1"/>
    <col min="2305" max="2305" width="23.26171875" bestFit="1" customWidth="1"/>
    <col min="2306" max="2306" width="11.26171875" customWidth="1"/>
    <col min="2307" max="2309" width="10.578125" customWidth="1"/>
    <col min="2310" max="2317" width="10.578125" bestFit="1" customWidth="1"/>
    <col min="2318" max="2318" width="7.26171875" customWidth="1"/>
    <col min="2561" max="2561" width="23.26171875" bestFit="1" customWidth="1"/>
    <col min="2562" max="2562" width="11.26171875" customWidth="1"/>
    <col min="2563" max="2565" width="10.578125" customWidth="1"/>
    <col min="2566" max="2573" width="10.578125" bestFit="1" customWidth="1"/>
    <col min="2574" max="2574" width="7.26171875" customWidth="1"/>
    <col min="2817" max="2817" width="23.26171875" bestFit="1" customWidth="1"/>
    <col min="2818" max="2818" width="11.26171875" customWidth="1"/>
    <col min="2819" max="2821" width="10.578125" customWidth="1"/>
    <col min="2822" max="2829" width="10.578125" bestFit="1" customWidth="1"/>
    <col min="2830" max="2830" width="7.26171875" customWidth="1"/>
    <col min="3073" max="3073" width="23.26171875" bestFit="1" customWidth="1"/>
    <col min="3074" max="3074" width="11.26171875" customWidth="1"/>
    <col min="3075" max="3077" width="10.578125" customWidth="1"/>
    <col min="3078" max="3085" width="10.578125" bestFit="1" customWidth="1"/>
    <col min="3086" max="3086" width="7.26171875" customWidth="1"/>
    <col min="3329" max="3329" width="23.26171875" bestFit="1" customWidth="1"/>
    <col min="3330" max="3330" width="11.26171875" customWidth="1"/>
    <col min="3331" max="3333" width="10.578125" customWidth="1"/>
    <col min="3334" max="3341" width="10.578125" bestFit="1" customWidth="1"/>
    <col min="3342" max="3342" width="7.26171875" customWidth="1"/>
    <col min="3585" max="3585" width="23.26171875" bestFit="1" customWidth="1"/>
    <col min="3586" max="3586" width="11.26171875" customWidth="1"/>
    <col min="3587" max="3589" width="10.578125" customWidth="1"/>
    <col min="3590" max="3597" width="10.578125" bestFit="1" customWidth="1"/>
    <col min="3598" max="3598" width="7.26171875" customWidth="1"/>
    <col min="3841" max="3841" width="23.26171875" bestFit="1" customWidth="1"/>
    <col min="3842" max="3842" width="11.26171875" customWidth="1"/>
    <col min="3843" max="3845" width="10.578125" customWidth="1"/>
    <col min="3846" max="3853" width="10.578125" bestFit="1" customWidth="1"/>
    <col min="3854" max="3854" width="7.26171875" customWidth="1"/>
    <col min="4097" max="4097" width="23.26171875" bestFit="1" customWidth="1"/>
    <col min="4098" max="4098" width="11.26171875" customWidth="1"/>
    <col min="4099" max="4101" width="10.578125" customWidth="1"/>
    <col min="4102" max="4109" width="10.578125" bestFit="1" customWidth="1"/>
    <col min="4110" max="4110" width="7.26171875" customWidth="1"/>
    <col min="4353" max="4353" width="23.26171875" bestFit="1" customWidth="1"/>
    <col min="4354" max="4354" width="11.26171875" customWidth="1"/>
    <col min="4355" max="4357" width="10.578125" customWidth="1"/>
    <col min="4358" max="4365" width="10.578125" bestFit="1" customWidth="1"/>
    <col min="4366" max="4366" width="7.26171875" customWidth="1"/>
    <col min="4609" max="4609" width="23.26171875" bestFit="1" customWidth="1"/>
    <col min="4610" max="4610" width="11.26171875" customWidth="1"/>
    <col min="4611" max="4613" width="10.578125" customWidth="1"/>
    <col min="4614" max="4621" width="10.578125" bestFit="1" customWidth="1"/>
    <col min="4622" max="4622" width="7.26171875" customWidth="1"/>
    <col min="4865" max="4865" width="23.26171875" bestFit="1" customWidth="1"/>
    <col min="4866" max="4866" width="11.26171875" customWidth="1"/>
    <col min="4867" max="4869" width="10.578125" customWidth="1"/>
    <col min="4870" max="4877" width="10.578125" bestFit="1" customWidth="1"/>
    <col min="4878" max="4878" width="7.26171875" customWidth="1"/>
    <col min="5121" max="5121" width="23.26171875" bestFit="1" customWidth="1"/>
    <col min="5122" max="5122" width="11.26171875" customWidth="1"/>
    <col min="5123" max="5125" width="10.578125" customWidth="1"/>
    <col min="5126" max="5133" width="10.578125" bestFit="1" customWidth="1"/>
    <col min="5134" max="5134" width="7.26171875" customWidth="1"/>
    <col min="5377" max="5377" width="23.26171875" bestFit="1" customWidth="1"/>
    <col min="5378" max="5378" width="11.26171875" customWidth="1"/>
    <col min="5379" max="5381" width="10.578125" customWidth="1"/>
    <col min="5382" max="5389" width="10.578125" bestFit="1" customWidth="1"/>
    <col min="5390" max="5390" width="7.26171875" customWidth="1"/>
    <col min="5633" max="5633" width="23.26171875" bestFit="1" customWidth="1"/>
    <col min="5634" max="5634" width="11.26171875" customWidth="1"/>
    <col min="5635" max="5637" width="10.578125" customWidth="1"/>
    <col min="5638" max="5645" width="10.578125" bestFit="1" customWidth="1"/>
    <col min="5646" max="5646" width="7.26171875" customWidth="1"/>
    <col min="5889" max="5889" width="23.26171875" bestFit="1" customWidth="1"/>
    <col min="5890" max="5890" width="11.26171875" customWidth="1"/>
    <col min="5891" max="5893" width="10.578125" customWidth="1"/>
    <col min="5894" max="5901" width="10.578125" bestFit="1" customWidth="1"/>
    <col min="5902" max="5902" width="7.26171875" customWidth="1"/>
    <col min="6145" max="6145" width="23.26171875" bestFit="1" customWidth="1"/>
    <col min="6146" max="6146" width="11.26171875" customWidth="1"/>
    <col min="6147" max="6149" width="10.578125" customWidth="1"/>
    <col min="6150" max="6157" width="10.578125" bestFit="1" customWidth="1"/>
    <col min="6158" max="6158" width="7.26171875" customWidth="1"/>
    <col min="6401" max="6401" width="23.26171875" bestFit="1" customWidth="1"/>
    <col min="6402" max="6402" width="11.26171875" customWidth="1"/>
    <col min="6403" max="6405" width="10.578125" customWidth="1"/>
    <col min="6406" max="6413" width="10.578125" bestFit="1" customWidth="1"/>
    <col min="6414" max="6414" width="7.26171875" customWidth="1"/>
    <col min="6657" max="6657" width="23.26171875" bestFit="1" customWidth="1"/>
    <col min="6658" max="6658" width="11.26171875" customWidth="1"/>
    <col min="6659" max="6661" width="10.578125" customWidth="1"/>
    <col min="6662" max="6669" width="10.578125" bestFit="1" customWidth="1"/>
    <col min="6670" max="6670" width="7.26171875" customWidth="1"/>
    <col min="6913" max="6913" width="23.26171875" bestFit="1" customWidth="1"/>
    <col min="6914" max="6914" width="11.26171875" customWidth="1"/>
    <col min="6915" max="6917" width="10.578125" customWidth="1"/>
    <col min="6918" max="6925" width="10.578125" bestFit="1" customWidth="1"/>
    <col min="6926" max="6926" width="7.26171875" customWidth="1"/>
    <col min="7169" max="7169" width="23.26171875" bestFit="1" customWidth="1"/>
    <col min="7170" max="7170" width="11.26171875" customWidth="1"/>
    <col min="7171" max="7173" width="10.578125" customWidth="1"/>
    <col min="7174" max="7181" width="10.578125" bestFit="1" customWidth="1"/>
    <col min="7182" max="7182" width="7.26171875" customWidth="1"/>
    <col min="7425" max="7425" width="23.26171875" bestFit="1" customWidth="1"/>
    <col min="7426" max="7426" width="11.26171875" customWidth="1"/>
    <col min="7427" max="7429" width="10.578125" customWidth="1"/>
    <col min="7430" max="7437" width="10.578125" bestFit="1" customWidth="1"/>
    <col min="7438" max="7438" width="7.26171875" customWidth="1"/>
    <col min="7681" max="7681" width="23.26171875" bestFit="1" customWidth="1"/>
    <col min="7682" max="7682" width="11.26171875" customWidth="1"/>
    <col min="7683" max="7685" width="10.578125" customWidth="1"/>
    <col min="7686" max="7693" width="10.578125" bestFit="1" customWidth="1"/>
    <col min="7694" max="7694" width="7.26171875" customWidth="1"/>
    <col min="7937" max="7937" width="23.26171875" bestFit="1" customWidth="1"/>
    <col min="7938" max="7938" width="11.26171875" customWidth="1"/>
    <col min="7939" max="7941" width="10.578125" customWidth="1"/>
    <col min="7942" max="7949" width="10.578125" bestFit="1" customWidth="1"/>
    <col min="7950" max="7950" width="7.26171875" customWidth="1"/>
    <col min="8193" max="8193" width="23.26171875" bestFit="1" customWidth="1"/>
    <col min="8194" max="8194" width="11.26171875" customWidth="1"/>
    <col min="8195" max="8197" width="10.578125" customWidth="1"/>
    <col min="8198" max="8205" width="10.578125" bestFit="1" customWidth="1"/>
    <col min="8206" max="8206" width="7.26171875" customWidth="1"/>
    <col min="8449" max="8449" width="23.26171875" bestFit="1" customWidth="1"/>
    <col min="8450" max="8450" width="11.26171875" customWidth="1"/>
    <col min="8451" max="8453" width="10.578125" customWidth="1"/>
    <col min="8454" max="8461" width="10.578125" bestFit="1" customWidth="1"/>
    <col min="8462" max="8462" width="7.26171875" customWidth="1"/>
    <col min="8705" max="8705" width="23.26171875" bestFit="1" customWidth="1"/>
    <col min="8706" max="8706" width="11.26171875" customWidth="1"/>
    <col min="8707" max="8709" width="10.578125" customWidth="1"/>
    <col min="8710" max="8717" width="10.578125" bestFit="1" customWidth="1"/>
    <col min="8718" max="8718" width="7.26171875" customWidth="1"/>
    <col min="8961" max="8961" width="23.26171875" bestFit="1" customWidth="1"/>
    <col min="8962" max="8962" width="11.26171875" customWidth="1"/>
    <col min="8963" max="8965" width="10.578125" customWidth="1"/>
    <col min="8966" max="8973" width="10.578125" bestFit="1" customWidth="1"/>
    <col min="8974" max="8974" width="7.26171875" customWidth="1"/>
    <col min="9217" max="9217" width="23.26171875" bestFit="1" customWidth="1"/>
    <col min="9218" max="9218" width="11.26171875" customWidth="1"/>
    <col min="9219" max="9221" width="10.578125" customWidth="1"/>
    <col min="9222" max="9229" width="10.578125" bestFit="1" customWidth="1"/>
    <col min="9230" max="9230" width="7.26171875" customWidth="1"/>
    <col min="9473" max="9473" width="23.26171875" bestFit="1" customWidth="1"/>
    <col min="9474" max="9474" width="11.26171875" customWidth="1"/>
    <col min="9475" max="9477" width="10.578125" customWidth="1"/>
    <col min="9478" max="9485" width="10.578125" bestFit="1" customWidth="1"/>
    <col min="9486" max="9486" width="7.26171875" customWidth="1"/>
    <col min="9729" max="9729" width="23.26171875" bestFit="1" customWidth="1"/>
    <col min="9730" max="9730" width="11.26171875" customWidth="1"/>
    <col min="9731" max="9733" width="10.578125" customWidth="1"/>
    <col min="9734" max="9741" width="10.578125" bestFit="1" customWidth="1"/>
    <col min="9742" max="9742" width="7.26171875" customWidth="1"/>
    <col min="9985" max="9985" width="23.26171875" bestFit="1" customWidth="1"/>
    <col min="9986" max="9986" width="11.26171875" customWidth="1"/>
    <col min="9987" max="9989" width="10.578125" customWidth="1"/>
    <col min="9990" max="9997" width="10.578125" bestFit="1" customWidth="1"/>
    <col min="9998" max="9998" width="7.26171875" customWidth="1"/>
    <col min="10241" max="10241" width="23.26171875" bestFit="1" customWidth="1"/>
    <col min="10242" max="10242" width="11.26171875" customWidth="1"/>
    <col min="10243" max="10245" width="10.578125" customWidth="1"/>
    <col min="10246" max="10253" width="10.578125" bestFit="1" customWidth="1"/>
    <col min="10254" max="10254" width="7.26171875" customWidth="1"/>
    <col min="10497" max="10497" width="23.26171875" bestFit="1" customWidth="1"/>
    <col min="10498" max="10498" width="11.26171875" customWidth="1"/>
    <col min="10499" max="10501" width="10.578125" customWidth="1"/>
    <col min="10502" max="10509" width="10.578125" bestFit="1" customWidth="1"/>
    <col min="10510" max="10510" width="7.26171875" customWidth="1"/>
    <col min="10753" max="10753" width="23.26171875" bestFit="1" customWidth="1"/>
    <col min="10754" max="10754" width="11.26171875" customWidth="1"/>
    <col min="10755" max="10757" width="10.578125" customWidth="1"/>
    <col min="10758" max="10765" width="10.578125" bestFit="1" customWidth="1"/>
    <col min="10766" max="10766" width="7.26171875" customWidth="1"/>
    <col min="11009" max="11009" width="23.26171875" bestFit="1" customWidth="1"/>
    <col min="11010" max="11010" width="11.26171875" customWidth="1"/>
    <col min="11011" max="11013" width="10.578125" customWidth="1"/>
    <col min="11014" max="11021" width="10.578125" bestFit="1" customWidth="1"/>
    <col min="11022" max="11022" width="7.26171875" customWidth="1"/>
    <col min="11265" max="11265" width="23.26171875" bestFit="1" customWidth="1"/>
    <col min="11266" max="11266" width="11.26171875" customWidth="1"/>
    <col min="11267" max="11269" width="10.578125" customWidth="1"/>
    <col min="11270" max="11277" width="10.578125" bestFit="1" customWidth="1"/>
    <col min="11278" max="11278" width="7.26171875" customWidth="1"/>
    <col min="11521" max="11521" width="23.26171875" bestFit="1" customWidth="1"/>
    <col min="11522" max="11522" width="11.26171875" customWidth="1"/>
    <col min="11523" max="11525" width="10.578125" customWidth="1"/>
    <col min="11526" max="11533" width="10.578125" bestFit="1" customWidth="1"/>
    <col min="11534" max="11534" width="7.26171875" customWidth="1"/>
    <col min="11777" max="11777" width="23.26171875" bestFit="1" customWidth="1"/>
    <col min="11778" max="11778" width="11.26171875" customWidth="1"/>
    <col min="11779" max="11781" width="10.578125" customWidth="1"/>
    <col min="11782" max="11789" width="10.578125" bestFit="1" customWidth="1"/>
    <col min="11790" max="11790" width="7.26171875" customWidth="1"/>
    <col min="12033" max="12033" width="23.26171875" bestFit="1" customWidth="1"/>
    <col min="12034" max="12034" width="11.26171875" customWidth="1"/>
    <col min="12035" max="12037" width="10.578125" customWidth="1"/>
    <col min="12038" max="12045" width="10.578125" bestFit="1" customWidth="1"/>
    <col min="12046" max="12046" width="7.26171875" customWidth="1"/>
    <col min="12289" max="12289" width="23.26171875" bestFit="1" customWidth="1"/>
    <col min="12290" max="12290" width="11.26171875" customWidth="1"/>
    <col min="12291" max="12293" width="10.578125" customWidth="1"/>
    <col min="12294" max="12301" width="10.578125" bestFit="1" customWidth="1"/>
    <col min="12302" max="12302" width="7.26171875" customWidth="1"/>
    <col min="12545" max="12545" width="23.26171875" bestFit="1" customWidth="1"/>
    <col min="12546" max="12546" width="11.26171875" customWidth="1"/>
    <col min="12547" max="12549" width="10.578125" customWidth="1"/>
    <col min="12550" max="12557" width="10.578125" bestFit="1" customWidth="1"/>
    <col min="12558" max="12558" width="7.26171875" customWidth="1"/>
    <col min="12801" max="12801" width="23.26171875" bestFit="1" customWidth="1"/>
    <col min="12802" max="12802" width="11.26171875" customWidth="1"/>
    <col min="12803" max="12805" width="10.578125" customWidth="1"/>
    <col min="12806" max="12813" width="10.578125" bestFit="1" customWidth="1"/>
    <col min="12814" max="12814" width="7.26171875" customWidth="1"/>
    <col min="13057" max="13057" width="23.26171875" bestFit="1" customWidth="1"/>
    <col min="13058" max="13058" width="11.26171875" customWidth="1"/>
    <col min="13059" max="13061" width="10.578125" customWidth="1"/>
    <col min="13062" max="13069" width="10.578125" bestFit="1" customWidth="1"/>
    <col min="13070" max="13070" width="7.26171875" customWidth="1"/>
    <col min="13313" max="13313" width="23.26171875" bestFit="1" customWidth="1"/>
    <col min="13314" max="13314" width="11.26171875" customWidth="1"/>
    <col min="13315" max="13317" width="10.578125" customWidth="1"/>
    <col min="13318" max="13325" width="10.578125" bestFit="1" customWidth="1"/>
    <col min="13326" max="13326" width="7.26171875" customWidth="1"/>
    <col min="13569" max="13569" width="23.26171875" bestFit="1" customWidth="1"/>
    <col min="13570" max="13570" width="11.26171875" customWidth="1"/>
    <col min="13571" max="13573" width="10.578125" customWidth="1"/>
    <col min="13574" max="13581" width="10.578125" bestFit="1" customWidth="1"/>
    <col min="13582" max="13582" width="7.26171875" customWidth="1"/>
    <col min="13825" max="13825" width="23.26171875" bestFit="1" customWidth="1"/>
    <col min="13826" max="13826" width="11.26171875" customWidth="1"/>
    <col min="13827" max="13829" width="10.578125" customWidth="1"/>
    <col min="13830" max="13837" width="10.578125" bestFit="1" customWidth="1"/>
    <col min="13838" max="13838" width="7.26171875" customWidth="1"/>
    <col min="14081" max="14081" width="23.26171875" bestFit="1" customWidth="1"/>
    <col min="14082" max="14082" width="11.26171875" customWidth="1"/>
    <col min="14083" max="14085" width="10.578125" customWidth="1"/>
    <col min="14086" max="14093" width="10.578125" bestFit="1" customWidth="1"/>
    <col min="14094" max="14094" width="7.26171875" customWidth="1"/>
    <col min="14337" max="14337" width="23.26171875" bestFit="1" customWidth="1"/>
    <col min="14338" max="14338" width="11.26171875" customWidth="1"/>
    <col min="14339" max="14341" width="10.578125" customWidth="1"/>
    <col min="14342" max="14349" width="10.578125" bestFit="1" customWidth="1"/>
    <col min="14350" max="14350" width="7.26171875" customWidth="1"/>
    <col min="14593" max="14593" width="23.26171875" bestFit="1" customWidth="1"/>
    <col min="14594" max="14594" width="11.26171875" customWidth="1"/>
    <col min="14595" max="14597" width="10.578125" customWidth="1"/>
    <col min="14598" max="14605" width="10.578125" bestFit="1" customWidth="1"/>
    <col min="14606" max="14606" width="7.26171875" customWidth="1"/>
    <col min="14849" max="14849" width="23.26171875" bestFit="1" customWidth="1"/>
    <col min="14850" max="14850" width="11.26171875" customWidth="1"/>
    <col min="14851" max="14853" width="10.578125" customWidth="1"/>
    <col min="14854" max="14861" width="10.578125" bestFit="1" customWidth="1"/>
    <col min="14862" max="14862" width="7.26171875" customWidth="1"/>
    <col min="15105" max="15105" width="23.26171875" bestFit="1" customWidth="1"/>
    <col min="15106" max="15106" width="11.26171875" customWidth="1"/>
    <col min="15107" max="15109" width="10.578125" customWidth="1"/>
    <col min="15110" max="15117" width="10.578125" bestFit="1" customWidth="1"/>
    <col min="15118" max="15118" width="7.26171875" customWidth="1"/>
    <col min="15361" max="15361" width="23.26171875" bestFit="1" customWidth="1"/>
    <col min="15362" max="15362" width="11.26171875" customWidth="1"/>
    <col min="15363" max="15365" width="10.578125" customWidth="1"/>
    <col min="15366" max="15373" width="10.578125" bestFit="1" customWidth="1"/>
    <col min="15374" max="15374" width="7.26171875" customWidth="1"/>
    <col min="15617" max="15617" width="23.26171875" bestFit="1" customWidth="1"/>
    <col min="15618" max="15618" width="11.26171875" customWidth="1"/>
    <col min="15619" max="15621" width="10.578125" customWidth="1"/>
    <col min="15622" max="15629" width="10.578125" bestFit="1" customWidth="1"/>
    <col min="15630" max="15630" width="7.26171875" customWidth="1"/>
    <col min="15873" max="15873" width="23.26171875" bestFit="1" customWidth="1"/>
    <col min="15874" max="15874" width="11.26171875" customWidth="1"/>
    <col min="15875" max="15877" width="10.578125" customWidth="1"/>
    <col min="15878" max="15885" width="10.578125" bestFit="1" customWidth="1"/>
    <col min="15886" max="15886" width="7.26171875" customWidth="1"/>
    <col min="16129" max="16129" width="23.26171875" bestFit="1" customWidth="1"/>
    <col min="16130" max="16130" width="11.26171875" customWidth="1"/>
    <col min="16131" max="16133" width="10.578125" customWidth="1"/>
    <col min="16134" max="16141" width="10.578125" bestFit="1" customWidth="1"/>
    <col min="16142" max="16142" width="7.26171875" customWidth="1"/>
  </cols>
  <sheetData>
    <row r="1" spans="1:5" x14ac:dyDescent="0.55000000000000004">
      <c r="A1" s="36"/>
      <c r="B1" s="36"/>
      <c r="C1" s="36"/>
    </row>
    <row r="2" spans="1:5" x14ac:dyDescent="0.55000000000000004">
      <c r="A2" s="51" t="s">
        <v>119</v>
      </c>
      <c r="B2" s="51"/>
      <c r="C2" s="51"/>
    </row>
    <row r="3" spans="1:5" x14ac:dyDescent="0.55000000000000004">
      <c r="A3" s="38" t="s">
        <v>120</v>
      </c>
      <c r="B3" s="38" t="s">
        <v>121</v>
      </c>
      <c r="C3" s="38" t="s">
        <v>59</v>
      </c>
    </row>
    <row r="4" spans="1:5" x14ac:dyDescent="0.55000000000000004">
      <c r="A4" s="85">
        <v>211</v>
      </c>
      <c r="B4" s="85">
        <v>479</v>
      </c>
      <c r="C4" s="52">
        <f>SUM(A4:B4)</f>
        <v>690</v>
      </c>
    </row>
    <row r="5" spans="1:5" x14ac:dyDescent="0.55000000000000004">
      <c r="A5" s="85">
        <v>108</v>
      </c>
      <c r="B5" s="85">
        <v>473</v>
      </c>
      <c r="C5" s="52">
        <f t="shared" ref="C5:C9" si="0">SUM(A5:B5)</f>
        <v>581</v>
      </c>
    </row>
    <row r="6" spans="1:5" x14ac:dyDescent="0.55000000000000004">
      <c r="A6" s="85">
        <v>87</v>
      </c>
      <c r="B6" s="85">
        <v>18</v>
      </c>
      <c r="C6" s="52">
        <f t="shared" si="0"/>
        <v>105</v>
      </c>
    </row>
    <row r="7" spans="1:5" x14ac:dyDescent="0.55000000000000004">
      <c r="A7" s="85">
        <v>227</v>
      </c>
      <c r="B7" s="85">
        <v>256</v>
      </c>
      <c r="C7" s="52">
        <f t="shared" si="0"/>
        <v>483</v>
      </c>
    </row>
    <row r="8" spans="1:5" x14ac:dyDescent="0.55000000000000004">
      <c r="A8" s="85">
        <v>302</v>
      </c>
      <c r="B8" s="85">
        <v>421</v>
      </c>
      <c r="C8" s="52">
        <f t="shared" si="0"/>
        <v>723</v>
      </c>
    </row>
    <row r="9" spans="1:5" x14ac:dyDescent="0.55000000000000004">
      <c r="A9" s="53">
        <f>SUM(A4:A8)</f>
        <v>935</v>
      </c>
      <c r="B9" s="53">
        <f>SUM(B4:B8)</f>
        <v>1647</v>
      </c>
      <c r="C9" s="52">
        <f t="shared" si="0"/>
        <v>2582</v>
      </c>
    </row>
    <row r="11" spans="1:5" x14ac:dyDescent="0.55000000000000004">
      <c r="A11" s="36"/>
      <c r="B11" s="36"/>
      <c r="C11" s="36"/>
    </row>
    <row r="12" spans="1:5" x14ac:dyDescent="0.55000000000000004">
      <c r="A12" s="54" t="s">
        <v>122</v>
      </c>
      <c r="B12" s="54"/>
      <c r="C12" s="54"/>
      <c r="D12" s="54"/>
      <c r="E12" s="54"/>
    </row>
    <row r="13" spans="1:5" x14ac:dyDescent="0.55000000000000004">
      <c r="A13" s="54" t="s">
        <v>123</v>
      </c>
      <c r="B13" s="54"/>
      <c r="C13" s="54"/>
      <c r="D13" s="54"/>
      <c r="E13" s="54"/>
    </row>
    <row r="14" spans="1:5" x14ac:dyDescent="0.55000000000000004">
      <c r="A14" s="54" t="s">
        <v>124</v>
      </c>
      <c r="B14" s="54"/>
      <c r="C14" s="54"/>
      <c r="D14" s="54"/>
      <c r="E14" s="54"/>
    </row>
    <row r="15" spans="1:5" ht="57.6" x14ac:dyDescent="0.55000000000000004">
      <c r="A15" s="55" t="s">
        <v>125</v>
      </c>
      <c r="B15" s="55" t="s">
        <v>126</v>
      </c>
      <c r="C15" s="55" t="s">
        <v>127</v>
      </c>
      <c r="D15" s="55" t="str">
        <f>"2011 Amounts as a % of "&amp;$A$18</f>
        <v>2011 Amounts as a % of Total Revenue</v>
      </c>
      <c r="E15" s="55" t="str">
        <f>"2012 Amounts as a % of "&amp;$A$18</f>
        <v>2012 Amounts as a % of Total Revenue</v>
      </c>
    </row>
    <row r="16" spans="1:5" x14ac:dyDescent="0.55000000000000004">
      <c r="A16" s="56" t="s">
        <v>128</v>
      </c>
      <c r="B16" s="86">
        <v>125000</v>
      </c>
      <c r="C16" s="86">
        <v>155750</v>
      </c>
      <c r="D16" s="57"/>
      <c r="E16" s="57"/>
    </row>
    <row r="17" spans="1:5" ht="14.7" thickBot="1" x14ac:dyDescent="0.6">
      <c r="A17" s="58" t="s">
        <v>129</v>
      </c>
      <c r="B17" s="87">
        <v>75000</v>
      </c>
      <c r="C17" s="87">
        <v>98050</v>
      </c>
      <c r="D17" s="57"/>
      <c r="E17" s="57"/>
    </row>
    <row r="18" spans="1:5" ht="14.7" thickBot="1" x14ac:dyDescent="0.6">
      <c r="A18" s="59" t="s">
        <v>130</v>
      </c>
      <c r="B18" s="88">
        <f>SUM(B16:B17)</f>
        <v>200000</v>
      </c>
      <c r="C18" s="88">
        <f>SUM(C16:C17)</f>
        <v>253800</v>
      </c>
      <c r="D18" s="57"/>
      <c r="E18" s="57"/>
    </row>
    <row r="19" spans="1:5" x14ac:dyDescent="0.55000000000000004">
      <c r="A19" s="60" t="s">
        <v>131</v>
      </c>
      <c r="B19" s="89">
        <v>85000</v>
      </c>
      <c r="C19" s="89">
        <v>90000</v>
      </c>
      <c r="D19" s="57">
        <f>B19/B$18</f>
        <v>0.42499999999999999</v>
      </c>
      <c r="E19" s="57">
        <f>C19/C$18</f>
        <v>0.3546099290780142</v>
      </c>
    </row>
    <row r="20" spans="1:5" x14ac:dyDescent="0.55000000000000004">
      <c r="A20" s="56" t="s">
        <v>132</v>
      </c>
      <c r="B20" s="90">
        <f>B17*0.36</f>
        <v>27000</v>
      </c>
      <c r="C20" s="90">
        <f>C17*0.36</f>
        <v>35298</v>
      </c>
      <c r="D20" s="57">
        <f t="shared" ref="D20:D25" si="1">B20/B$18</f>
        <v>0.13500000000000001</v>
      </c>
      <c r="E20" s="57">
        <f t="shared" ref="E20:E25" si="2">C20/C$18</f>
        <v>0.13907801418439716</v>
      </c>
    </row>
    <row r="21" spans="1:5" x14ac:dyDescent="0.55000000000000004">
      <c r="A21" s="56" t="s">
        <v>133</v>
      </c>
      <c r="B21" s="90">
        <f>2000*12</f>
        <v>24000</v>
      </c>
      <c r="C21" s="90">
        <f>2000*12</f>
        <v>24000</v>
      </c>
      <c r="D21" s="57">
        <f t="shared" si="1"/>
        <v>0.12</v>
      </c>
      <c r="E21" s="57">
        <f t="shared" si="2"/>
        <v>9.4562647754137114E-2</v>
      </c>
    </row>
    <row r="22" spans="1:5" x14ac:dyDescent="0.55000000000000004">
      <c r="A22" s="56" t="s">
        <v>134</v>
      </c>
      <c r="B22" s="90">
        <v>32000</v>
      </c>
      <c r="C22" s="90">
        <v>36000</v>
      </c>
      <c r="D22" s="57">
        <f t="shared" si="1"/>
        <v>0.16</v>
      </c>
      <c r="E22" s="57">
        <f t="shared" si="2"/>
        <v>0.14184397163120568</v>
      </c>
    </row>
    <row r="23" spans="1:5" ht="14.7" thickBot="1" x14ac:dyDescent="0.6">
      <c r="A23" s="58" t="s">
        <v>135</v>
      </c>
      <c r="B23" s="87">
        <v>5000</v>
      </c>
      <c r="C23" s="87">
        <v>6750</v>
      </c>
      <c r="D23" s="57">
        <f t="shared" si="1"/>
        <v>2.5000000000000001E-2</v>
      </c>
      <c r="E23" s="57">
        <f t="shared" si="2"/>
        <v>2.6595744680851064E-2</v>
      </c>
    </row>
    <row r="24" spans="1:5" ht="14.7" thickBot="1" x14ac:dyDescent="0.6">
      <c r="A24" s="59" t="s">
        <v>136</v>
      </c>
      <c r="B24" s="88">
        <f>SUM(B19:B23)</f>
        <v>173000</v>
      </c>
      <c r="C24" s="88">
        <f>SUM(C19:C23)</f>
        <v>192048</v>
      </c>
      <c r="D24" s="57">
        <f t="shared" si="1"/>
        <v>0.86499999999999999</v>
      </c>
      <c r="E24" s="57">
        <f t="shared" si="2"/>
        <v>0.75669030732860521</v>
      </c>
    </row>
    <row r="25" spans="1:5" ht="14.7" thickBot="1" x14ac:dyDescent="0.6">
      <c r="A25" s="61" t="s">
        <v>55</v>
      </c>
      <c r="B25" s="91">
        <f>SUM(-B24,B18)</f>
        <v>27000</v>
      </c>
      <c r="C25" s="91">
        <f>SUM(-C24,C18)</f>
        <v>61752</v>
      </c>
      <c r="D25" s="57">
        <f t="shared" si="1"/>
        <v>0.13500000000000001</v>
      </c>
      <c r="E25" s="57">
        <f t="shared" si="2"/>
        <v>0.24330969267139479</v>
      </c>
    </row>
    <row r="26" spans="1:5" ht="14.7" thickTop="1" x14ac:dyDescent="0.55000000000000004"/>
    <row r="27" spans="1:5" x14ac:dyDescent="0.55000000000000004">
      <c r="C27" s="6" t="s">
        <v>137</v>
      </c>
      <c r="D27" s="33">
        <f>D24+D25</f>
        <v>1</v>
      </c>
      <c r="E27" s="33">
        <f>E24+E25</f>
        <v>1</v>
      </c>
    </row>
    <row r="29" spans="1:5" x14ac:dyDescent="0.55000000000000004">
      <c r="A29" s="62"/>
      <c r="B29" s="62"/>
      <c r="C29" s="62"/>
      <c r="D29" s="62"/>
      <c r="E29" s="62"/>
    </row>
    <row r="30" spans="1:5" x14ac:dyDescent="0.55000000000000004">
      <c r="A30" s="51" t="s">
        <v>138</v>
      </c>
      <c r="B30" s="51"/>
      <c r="C30" s="51"/>
      <c r="D30" s="51"/>
      <c r="E30" s="51"/>
    </row>
    <row r="31" spans="1:5" x14ac:dyDescent="0.55000000000000004">
      <c r="A31" s="63" t="s">
        <v>139</v>
      </c>
      <c r="B31" s="63" t="s">
        <v>140</v>
      </c>
      <c r="C31" s="63" t="s">
        <v>141</v>
      </c>
      <c r="D31" s="63" t="s">
        <v>142</v>
      </c>
      <c r="E31" s="63" t="s">
        <v>143</v>
      </c>
    </row>
    <row r="32" spans="1:5" x14ac:dyDescent="0.55000000000000004">
      <c r="A32" s="7">
        <f>A37</f>
        <v>2003</v>
      </c>
      <c r="B32" s="64">
        <f>B37</f>
        <v>52400</v>
      </c>
      <c r="C32" s="64">
        <f>B32*$C37</f>
        <v>53185.999999999993</v>
      </c>
      <c r="D32" s="64">
        <f t="shared" ref="D32:E32" si="3">C32*$C37</f>
        <v>53983.789999999986</v>
      </c>
      <c r="E32" s="64">
        <f t="shared" si="3"/>
        <v>54793.546849999984</v>
      </c>
    </row>
    <row r="33" spans="1:14" x14ac:dyDescent="0.55000000000000004">
      <c r="A33" s="7">
        <f>A38</f>
        <v>2004</v>
      </c>
      <c r="B33" s="64">
        <f>B38</f>
        <v>62650.392184584343</v>
      </c>
      <c r="C33" s="64">
        <f>B33*$C38</f>
        <v>64091.351204829778</v>
      </c>
      <c r="D33" s="64">
        <f t="shared" ref="D33:E33" si="4">C33*$C38</f>
        <v>65565.452282540864</v>
      </c>
      <c r="E33" s="64">
        <f t="shared" si="4"/>
        <v>67073.457685039291</v>
      </c>
    </row>
    <row r="35" spans="1:14" x14ac:dyDescent="0.55000000000000004">
      <c r="A35" s="65" t="s">
        <v>144</v>
      </c>
      <c r="B35" s="65"/>
      <c r="C35" s="65"/>
    </row>
    <row r="36" spans="1:14" x14ac:dyDescent="0.55000000000000004">
      <c r="A36" s="6" t="s">
        <v>139</v>
      </c>
      <c r="B36" s="6" t="s">
        <v>145</v>
      </c>
      <c r="C36" s="6" t="s">
        <v>146</v>
      </c>
    </row>
    <row r="37" spans="1:14" x14ac:dyDescent="0.55000000000000004">
      <c r="A37" s="7">
        <v>2003</v>
      </c>
      <c r="B37" s="28">
        <v>52400</v>
      </c>
      <c r="C37" s="7">
        <v>1.0149999999999999</v>
      </c>
      <c r="E37" s="66"/>
    </row>
    <row r="38" spans="1:14" x14ac:dyDescent="0.55000000000000004">
      <c r="A38" s="7">
        <v>2004</v>
      </c>
      <c r="B38" s="28">
        <f>B37*C37^12</f>
        <v>62650.392184584343</v>
      </c>
      <c r="C38" s="7">
        <v>1.0229999999999999</v>
      </c>
      <c r="E38" s="66"/>
    </row>
    <row r="39" spans="1:14" x14ac:dyDescent="0.55000000000000004">
      <c r="E39" s="66"/>
    </row>
    <row r="40" spans="1:14" x14ac:dyDescent="0.55000000000000004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</row>
    <row r="41" spans="1:14" x14ac:dyDescent="0.55000000000000004">
      <c r="A41" s="51" t="s">
        <v>138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</row>
    <row r="42" spans="1:14" x14ac:dyDescent="0.55000000000000004">
      <c r="A42" s="7"/>
      <c r="B42" s="67" t="s">
        <v>140</v>
      </c>
      <c r="C42" s="67" t="s">
        <v>141</v>
      </c>
      <c r="D42" s="67" t="s">
        <v>142</v>
      </c>
      <c r="E42" s="67" t="s">
        <v>143</v>
      </c>
      <c r="F42" s="67" t="s">
        <v>147</v>
      </c>
      <c r="G42" s="67" t="s">
        <v>148</v>
      </c>
      <c r="H42" s="67" t="s">
        <v>149</v>
      </c>
      <c r="I42" s="67" t="s">
        <v>150</v>
      </c>
      <c r="J42" s="67" t="s">
        <v>151</v>
      </c>
      <c r="K42" s="67" t="s">
        <v>152</v>
      </c>
      <c r="L42" s="67" t="s">
        <v>153</v>
      </c>
      <c r="M42" s="67" t="s">
        <v>154</v>
      </c>
      <c r="N42" s="67" t="s">
        <v>59</v>
      </c>
    </row>
    <row r="43" spans="1:14" x14ac:dyDescent="0.55000000000000004">
      <c r="A43" s="67">
        <v>2010</v>
      </c>
      <c r="B43" s="68">
        <v>524</v>
      </c>
      <c r="C43" s="52">
        <f>B43*$B53</f>
        <v>531.8599999999999</v>
      </c>
      <c r="D43" s="52">
        <f t="shared" ref="D43:M43" si="5">C43*$B53</f>
        <v>539.83789999999988</v>
      </c>
      <c r="E43" s="52">
        <f t="shared" si="5"/>
        <v>547.93546849999984</v>
      </c>
      <c r="F43" s="52">
        <f t="shared" si="5"/>
        <v>556.15450052749975</v>
      </c>
      <c r="G43" s="52">
        <f t="shared" si="5"/>
        <v>564.49681803541216</v>
      </c>
      <c r="H43" s="52">
        <f t="shared" si="5"/>
        <v>572.96427030594327</v>
      </c>
      <c r="I43" s="52">
        <f t="shared" si="5"/>
        <v>581.55873436053241</v>
      </c>
      <c r="J43" s="52">
        <f t="shared" si="5"/>
        <v>590.28211537594029</v>
      </c>
      <c r="K43" s="52">
        <f t="shared" si="5"/>
        <v>599.13634710657936</v>
      </c>
      <c r="L43" s="52">
        <f t="shared" si="5"/>
        <v>608.12339231317799</v>
      </c>
      <c r="M43" s="52">
        <f t="shared" si="5"/>
        <v>617.24524319787565</v>
      </c>
      <c r="N43" s="94">
        <f>SUM(B43:M43)</f>
        <v>6833.5947897229598</v>
      </c>
    </row>
    <row r="44" spans="1:14" x14ac:dyDescent="0.55000000000000004">
      <c r="A44" s="67">
        <v>2011</v>
      </c>
      <c r="B44" s="68">
        <f>B43*B53^(12*ROWS($C$62:$M$62))</f>
        <v>626.50392184584348</v>
      </c>
      <c r="C44" s="52">
        <f t="shared" ref="C44:M44" si="6">B44*$B54</f>
        <v>634.0219689079936</v>
      </c>
      <c r="D44" s="52">
        <f t="shared" si="6"/>
        <v>641.6302325348895</v>
      </c>
      <c r="E44" s="52">
        <f t="shared" si="6"/>
        <v>649.32979532530817</v>
      </c>
      <c r="F44" s="52">
        <f t="shared" si="6"/>
        <v>657.12175286921183</v>
      </c>
      <c r="G44" s="52">
        <f t="shared" si="6"/>
        <v>665.00721390364242</v>
      </c>
      <c r="H44" s="52">
        <f t="shared" si="6"/>
        <v>672.98730047048616</v>
      </c>
      <c r="I44" s="52">
        <f t="shared" si="6"/>
        <v>681.06314807613205</v>
      </c>
      <c r="J44" s="52">
        <f t="shared" si="6"/>
        <v>689.23590585304567</v>
      </c>
      <c r="K44" s="52">
        <f t="shared" si="6"/>
        <v>697.50673672328219</v>
      </c>
      <c r="L44" s="52">
        <f t="shared" si="6"/>
        <v>705.87681756396159</v>
      </c>
      <c r="M44" s="52">
        <f t="shared" si="6"/>
        <v>714.34733937472913</v>
      </c>
      <c r="N44" s="94">
        <f t="shared" ref="N44:N49" si="7">SUM(B44:M44)</f>
        <v>8034.6321334485256</v>
      </c>
    </row>
    <row r="45" spans="1:14" x14ac:dyDescent="0.55000000000000004">
      <c r="A45" s="67">
        <v>2012</v>
      </c>
      <c r="B45" s="68">
        <f t="shared" ref="B45:B48" si="8">B44*B54^(12*ROWS($C$62:$M$62))</f>
        <v>722.91950744722567</v>
      </c>
      <c r="C45" s="52">
        <f t="shared" ref="C45:M45" si="9">B45*$B55</f>
        <v>735.2091390738284</v>
      </c>
      <c r="D45" s="52">
        <f t="shared" si="9"/>
        <v>747.70769443808342</v>
      </c>
      <c r="E45" s="52">
        <f t="shared" si="9"/>
        <v>760.41872524353073</v>
      </c>
      <c r="F45" s="52">
        <f t="shared" si="9"/>
        <v>773.34584357267067</v>
      </c>
      <c r="G45" s="52">
        <f t="shared" si="9"/>
        <v>786.49272291340606</v>
      </c>
      <c r="H45" s="52">
        <f t="shared" si="9"/>
        <v>799.86309920293388</v>
      </c>
      <c r="I45" s="52">
        <f t="shared" si="9"/>
        <v>813.46077188938364</v>
      </c>
      <c r="J45" s="52">
        <f t="shared" si="9"/>
        <v>827.28960501150311</v>
      </c>
      <c r="K45" s="52">
        <f t="shared" si="9"/>
        <v>841.35352829669864</v>
      </c>
      <c r="L45" s="52">
        <f t="shared" si="9"/>
        <v>855.65653827774247</v>
      </c>
      <c r="M45" s="52">
        <f t="shared" si="9"/>
        <v>870.20269942846403</v>
      </c>
      <c r="N45" s="94">
        <f t="shared" si="7"/>
        <v>9533.9198747954706</v>
      </c>
    </row>
    <row r="46" spans="1:14" x14ac:dyDescent="0.55000000000000004">
      <c r="A46" s="67">
        <v>2013</v>
      </c>
      <c r="B46" s="68">
        <f t="shared" si="8"/>
        <v>884.99614531874784</v>
      </c>
      <c r="C46" s="52">
        <f t="shared" ref="C46:M46" si="10">B46*$B56</f>
        <v>893.8461067719353</v>
      </c>
      <c r="D46" s="52">
        <f t="shared" si="10"/>
        <v>902.78456783965464</v>
      </c>
      <c r="E46" s="52">
        <f t="shared" si="10"/>
        <v>911.81241351805124</v>
      </c>
      <c r="F46" s="52">
        <f t="shared" si="10"/>
        <v>920.9305376532318</v>
      </c>
      <c r="G46" s="52">
        <f t="shared" si="10"/>
        <v>930.13984302976417</v>
      </c>
      <c r="H46" s="52">
        <f t="shared" si="10"/>
        <v>939.44124146006186</v>
      </c>
      <c r="I46" s="52">
        <f t="shared" si="10"/>
        <v>948.83565387466251</v>
      </c>
      <c r="J46" s="52">
        <f t="shared" si="10"/>
        <v>958.32401041340916</v>
      </c>
      <c r="K46" s="52">
        <f t="shared" si="10"/>
        <v>967.90725051754328</v>
      </c>
      <c r="L46" s="52">
        <f t="shared" si="10"/>
        <v>977.58632302271872</v>
      </c>
      <c r="M46" s="52">
        <f t="shared" si="10"/>
        <v>987.36218625294589</v>
      </c>
      <c r="N46" s="94">
        <f t="shared" si="7"/>
        <v>11223.966279672726</v>
      </c>
    </row>
    <row r="47" spans="1:14" x14ac:dyDescent="0.55000000000000004">
      <c r="A47" s="67">
        <v>2014</v>
      </c>
      <c r="B47" s="68">
        <f t="shared" si="8"/>
        <v>997.23580811547515</v>
      </c>
      <c r="C47" s="52">
        <f t="shared" ref="C47:M47" si="11">B47*$B57</f>
        <v>1018.1777600859</v>
      </c>
      <c r="D47" s="52">
        <f t="shared" si="11"/>
        <v>1039.5594930477039</v>
      </c>
      <c r="E47" s="52">
        <f t="shared" si="11"/>
        <v>1061.3902424017056</v>
      </c>
      <c r="F47" s="52">
        <f t="shared" si="11"/>
        <v>1083.6794374921412</v>
      </c>
      <c r="G47" s="52">
        <f t="shared" si="11"/>
        <v>1106.4367056794761</v>
      </c>
      <c r="H47" s="52">
        <f t="shared" si="11"/>
        <v>1129.671876498745</v>
      </c>
      <c r="I47" s="52">
        <f t="shared" si="11"/>
        <v>1153.3949859052184</v>
      </c>
      <c r="J47" s="52">
        <f t="shared" si="11"/>
        <v>1177.6162806092279</v>
      </c>
      <c r="K47" s="52">
        <f t="shared" si="11"/>
        <v>1202.3462225020216</v>
      </c>
      <c r="L47" s="52">
        <f t="shared" si="11"/>
        <v>1227.5954931745639</v>
      </c>
      <c r="M47" s="52">
        <f t="shared" si="11"/>
        <v>1253.3749985312297</v>
      </c>
      <c r="N47" s="94">
        <f t="shared" si="7"/>
        <v>13450.479304043411</v>
      </c>
    </row>
    <row r="48" spans="1:14" x14ac:dyDescent="0.55000000000000004">
      <c r="A48" s="67">
        <v>2015</v>
      </c>
      <c r="B48" s="68">
        <f t="shared" si="8"/>
        <v>1279.6958735003848</v>
      </c>
      <c r="C48" s="52">
        <f t="shared" ref="C48:M48" si="12">B48*$B58</f>
        <v>1291.213136361888</v>
      </c>
      <c r="D48" s="52">
        <f t="shared" si="12"/>
        <v>1302.8340545891449</v>
      </c>
      <c r="E48" s="52">
        <f t="shared" si="12"/>
        <v>1314.5595610804471</v>
      </c>
      <c r="F48" s="52">
        <f t="shared" si="12"/>
        <v>1326.390597130171</v>
      </c>
      <c r="G48" s="52">
        <f t="shared" si="12"/>
        <v>1338.3281125043425</v>
      </c>
      <c r="H48" s="52">
        <f t="shared" si="12"/>
        <v>1350.3730655168815</v>
      </c>
      <c r="I48" s="52">
        <f t="shared" si="12"/>
        <v>1362.5264231065332</v>
      </c>
      <c r="J48" s="52">
        <f t="shared" si="12"/>
        <v>1374.789160914492</v>
      </c>
      <c r="K48" s="52">
        <f t="shared" si="12"/>
        <v>1387.1622633627223</v>
      </c>
      <c r="L48" s="52">
        <f t="shared" si="12"/>
        <v>1399.6467237329866</v>
      </c>
      <c r="M48" s="52">
        <f t="shared" si="12"/>
        <v>1412.2435442465833</v>
      </c>
      <c r="N48" s="94">
        <f t="shared" si="7"/>
        <v>16139.76251604658</v>
      </c>
    </row>
    <row r="49" spans="1:14" x14ac:dyDescent="0.55000000000000004">
      <c r="A49" s="67" t="s">
        <v>59</v>
      </c>
      <c r="B49" s="94">
        <f t="shared" ref="B49:L49" si="13">SUM(B43:B48)</f>
        <v>5035.3512562276774</v>
      </c>
      <c r="C49" s="94">
        <f t="shared" si="13"/>
        <v>5104.3281112015457</v>
      </c>
      <c r="D49" s="94">
        <f t="shared" si="13"/>
        <v>5174.3539424494766</v>
      </c>
      <c r="E49" s="94">
        <f t="shared" si="13"/>
        <v>5245.446206069043</v>
      </c>
      <c r="F49" s="94">
        <f t="shared" si="13"/>
        <v>5317.6226692449263</v>
      </c>
      <c r="G49" s="94">
        <f t="shared" si="13"/>
        <v>5390.9014160660427</v>
      </c>
      <c r="H49" s="94">
        <f t="shared" si="13"/>
        <v>5465.3008534550518</v>
      </c>
      <c r="I49" s="94">
        <f t="shared" si="13"/>
        <v>5540.8397172124623</v>
      </c>
      <c r="J49" s="94">
        <f t="shared" si="13"/>
        <v>5617.5370781776182</v>
      </c>
      <c r="K49" s="94">
        <f t="shared" si="13"/>
        <v>5695.4123485088467</v>
      </c>
      <c r="L49" s="94">
        <f t="shared" si="13"/>
        <v>5774.4852880851522</v>
      </c>
      <c r="M49" s="94">
        <f>SUM(M43:M48)</f>
        <v>5854.7760110318268</v>
      </c>
      <c r="N49" s="94">
        <f t="shared" si="7"/>
        <v>65216.354897729681</v>
      </c>
    </row>
    <row r="50" spans="1:14" x14ac:dyDescent="0.55000000000000004">
      <c r="C50" s="53"/>
      <c r="E50" s="66"/>
    </row>
    <row r="51" spans="1:14" x14ac:dyDescent="0.55000000000000004">
      <c r="A51" s="65" t="s">
        <v>144</v>
      </c>
      <c r="B51" s="65"/>
      <c r="D51" s="66"/>
    </row>
    <row r="52" spans="1:14" ht="28.8" x14ac:dyDescent="0.55000000000000004">
      <c r="A52" s="6" t="s">
        <v>155</v>
      </c>
      <c r="B52" s="69" t="s">
        <v>146</v>
      </c>
      <c r="D52" s="66"/>
    </row>
    <row r="53" spans="1:14" x14ac:dyDescent="0.55000000000000004">
      <c r="A53" s="7">
        <v>2010</v>
      </c>
      <c r="B53" s="7">
        <v>1.0149999999999999</v>
      </c>
    </row>
    <row r="54" spans="1:14" x14ac:dyDescent="0.55000000000000004">
      <c r="A54" s="7">
        <v>2011</v>
      </c>
      <c r="B54" s="7">
        <v>1.012</v>
      </c>
    </row>
    <row r="55" spans="1:14" x14ac:dyDescent="0.55000000000000004">
      <c r="A55" s="7">
        <v>2012</v>
      </c>
      <c r="B55" s="7">
        <v>1.0169999999999999</v>
      </c>
    </row>
    <row r="56" spans="1:14" x14ac:dyDescent="0.55000000000000004">
      <c r="A56" s="7">
        <v>2013</v>
      </c>
      <c r="B56" s="7">
        <v>1.01</v>
      </c>
    </row>
    <row r="57" spans="1:14" x14ac:dyDescent="0.55000000000000004">
      <c r="A57" s="7">
        <v>2014</v>
      </c>
      <c r="B57" s="7">
        <v>1.0209999999999999</v>
      </c>
    </row>
    <row r="58" spans="1:14" x14ac:dyDescent="0.55000000000000004">
      <c r="A58" s="7">
        <v>2015</v>
      </c>
      <c r="B58" s="7">
        <v>1.0089999999999999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M100"/>
  <sheetViews>
    <sheetView topLeftCell="A76" workbookViewId="0">
      <selection activeCell="D65" sqref="D65"/>
    </sheetView>
  </sheetViews>
  <sheetFormatPr defaultRowHeight="14.4" x14ac:dyDescent="0.55000000000000004"/>
  <cols>
    <col min="1" max="1" width="11.83984375" customWidth="1"/>
    <col min="2" max="4" width="13.41796875" customWidth="1"/>
    <col min="5" max="5" width="16" customWidth="1"/>
    <col min="7" max="10" width="17.15625" customWidth="1"/>
  </cols>
  <sheetData>
    <row r="1" spans="1:13" x14ac:dyDescent="0.55000000000000004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3" x14ac:dyDescent="0.55000000000000004">
      <c r="A2" s="20"/>
      <c r="M2" s="21"/>
    </row>
    <row r="3" spans="1:13" x14ac:dyDescent="0.55000000000000004">
      <c r="A3" s="22"/>
      <c r="M3" s="21"/>
    </row>
    <row r="4" spans="1:13" x14ac:dyDescent="0.55000000000000004">
      <c r="A4" s="20"/>
      <c r="M4" s="21"/>
    </row>
    <row r="5" spans="1:13" x14ac:dyDescent="0.55000000000000004">
      <c r="A5" s="20"/>
      <c r="M5" s="21"/>
    </row>
    <row r="6" spans="1:13" x14ac:dyDescent="0.55000000000000004">
      <c r="A6" s="20"/>
      <c r="M6" s="21"/>
    </row>
    <row r="7" spans="1:13" x14ac:dyDescent="0.55000000000000004">
      <c r="A7" s="23"/>
      <c r="M7" s="21"/>
    </row>
    <row r="8" spans="1:13" x14ac:dyDescent="0.55000000000000004">
      <c r="A8" s="23"/>
      <c r="M8" s="21"/>
    </row>
    <row r="9" spans="1:13" x14ac:dyDescent="0.55000000000000004">
      <c r="A9" s="23"/>
      <c r="M9" s="21"/>
    </row>
    <row r="10" spans="1:13" x14ac:dyDescent="0.55000000000000004">
      <c r="A10" s="23"/>
      <c r="M10" s="21"/>
    </row>
    <row r="11" spans="1:13" x14ac:dyDescent="0.55000000000000004">
      <c r="A11" s="23"/>
      <c r="M11" s="21"/>
    </row>
    <row r="12" spans="1:13" x14ac:dyDescent="0.55000000000000004">
      <c r="A12" s="23"/>
      <c r="M12" s="21"/>
    </row>
    <row r="13" spans="1:13" x14ac:dyDescent="0.55000000000000004">
      <c r="A13" s="23"/>
      <c r="M13" s="21"/>
    </row>
    <row r="14" spans="1:13" x14ac:dyDescent="0.55000000000000004">
      <c r="A14" s="20"/>
      <c r="M14" s="21"/>
    </row>
    <row r="15" spans="1:13" x14ac:dyDescent="0.55000000000000004">
      <c r="A15" s="23"/>
      <c r="M15" s="21"/>
    </row>
    <row r="16" spans="1:13" x14ac:dyDescent="0.55000000000000004">
      <c r="A16" s="20"/>
      <c r="M16" s="21"/>
    </row>
    <row r="17" spans="1:13" x14ac:dyDescent="0.55000000000000004">
      <c r="A17" s="23"/>
      <c r="M17" s="21"/>
    </row>
    <row r="18" spans="1:13" x14ac:dyDescent="0.55000000000000004">
      <c r="A18" s="23"/>
      <c r="M18" s="21"/>
    </row>
    <row r="19" spans="1:13" x14ac:dyDescent="0.55000000000000004">
      <c r="A19" s="23"/>
      <c r="M19" s="21"/>
    </row>
    <row r="20" spans="1:13" x14ac:dyDescent="0.55000000000000004">
      <c r="A20" s="23"/>
      <c r="M20" s="21"/>
    </row>
    <row r="21" spans="1:13" x14ac:dyDescent="0.55000000000000004">
      <c r="A21" s="23"/>
      <c r="M21" s="21"/>
    </row>
    <row r="22" spans="1:13" x14ac:dyDescent="0.55000000000000004">
      <c r="A22" s="23"/>
      <c r="M22" s="21"/>
    </row>
    <row r="23" spans="1:13" x14ac:dyDescent="0.5500000000000000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6"/>
    </row>
    <row r="25" spans="1:13" ht="20.399999999999999" x14ac:dyDescent="0.55000000000000004">
      <c r="A25" s="1"/>
    </row>
    <row r="26" spans="1:13" ht="20.399999999999999" x14ac:dyDescent="0.75">
      <c r="A26" s="2"/>
    </row>
    <row r="27" spans="1:13" x14ac:dyDescent="0.55000000000000004">
      <c r="G27" s="3"/>
    </row>
    <row r="28" spans="1:13" x14ac:dyDescent="0.55000000000000004">
      <c r="G28" s="3"/>
      <c r="H28" s="3"/>
    </row>
    <row r="29" spans="1:13" x14ac:dyDescent="0.55000000000000004">
      <c r="H29" s="3"/>
    </row>
    <row r="30" spans="1:13" x14ac:dyDescent="0.55000000000000004">
      <c r="A30" s="4"/>
      <c r="G30" s="3"/>
    </row>
    <row r="31" spans="1:13" x14ac:dyDescent="0.55000000000000004">
      <c r="A31" s="5"/>
      <c r="G31" s="3"/>
    </row>
    <row r="32" spans="1:13" x14ac:dyDescent="0.55000000000000004">
      <c r="A32" s="4"/>
    </row>
    <row r="33" spans="1:6" x14ac:dyDescent="0.55000000000000004">
      <c r="A33" s="5"/>
    </row>
    <row r="34" spans="1:6" x14ac:dyDescent="0.55000000000000004">
      <c r="A34" s="4"/>
    </row>
    <row r="35" spans="1:6" x14ac:dyDescent="0.55000000000000004">
      <c r="A35" s="5"/>
    </row>
    <row r="36" spans="1:6" x14ac:dyDescent="0.55000000000000004">
      <c r="A36" s="4"/>
    </row>
    <row r="37" spans="1:6" x14ac:dyDescent="0.55000000000000004">
      <c r="A37" s="5"/>
    </row>
    <row r="38" spans="1:6" x14ac:dyDescent="0.55000000000000004">
      <c r="A38" s="4" t="s">
        <v>0</v>
      </c>
    </row>
    <row r="39" spans="1:6" x14ac:dyDescent="0.55000000000000004">
      <c r="A39" s="6" t="s">
        <v>3</v>
      </c>
      <c r="B39" s="7">
        <v>10</v>
      </c>
      <c r="C39" s="7">
        <v>4</v>
      </c>
      <c r="D39" s="7">
        <v>1</v>
      </c>
      <c r="F39">
        <v>50</v>
      </c>
    </row>
    <row r="40" spans="1:6" x14ac:dyDescent="0.55000000000000004">
      <c r="A40" s="6" t="s">
        <v>4</v>
      </c>
      <c r="B40" s="7">
        <v>50</v>
      </c>
      <c r="C40" s="7">
        <v>20</v>
      </c>
      <c r="D40" s="7">
        <v>100</v>
      </c>
    </row>
    <row r="41" spans="1:6" x14ac:dyDescent="0.55000000000000004">
      <c r="A41" s="7"/>
      <c r="B41" s="8" t="s">
        <v>18</v>
      </c>
      <c r="C41" s="8" t="s">
        <v>19</v>
      </c>
      <c r="D41" s="8" t="s">
        <v>20</v>
      </c>
    </row>
    <row r="42" spans="1:6" x14ac:dyDescent="0.55000000000000004">
      <c r="A42" s="8" t="s">
        <v>17</v>
      </c>
      <c r="B42" s="7"/>
      <c r="C42" s="7"/>
      <c r="D42" s="7"/>
    </row>
    <row r="46" spans="1:6" x14ac:dyDescent="0.55000000000000004">
      <c r="A46" s="4"/>
    </row>
    <row r="47" spans="1:6" x14ac:dyDescent="0.55000000000000004">
      <c r="A47" s="5"/>
    </row>
    <row r="48" spans="1:6" x14ac:dyDescent="0.55000000000000004">
      <c r="A48" s="4"/>
    </row>
    <row r="49" spans="1:10" x14ac:dyDescent="0.55000000000000004">
      <c r="A49" s="5"/>
    </row>
    <row r="50" spans="1:10" x14ac:dyDescent="0.55000000000000004">
      <c r="A50" s="8" t="s">
        <v>5</v>
      </c>
      <c r="B50" s="7" t="s">
        <v>6</v>
      </c>
    </row>
    <row r="51" spans="1:10" x14ac:dyDescent="0.55000000000000004">
      <c r="A51" s="8" t="s">
        <v>7</v>
      </c>
      <c r="B51" s="7"/>
      <c r="D51" t="s">
        <v>8</v>
      </c>
    </row>
    <row r="54" spans="1:10" x14ac:dyDescent="0.55000000000000004">
      <c r="A54" s="4"/>
    </row>
    <row r="55" spans="1:10" x14ac:dyDescent="0.55000000000000004">
      <c r="A55" s="5"/>
    </row>
    <row r="56" spans="1:10" x14ac:dyDescent="0.55000000000000004">
      <c r="C56" s="4"/>
      <c r="D56" s="4"/>
      <c r="E56" s="9"/>
    </row>
    <row r="57" spans="1:10" x14ac:dyDescent="0.55000000000000004">
      <c r="A57" s="10" t="s">
        <v>9</v>
      </c>
      <c r="B57" s="10" t="s">
        <v>15</v>
      </c>
      <c r="C57" s="8" t="s">
        <v>9</v>
      </c>
      <c r="D57" s="8" t="s">
        <v>9</v>
      </c>
      <c r="E57" s="8" t="s">
        <v>9</v>
      </c>
      <c r="G57" s="4" t="s">
        <v>21</v>
      </c>
    </row>
    <row r="58" spans="1:10" x14ac:dyDescent="0.55000000000000004">
      <c r="A58" s="11" t="s">
        <v>35</v>
      </c>
      <c r="C58" s="7"/>
      <c r="D58" s="7"/>
      <c r="E58" s="7"/>
      <c r="G58" s="4"/>
      <c r="H58" s="4"/>
      <c r="J58" s="4"/>
    </row>
    <row r="59" spans="1:10" x14ac:dyDescent="0.55000000000000004">
      <c r="A59" s="7" t="s">
        <v>157</v>
      </c>
      <c r="G59" s="11" t="s">
        <v>35</v>
      </c>
      <c r="H59" s="11" t="s">
        <v>157</v>
      </c>
      <c r="I59" s="11" t="s">
        <v>37</v>
      </c>
      <c r="J59" s="11" t="s">
        <v>38</v>
      </c>
    </row>
    <row r="60" spans="1:10" x14ac:dyDescent="0.55000000000000004">
      <c r="A60" s="11" t="s">
        <v>37</v>
      </c>
      <c r="G60" t="s">
        <v>39</v>
      </c>
      <c r="H60" t="s">
        <v>42</v>
      </c>
      <c r="I60" t="s">
        <v>46</v>
      </c>
      <c r="J60" t="s">
        <v>49</v>
      </c>
    </row>
    <row r="61" spans="1:10" x14ac:dyDescent="0.55000000000000004">
      <c r="A61" s="7" t="s">
        <v>38</v>
      </c>
      <c r="G61" t="s">
        <v>40</v>
      </c>
      <c r="H61" t="s">
        <v>43</v>
      </c>
      <c r="I61" t="s">
        <v>47</v>
      </c>
      <c r="J61" t="s">
        <v>50</v>
      </c>
    </row>
    <row r="62" spans="1:10" x14ac:dyDescent="0.55000000000000004">
      <c r="G62" t="s">
        <v>41</v>
      </c>
      <c r="H62" t="s">
        <v>44</v>
      </c>
      <c r="I62" t="s">
        <v>48</v>
      </c>
    </row>
    <row r="63" spans="1:10" x14ac:dyDescent="0.55000000000000004">
      <c r="H63" t="s">
        <v>45</v>
      </c>
    </row>
    <row r="65" spans="2:8" x14ac:dyDescent="0.55000000000000004">
      <c r="G65" s="12" t="s">
        <v>51</v>
      </c>
      <c r="H65" s="12" t="s">
        <v>52</v>
      </c>
    </row>
    <row r="66" spans="2:8" x14ac:dyDescent="0.55000000000000004">
      <c r="G66" s="7" t="s">
        <v>157</v>
      </c>
      <c r="H66" s="7" t="s">
        <v>42</v>
      </c>
    </row>
    <row r="68" spans="2:8" x14ac:dyDescent="0.55000000000000004">
      <c r="B68" s="4"/>
    </row>
    <row r="69" spans="2:8" x14ac:dyDescent="0.55000000000000004">
      <c r="B69" s="5"/>
    </row>
    <row r="70" spans="2:8" x14ac:dyDescent="0.55000000000000004">
      <c r="B70" s="5"/>
    </row>
    <row r="71" spans="2:8" x14ac:dyDescent="0.55000000000000004">
      <c r="B71" s="5"/>
    </row>
    <row r="72" spans="2:8" x14ac:dyDescent="0.55000000000000004">
      <c r="B72" s="6" t="s">
        <v>10</v>
      </c>
      <c r="C72" s="13">
        <v>42005</v>
      </c>
      <c r="D72" s="13">
        <f>C73+1</f>
        <v>42036</v>
      </c>
      <c r="E72" s="13">
        <f>D73+1</f>
        <v>42064</v>
      </c>
    </row>
    <row r="73" spans="2:8" x14ac:dyDescent="0.55000000000000004">
      <c r="B73" s="6" t="s">
        <v>11</v>
      </c>
      <c r="C73" s="13">
        <f>EOMONTH(C72,0)</f>
        <v>42035</v>
      </c>
      <c r="D73" s="13">
        <f t="shared" ref="D73:E73" si="0">EOMONTH(D72,0)</f>
        <v>42063</v>
      </c>
      <c r="E73" s="13">
        <f t="shared" si="0"/>
        <v>42094</v>
      </c>
    </row>
    <row r="74" spans="2:8" x14ac:dyDescent="0.55000000000000004">
      <c r="B74" s="7"/>
      <c r="C74" s="14">
        <f t="shared" ref="C74:E74" si="1">C72</f>
        <v>42005</v>
      </c>
      <c r="D74" s="14">
        <f t="shared" si="1"/>
        <v>42036</v>
      </c>
      <c r="E74" s="14">
        <f t="shared" si="1"/>
        <v>42064</v>
      </c>
    </row>
    <row r="75" spans="2:8" x14ac:dyDescent="0.55000000000000004">
      <c r="B75" s="8" t="s">
        <v>12</v>
      </c>
      <c r="C75" s="13"/>
      <c r="D75" s="7"/>
      <c r="E75" s="7"/>
    </row>
    <row r="76" spans="2:8" x14ac:dyDescent="0.55000000000000004">
      <c r="B76" s="8" t="s">
        <v>13</v>
      </c>
      <c r="C76" s="15"/>
      <c r="D76" s="7"/>
      <c r="E76" s="7"/>
    </row>
    <row r="77" spans="2:8" x14ac:dyDescent="0.55000000000000004">
      <c r="B77" s="8" t="s">
        <v>14</v>
      </c>
      <c r="C77" s="7"/>
      <c r="D77" s="7"/>
      <c r="E77" s="7"/>
    </row>
    <row r="80" spans="2:8" x14ac:dyDescent="0.55000000000000004">
      <c r="B80" s="4" t="s">
        <v>1</v>
      </c>
    </row>
    <row r="81" spans="2:4" x14ac:dyDescent="0.55000000000000004">
      <c r="B81" s="5" t="s">
        <v>2</v>
      </c>
    </row>
    <row r="82" spans="2:4" x14ac:dyDescent="0.55000000000000004">
      <c r="B82" s="8" t="s">
        <v>9</v>
      </c>
      <c r="C82" s="8" t="s">
        <v>7</v>
      </c>
      <c r="D82" s="8" t="s">
        <v>15</v>
      </c>
    </row>
    <row r="83" spans="2:4" x14ac:dyDescent="0.55000000000000004">
      <c r="B83" s="7" t="s">
        <v>35</v>
      </c>
      <c r="C83" s="7">
        <v>100</v>
      </c>
      <c r="D83" s="7">
        <v>18</v>
      </c>
    </row>
    <row r="84" spans="2:4" x14ac:dyDescent="0.55000000000000004">
      <c r="B84" s="7" t="s">
        <v>36</v>
      </c>
      <c r="C84" s="7">
        <v>250</v>
      </c>
      <c r="D84" s="7"/>
    </row>
    <row r="85" spans="2:4" x14ac:dyDescent="0.55000000000000004">
      <c r="B85" s="7" t="s">
        <v>37</v>
      </c>
      <c r="C85" s="7">
        <v>117</v>
      </c>
      <c r="D85" s="7"/>
    </row>
    <row r="86" spans="2:4" x14ac:dyDescent="0.55000000000000004">
      <c r="B86" s="7" t="s">
        <v>38</v>
      </c>
      <c r="C86" s="7">
        <v>297</v>
      </c>
      <c r="D86" s="7"/>
    </row>
    <row r="88" spans="2:4" x14ac:dyDescent="0.55000000000000004">
      <c r="B88" s="8" t="s">
        <v>9</v>
      </c>
      <c r="D88" t="s">
        <v>16</v>
      </c>
    </row>
    <row r="89" spans="2:4" x14ac:dyDescent="0.55000000000000004">
      <c r="B89" s="7" t="s">
        <v>35</v>
      </c>
    </row>
    <row r="90" spans="2:4" x14ac:dyDescent="0.55000000000000004">
      <c r="B90" s="7" t="s">
        <v>36</v>
      </c>
    </row>
    <row r="91" spans="2:4" x14ac:dyDescent="0.55000000000000004">
      <c r="B91" s="7" t="s">
        <v>37</v>
      </c>
    </row>
    <row r="92" spans="2:4" x14ac:dyDescent="0.55000000000000004">
      <c r="B92" s="7" t="s">
        <v>38</v>
      </c>
    </row>
    <row r="93" spans="2:4" x14ac:dyDescent="0.55000000000000004">
      <c r="B93" s="7"/>
    </row>
    <row r="94" spans="2:4" x14ac:dyDescent="0.55000000000000004">
      <c r="B94" s="7"/>
    </row>
    <row r="95" spans="2:4" x14ac:dyDescent="0.55000000000000004">
      <c r="B95" s="7"/>
    </row>
    <row r="96" spans="2:4" x14ac:dyDescent="0.55000000000000004">
      <c r="B96" s="7"/>
    </row>
    <row r="99" spans="2:2" x14ac:dyDescent="0.55000000000000004">
      <c r="B99" s="16"/>
    </row>
    <row r="100" spans="2:2" x14ac:dyDescent="0.55000000000000004">
      <c r="B100" s="16"/>
    </row>
  </sheetData>
  <dataValidations count="9">
    <dataValidation type="whole" allowBlank="1" showInputMessage="1" showErrorMessage="1" sqref="B42 D42" xr:uid="{00000000-0002-0000-0600-000000000000}">
      <formula1>B39</formula1>
      <formula2>B40</formula2>
    </dataValidation>
    <dataValidation type="whole" allowBlank="1" showInputMessage="1" showErrorMessage="1" errorTitle="Value NOT allowed" error="Please put the number" promptTitle="Value NOT allowed" prompt="Please put the number between lower limit and upper limit" sqref="C42" xr:uid="{00000000-0002-0000-0600-000001000000}">
      <formula1>C39</formula1>
      <formula2>C40</formula2>
    </dataValidation>
    <dataValidation type="date" allowBlank="1" showInputMessage="1" showErrorMessage="1" sqref="H78" xr:uid="{00000000-0002-0000-0600-000002000000}">
      <formula1>C72</formula1>
      <formula2>C73</formula2>
    </dataValidation>
    <dataValidation type="custom" allowBlank="1" showInputMessage="1" showErrorMessage="1" sqref="D84:D86" xr:uid="{00000000-0002-0000-0600-000003000000}">
      <formula1>"&lt;=C83*2"</formula1>
    </dataValidation>
    <dataValidation type="custom" allowBlank="1" showInputMessage="1" showErrorMessage="1" sqref="D83" xr:uid="{00000000-0002-0000-0600-000004000000}">
      <formula1>D83&lt;=C83*2</formula1>
    </dataValidation>
    <dataValidation type="custom" allowBlank="1" showInputMessage="1" showErrorMessage="1" sqref="D89:D95" xr:uid="{00000000-0002-0000-0600-000005000000}">
      <formula1>D89=COUNTIF($B$89:B92,B89)&lt;2</formula1>
    </dataValidation>
    <dataValidation type="custom" allowBlank="1" showInputMessage="1" showErrorMessage="1" sqref="B89:B96" xr:uid="{00000000-0002-0000-0600-000006000000}">
      <formula1>COUNTIF($B$89:B92,B89)&lt;2</formula1>
    </dataValidation>
    <dataValidation type="list" allowBlank="1" showInputMessage="1" showErrorMessage="1" sqref="G66" xr:uid="{00000000-0002-0000-0600-000007000000}">
      <formula1>Products</formula1>
    </dataValidation>
    <dataValidation type="list" allowBlank="1" showInputMessage="1" showErrorMessage="1" sqref="H66" xr:uid="{00000000-0002-0000-0600-000008000000}">
      <formula1>INDIRECT($G$66)</formula1>
    </dataValidation>
  </dataValidation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E49"/>
  <sheetViews>
    <sheetView tabSelected="1" topLeftCell="A26" workbookViewId="0">
      <selection activeCell="B50" sqref="B50"/>
    </sheetView>
  </sheetViews>
  <sheetFormatPr defaultRowHeight="14.4" x14ac:dyDescent="0.55000000000000004"/>
  <cols>
    <col min="1" max="1" width="12.83984375" customWidth="1"/>
    <col min="2" max="2" width="17.578125" customWidth="1"/>
  </cols>
  <sheetData>
    <row r="1" spans="1:2" x14ac:dyDescent="0.55000000000000004">
      <c r="A1" t="s">
        <v>32</v>
      </c>
      <c r="B1" t="s">
        <v>22</v>
      </c>
    </row>
    <row r="2" spans="1:2" x14ac:dyDescent="0.55000000000000004">
      <c r="A2">
        <v>1</v>
      </c>
      <c r="B2" t="s">
        <v>23</v>
      </c>
    </row>
    <row r="3" spans="1:2" x14ac:dyDescent="0.55000000000000004">
      <c r="A3">
        <v>2</v>
      </c>
      <c r="B3" t="s">
        <v>24</v>
      </c>
    </row>
    <row r="4" spans="1:2" x14ac:dyDescent="0.55000000000000004">
      <c r="A4">
        <v>3</v>
      </c>
      <c r="B4" t="s">
        <v>25</v>
      </c>
    </row>
    <row r="5" spans="1:2" x14ac:dyDescent="0.55000000000000004">
      <c r="A5">
        <v>4</v>
      </c>
      <c r="B5" t="s">
        <v>26</v>
      </c>
    </row>
    <row r="6" spans="1:2" x14ac:dyDescent="0.55000000000000004">
      <c r="A6">
        <v>5</v>
      </c>
      <c r="B6" t="s">
        <v>27</v>
      </c>
    </row>
    <row r="7" spans="1:2" x14ac:dyDescent="0.55000000000000004">
      <c r="A7">
        <v>6</v>
      </c>
      <c r="B7" t="s">
        <v>28</v>
      </c>
    </row>
    <row r="8" spans="1:2" x14ac:dyDescent="0.55000000000000004">
      <c r="A8">
        <v>7</v>
      </c>
      <c r="B8" t="s">
        <v>29</v>
      </c>
    </row>
    <row r="9" spans="1:2" x14ac:dyDescent="0.55000000000000004">
      <c r="A9">
        <v>8</v>
      </c>
      <c r="B9" t="s">
        <v>23</v>
      </c>
    </row>
    <row r="10" spans="1:2" x14ac:dyDescent="0.55000000000000004">
      <c r="A10">
        <v>9</v>
      </c>
      <c r="B10" t="s">
        <v>24</v>
      </c>
    </row>
    <row r="11" spans="1:2" x14ac:dyDescent="0.55000000000000004">
      <c r="A11">
        <v>10</v>
      </c>
      <c r="B11" t="s">
        <v>25</v>
      </c>
    </row>
    <row r="12" spans="1:2" x14ac:dyDescent="0.55000000000000004">
      <c r="A12">
        <v>11</v>
      </c>
      <c r="B12" t="s">
        <v>26</v>
      </c>
    </row>
    <row r="13" spans="1:2" x14ac:dyDescent="0.55000000000000004">
      <c r="A13">
        <v>12</v>
      </c>
      <c r="B13" t="s">
        <v>27</v>
      </c>
    </row>
    <row r="14" spans="1:2" x14ac:dyDescent="0.55000000000000004">
      <c r="A14">
        <v>13</v>
      </c>
      <c r="B14" t="s">
        <v>28</v>
      </c>
    </row>
    <row r="15" spans="1:2" x14ac:dyDescent="0.55000000000000004">
      <c r="A15">
        <v>14</v>
      </c>
      <c r="B15" t="s">
        <v>29</v>
      </c>
    </row>
    <row r="16" spans="1:2" x14ac:dyDescent="0.55000000000000004">
      <c r="A16">
        <v>15</v>
      </c>
    </row>
    <row r="17" spans="1:2" x14ac:dyDescent="0.55000000000000004">
      <c r="A17">
        <v>16</v>
      </c>
      <c r="B17" t="s">
        <v>24</v>
      </c>
    </row>
    <row r="18" spans="1:2" x14ac:dyDescent="0.55000000000000004">
      <c r="A18">
        <v>17</v>
      </c>
      <c r="B18" t="s">
        <v>25</v>
      </c>
    </row>
    <row r="19" spans="1:2" x14ac:dyDescent="0.55000000000000004">
      <c r="A19">
        <v>18</v>
      </c>
      <c r="B19" t="s">
        <v>26</v>
      </c>
    </row>
    <row r="20" spans="1:2" x14ac:dyDescent="0.55000000000000004">
      <c r="A20">
        <v>19</v>
      </c>
      <c r="B20" t="s">
        <v>30</v>
      </c>
    </row>
    <row r="21" spans="1:2" x14ac:dyDescent="0.55000000000000004">
      <c r="A21">
        <v>20</v>
      </c>
    </row>
    <row r="22" spans="1:2" x14ac:dyDescent="0.55000000000000004">
      <c r="A22">
        <v>21</v>
      </c>
      <c r="B22" t="s">
        <v>29</v>
      </c>
    </row>
    <row r="23" spans="1:2" x14ac:dyDescent="0.55000000000000004">
      <c r="A23">
        <v>22</v>
      </c>
      <c r="B23" t="s">
        <v>23</v>
      </c>
    </row>
    <row r="24" spans="1:2" x14ac:dyDescent="0.55000000000000004">
      <c r="A24">
        <v>23</v>
      </c>
      <c r="B24" t="s">
        <v>24</v>
      </c>
    </row>
    <row r="25" spans="1:2" x14ac:dyDescent="0.55000000000000004">
      <c r="A25">
        <v>24</v>
      </c>
      <c r="B25" t="s">
        <v>25</v>
      </c>
    </row>
    <row r="26" spans="1:2" x14ac:dyDescent="0.55000000000000004">
      <c r="A26">
        <v>25</v>
      </c>
      <c r="B26" t="s">
        <v>26</v>
      </c>
    </row>
    <row r="27" spans="1:2" x14ac:dyDescent="0.55000000000000004">
      <c r="A27">
        <v>26</v>
      </c>
      <c r="B27" t="s">
        <v>29</v>
      </c>
    </row>
    <row r="28" spans="1:2" x14ac:dyDescent="0.55000000000000004">
      <c r="A28">
        <v>27</v>
      </c>
      <c r="B28" t="s">
        <v>26</v>
      </c>
    </row>
    <row r="29" spans="1:2" x14ac:dyDescent="0.55000000000000004">
      <c r="A29">
        <v>28</v>
      </c>
      <c r="B29" t="s">
        <v>29</v>
      </c>
    </row>
    <row r="30" spans="1:2" x14ac:dyDescent="0.55000000000000004">
      <c r="A30">
        <v>29</v>
      </c>
      <c r="B30" t="s">
        <v>23</v>
      </c>
    </row>
    <row r="31" spans="1:2" x14ac:dyDescent="0.55000000000000004">
      <c r="A31">
        <v>30</v>
      </c>
      <c r="B31" t="s">
        <v>24</v>
      </c>
    </row>
    <row r="32" spans="1:2" x14ac:dyDescent="0.55000000000000004">
      <c r="A32">
        <v>31</v>
      </c>
      <c r="B32" t="s">
        <v>25</v>
      </c>
    </row>
    <row r="33" spans="1:5" x14ac:dyDescent="0.55000000000000004">
      <c r="A33">
        <v>32</v>
      </c>
      <c r="B33" t="s">
        <v>26</v>
      </c>
    </row>
    <row r="34" spans="1:5" x14ac:dyDescent="0.55000000000000004">
      <c r="A34">
        <v>33</v>
      </c>
      <c r="B34" t="s">
        <v>31</v>
      </c>
    </row>
    <row r="35" spans="1:5" x14ac:dyDescent="0.55000000000000004">
      <c r="A35">
        <v>34</v>
      </c>
      <c r="B35" t="s">
        <v>31</v>
      </c>
    </row>
    <row r="36" spans="1:5" x14ac:dyDescent="0.55000000000000004">
      <c r="A36">
        <v>35</v>
      </c>
      <c r="B36" t="s">
        <v>29</v>
      </c>
    </row>
    <row r="37" spans="1:5" x14ac:dyDescent="0.55000000000000004">
      <c r="A37">
        <v>36</v>
      </c>
      <c r="B37" t="s">
        <v>30</v>
      </c>
    </row>
    <row r="38" spans="1:5" x14ac:dyDescent="0.55000000000000004">
      <c r="A38">
        <v>37</v>
      </c>
      <c r="B38" t="s">
        <v>24</v>
      </c>
    </row>
    <row r="39" spans="1:5" x14ac:dyDescent="0.55000000000000004">
      <c r="A39">
        <v>38</v>
      </c>
      <c r="B39" t="s">
        <v>29</v>
      </c>
    </row>
    <row r="40" spans="1:5" x14ac:dyDescent="0.55000000000000004">
      <c r="A40">
        <v>39</v>
      </c>
      <c r="B40" t="s">
        <v>31</v>
      </c>
    </row>
    <row r="41" spans="1:5" x14ac:dyDescent="0.55000000000000004">
      <c r="A41">
        <v>40</v>
      </c>
      <c r="B41" t="s">
        <v>31</v>
      </c>
    </row>
    <row r="45" spans="1:5" x14ac:dyDescent="0.55000000000000004">
      <c r="A45" t="s">
        <v>25</v>
      </c>
      <c r="B45">
        <f>COUNTIF($B$2:$B$41,A45)</f>
        <v>9</v>
      </c>
      <c r="E45" t="s">
        <v>34</v>
      </c>
    </row>
    <row r="46" spans="1:5" x14ac:dyDescent="0.55000000000000004">
      <c r="A46" t="s">
        <v>23</v>
      </c>
      <c r="B46">
        <f t="shared" ref="B46:B48" si="0">COUNTIF($B$2:$B$41,A46)</f>
        <v>6</v>
      </c>
    </row>
    <row r="47" spans="1:5" x14ac:dyDescent="0.55000000000000004">
      <c r="A47" t="s">
        <v>24</v>
      </c>
      <c r="B47">
        <f t="shared" si="0"/>
        <v>6</v>
      </c>
    </row>
    <row r="48" spans="1:5" x14ac:dyDescent="0.55000000000000004">
      <c r="A48" t="s">
        <v>33</v>
      </c>
      <c r="B48">
        <f t="shared" si="0"/>
        <v>7</v>
      </c>
    </row>
    <row r="49" spans="2:2" x14ac:dyDescent="0.55000000000000004">
      <c r="B49">
        <f>SUM(B45:B48)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HeadingPairs>
  <TitlesOfParts>
    <vt:vector size="26" baseType="lpstr">
      <vt:lpstr>Formulas</vt:lpstr>
      <vt:lpstr>OrderOfOperations</vt:lpstr>
      <vt:lpstr>BuiltInFunctions</vt:lpstr>
      <vt:lpstr>EfficientFormulas</vt:lpstr>
      <vt:lpstr>Names</vt:lpstr>
      <vt:lpstr>CellReferences</vt:lpstr>
      <vt:lpstr>Data V</vt:lpstr>
      <vt:lpstr>Countif</vt:lpstr>
      <vt:lpstr>Bangalore</vt:lpstr>
      <vt:lpstr>Chennai</vt:lpstr>
      <vt:lpstr>Clinic_Plus</vt:lpstr>
      <vt:lpstr>ClinicPlus</vt:lpstr>
      <vt:lpstr>Delhi</vt:lpstr>
      <vt:lpstr>Dove</vt:lpstr>
      <vt:lpstr>Fast</vt:lpstr>
      <vt:lpstr>Freestyle</vt:lpstr>
      <vt:lpstr>Garnier</vt:lpstr>
      <vt:lpstr>Kolkatta</vt:lpstr>
      <vt:lpstr>Mango</vt:lpstr>
      <vt:lpstr>Mumbai</vt:lpstr>
      <vt:lpstr>Onion</vt:lpstr>
      <vt:lpstr>Potato</vt:lpstr>
      <vt:lpstr>Products</vt:lpstr>
      <vt:lpstr>Pune</vt:lpstr>
      <vt:lpstr>Sunsilk</vt:lpstr>
      <vt:lpstr>Tomato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Kalra</dc:creator>
  <cp:lastModifiedBy>Kabir Kanha</cp:lastModifiedBy>
  <dcterms:created xsi:type="dcterms:W3CDTF">2015-08-04T15:59:18Z</dcterms:created>
  <dcterms:modified xsi:type="dcterms:W3CDTF">2019-02-22T03:48:50Z</dcterms:modified>
</cp:coreProperties>
</file>