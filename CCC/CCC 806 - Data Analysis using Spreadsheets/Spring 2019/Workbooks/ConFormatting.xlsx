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Kabir\College Work\Semester 4\CCC 806\Workbooks\"/>
    </mc:Choice>
  </mc:AlternateContent>
  <xr:revisionPtr revIDLastSave="0" documentId="13_ncr:1_{9DE03A03-2F92-42CB-ABE4-2C54BA2AE32B}" xr6:coauthVersionLast="40" xr6:coauthVersionMax="40" xr10:uidLastSave="{00000000-0000-0000-0000-000000000000}"/>
  <bookViews>
    <workbookView xWindow="-96" yWindow="-96" windowWidth="23232" windowHeight="12552" activeTab="9" xr2:uid="{00000000-000D-0000-FFFF-FFFF00000000}"/>
  </bookViews>
  <sheets>
    <sheet name="Data" sheetId="9" r:id="rId1"/>
    <sheet name="Cell Contains" sheetId="1" r:id="rId2"/>
    <sheet name="BelowAve" sheetId="2" r:id="rId3"/>
    <sheet name="Top3" sheetId="3" r:id="rId4"/>
    <sheet name="Data Bars" sheetId="4" r:id="rId5"/>
    <sheet name="Color Scales" sheetId="5" r:id="rId6"/>
    <sheet name="Icons" sheetId="6" r:id="rId7"/>
    <sheet name="NOT in List" sheetId="8" r:id="rId8"/>
    <sheet name="Whole Column" sheetId="7" r:id="rId9"/>
    <sheet name="AND OR" sheetId="10" r:id="rId10"/>
  </sheets>
  <externalReferences>
    <externalReference r:id="rId11"/>
  </externalReferences>
  <definedNames>
    <definedName name="_xlnm._FilterDatabase" localSheetId="9" hidden="1">'AND OR'!#REF!</definedName>
    <definedName name="_xlnm._FilterDatabase" localSheetId="2" hidden="1">BelowAve!$B$4:$B$11</definedName>
    <definedName name="_xlnm._FilterDatabase" localSheetId="1" hidden="1">'Cell Contains'!$B$4:$B$11</definedName>
    <definedName name="_xlnm._FilterDatabase" localSheetId="3" hidden="1">'Top3'!$B$4:$B$11</definedName>
    <definedName name="Customer" localSheetId="9">[1]Topics!$O$2:$O$6</definedName>
    <definedName name="Customer">Data!$O$2:$O$6</definedName>
    <definedName name="SalesRep" localSheetId="9">[1]Topics!$M$2:$M$4</definedName>
    <definedName name="SalesRep">Data!$M$2:$M$4</definedName>
    <definedName name="State">'[1]Whole Column '!$D$23:$D$26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7" i="7" l="1"/>
  <c r="O8" i="7"/>
  <c r="O9" i="7"/>
  <c r="O10" i="7"/>
  <c r="O11" i="7"/>
  <c r="O12" i="7"/>
  <c r="O13" i="7"/>
  <c r="O14" i="7"/>
  <c r="O15" i="7"/>
  <c r="O6" i="7"/>
  <c r="B17" i="7"/>
  <c r="D17" i="7"/>
  <c r="E17" i="7"/>
  <c r="F17" i="7"/>
  <c r="G17" i="7"/>
  <c r="H17" i="7"/>
  <c r="I17" i="7"/>
  <c r="J17" i="7"/>
  <c r="K17" i="7"/>
  <c r="L17" i="7"/>
  <c r="M17" i="7"/>
  <c r="C17" i="7"/>
  <c r="E7" i="8"/>
  <c r="E8" i="8"/>
  <c r="E9" i="8"/>
  <c r="E10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1" i="8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7" i="6"/>
  <c r="E8" i="4" a="1"/>
  <c r="E9" i="4" s="1"/>
  <c r="J3" i="3"/>
  <c r="I5" i="3" s="1"/>
  <c r="E13" i="2"/>
  <c r="F13" i="2"/>
  <c r="E14" i="2"/>
  <c r="F14" i="2"/>
  <c r="E15" i="2"/>
  <c r="F15" i="2"/>
  <c r="E16" i="2"/>
  <c r="F16" i="2"/>
  <c r="E17" i="2"/>
  <c r="F17" i="2"/>
  <c r="E18" i="2"/>
  <c r="F18" i="2"/>
  <c r="E19" i="2"/>
  <c r="F19" i="2"/>
  <c r="G14" i="2"/>
  <c r="G15" i="2"/>
  <c r="G16" i="2"/>
  <c r="G17" i="2"/>
  <c r="G18" i="2"/>
  <c r="G19" i="2"/>
  <c r="G13" i="2"/>
  <c r="K6" i="1"/>
  <c r="L6" i="1"/>
  <c r="M6" i="1"/>
  <c r="K7" i="1"/>
  <c r="L7" i="1"/>
  <c r="M7" i="1"/>
  <c r="K8" i="1"/>
  <c r="L8" i="1"/>
  <c r="M8" i="1"/>
  <c r="K9" i="1"/>
  <c r="L9" i="1"/>
  <c r="M9" i="1"/>
  <c r="K10" i="1"/>
  <c r="L10" i="1"/>
  <c r="M10" i="1"/>
  <c r="K11" i="1"/>
  <c r="L11" i="1"/>
  <c r="M11" i="1"/>
  <c r="L5" i="1"/>
  <c r="M5" i="1"/>
  <c r="K5" i="1"/>
  <c r="E8" i="4" l="1"/>
  <c r="E11" i="4"/>
  <c r="E10" i="4"/>
  <c r="E12" i="4"/>
  <c r="K10" i="3"/>
  <c r="J9" i="3"/>
  <c r="K7" i="3"/>
  <c r="J8" i="3"/>
  <c r="K6" i="3"/>
  <c r="I8" i="3"/>
  <c r="J11" i="3"/>
  <c r="J7" i="3"/>
  <c r="K9" i="3"/>
  <c r="I7" i="3"/>
  <c r="I6" i="3"/>
  <c r="K5" i="3"/>
  <c r="I11" i="3"/>
  <c r="K11" i="3"/>
  <c r="J10" i="3"/>
  <c r="J6" i="3"/>
  <c r="I10" i="3"/>
  <c r="J5" i="3"/>
  <c r="K8" i="3"/>
  <c r="I9" i="3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12" i="4" l="1"/>
  <c r="C11" i="4"/>
  <c r="C10" i="4"/>
  <c r="C9" i="4"/>
  <c r="C8" i="4"/>
  <c r="C11" i="3"/>
  <c r="C10" i="3"/>
  <c r="C9" i="3"/>
  <c r="C8" i="3"/>
  <c r="C7" i="3"/>
  <c r="C6" i="3"/>
  <c r="C5" i="3"/>
  <c r="I3" i="3"/>
  <c r="C11" i="2"/>
  <c r="C10" i="2"/>
  <c r="C9" i="2"/>
  <c r="C8" i="2"/>
  <c r="C7" i="2"/>
  <c r="C6" i="2"/>
  <c r="C5" i="2"/>
  <c r="H2" i="1"/>
  <c r="B2" i="1"/>
</calcChain>
</file>

<file path=xl/sharedStrings.xml><?xml version="1.0" encoding="utf-8"?>
<sst xmlns="http://schemas.openxmlformats.org/spreadsheetml/2006/main" count="455" uniqueCount="187">
  <si>
    <t>Example 1:</t>
  </si>
  <si>
    <t>Example 2:</t>
  </si>
  <si>
    <t>Built-in:</t>
  </si>
  <si>
    <t>Formula:</t>
  </si>
  <si>
    <t>SalesRep</t>
  </si>
  <si>
    <t>Customer</t>
  </si>
  <si>
    <t>Sales</t>
  </si>
  <si>
    <t>IBM</t>
  </si>
  <si>
    <t>Target</t>
  </si>
  <si>
    <t>Google</t>
  </si>
  <si>
    <t>Amazon</t>
  </si>
  <si>
    <t>Vans</t>
  </si>
  <si>
    <t>Example 3:</t>
  </si>
  <si>
    <t>Example 4:</t>
  </si>
  <si>
    <t>Below Average</t>
  </si>
  <si>
    <t xml:space="preserve">Format Whole Row When Sales Below Average </t>
  </si>
  <si>
    <t>Example 5:</t>
  </si>
  <si>
    <t>Example 6:</t>
  </si>
  <si>
    <t>Top 3</t>
  </si>
  <si>
    <t>Top 3, Whole Row</t>
  </si>
  <si>
    <t>Top?</t>
  </si>
  <si>
    <t>Student Grades</t>
  </si>
  <si>
    <t>Example 7: Built-in Feature: Data Bars</t>
  </si>
  <si>
    <t>Max = Longest Bar.</t>
  </si>
  <si>
    <t>Min = Shortest Bar.</t>
  </si>
  <si>
    <t>Student Grades on 50 Point Quiz</t>
  </si>
  <si>
    <t>Limits</t>
  </si>
  <si>
    <t>Upper Limit Score</t>
  </si>
  <si>
    <t>Frequency</t>
  </si>
  <si>
    <t>Example 8: Built-in Feature: Color Scales (Heat Map)</t>
  </si>
  <si>
    <r>
      <rPr>
        <b/>
        <sz val="11"/>
        <color theme="1"/>
        <rFont val="Calibri"/>
        <family val="2"/>
        <scheme val="minor"/>
      </rPr>
      <t>Color Scale</t>
    </r>
    <r>
      <rPr>
        <sz val="11"/>
        <color theme="1"/>
        <rFont val="Calibri"/>
        <family val="2"/>
        <scheme val="minor"/>
      </rPr>
      <t xml:space="preserve"> = Ranks number by color.</t>
    </r>
  </si>
  <si>
    <t>3 colors:</t>
  </si>
  <si>
    <t>Red = bottom 1/3 of values, Darkest Red = Min.</t>
  </si>
  <si>
    <t>White = middle 1/3 of values, White = Mid-point (Median).</t>
  </si>
  <si>
    <t>Blue = top 1/3 values, Darkest Blue = Max.</t>
  </si>
  <si>
    <t>Percentage Change in Sales from Last Year:</t>
  </si>
  <si>
    <t>City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</si>
  <si>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</si>
  <si>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</si>
  <si>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</si>
  <si>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</si>
  <si>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</si>
  <si>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</si>
  <si>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</si>
  <si>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</si>
  <si>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</si>
  <si>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</si>
  <si>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</si>
  <si>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</si>
  <si>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AZ, Phoenix</t>
  </si>
  <si>
    <t>CA, LA</t>
  </si>
  <si>
    <t>CA, Oakland</t>
  </si>
  <si>
    <t>CA, San Jose</t>
  </si>
  <si>
    <t>CA, SF</t>
  </si>
  <si>
    <t>OR, Portland</t>
  </si>
  <si>
    <t>WA, Bellingham</t>
  </si>
  <si>
    <t>WA, Olympia</t>
  </si>
  <si>
    <t>WA, Seattle</t>
  </si>
  <si>
    <t>WA, Tacoma</t>
  </si>
  <si>
    <t>Example 9: Built-in Feature: Icons</t>
  </si>
  <si>
    <r>
      <t xml:space="preserve">Icons </t>
    </r>
    <r>
      <rPr>
        <sz val="11"/>
        <color theme="1"/>
        <rFont val="Calibri"/>
        <family val="2"/>
        <scheme val="minor"/>
      </rPr>
      <t>= can divide numbers into 3, groups (Top, middle, bottom)</t>
    </r>
  </si>
  <si>
    <t>Date</t>
  </si>
  <si>
    <t>Stock Price</t>
  </si>
  <si>
    <t>Up Down?</t>
  </si>
  <si>
    <t>Stock: Asian Paints</t>
  </si>
  <si>
    <t>Example 10: Logical Formula: Format Whole Column Based on a condition</t>
  </si>
  <si>
    <t>Month:</t>
  </si>
  <si>
    <t>Is the book missing from our library shelves?</t>
  </si>
  <si>
    <t>Is item is List 2 NOT in List 1?</t>
  </si>
  <si>
    <t>Books Counted In Inventory Count</t>
  </si>
  <si>
    <t>Library Database List of ALL Books</t>
  </si>
  <si>
    <t>List 1</t>
  </si>
  <si>
    <t>List 2</t>
  </si>
  <si>
    <t>The Da Vinci Code (Dan Brown)</t>
  </si>
  <si>
    <t>The Stone Diaries (Carol Shields)</t>
  </si>
  <si>
    <t>Pride and Prejudice (Jane Austen)</t>
  </si>
  <si>
    <t>The Lord of the Rings: Two Towers (Tolkien)</t>
  </si>
  <si>
    <t>To Kill A Mockingbird (Harper Lee)</t>
  </si>
  <si>
    <t>Gone With The Wind (Margaret Mitchell)</t>
  </si>
  <si>
    <t>The Bourne Identity (Robert Ludlum)</t>
  </si>
  <si>
    <t>The Lord of the Rings: Fellowship of the Ring (Tolkien)</t>
  </si>
  <si>
    <t>East of Eden (John Steinbeck)</t>
  </si>
  <si>
    <t>Angela’s Ashes (Frank McCourt)</t>
  </si>
  <si>
    <t>Anne of Green Gables (L.M. Montgomery)</t>
  </si>
  <si>
    <t>Life of Pi (Yann Martel)</t>
  </si>
  <si>
    <t>Outlander (Diana Gabaldon)</t>
  </si>
  <si>
    <t>The Grapes of Wrath (John Steinbeck)</t>
  </si>
  <si>
    <t>A Fine Balance (Rohinton Mistry)</t>
  </si>
  <si>
    <t>Catch-22 (Joseph Heller)</t>
  </si>
  <si>
    <t>Harry Potter and the Goblet of Fire (Rowling)</t>
  </si>
  <si>
    <t>Bible</t>
  </si>
  <si>
    <t>Angels and Demons (Dan Brown)</t>
  </si>
  <si>
    <t>The Secret Garden (Frances Hodgson Burnett)</t>
  </si>
  <si>
    <t>Harry Potter and the Order of the Phoenix (Rowling)</t>
  </si>
  <si>
    <t>A Woman of Substance (Barbara Taylor Bradford)</t>
  </si>
  <si>
    <t>Memoirs of a Geisha (Arthur Golden)</t>
  </si>
  <si>
    <t>The Celestine Prophecy (James Redfield)</t>
  </si>
  <si>
    <t>Harry Potter and the Philosopher’s Stone (Rowling)</t>
  </si>
  <si>
    <t>The Great Gatsby (Fitzgerald)</t>
  </si>
  <si>
    <t>Fall on Your Knees (Ann-Marie MacDonald)</t>
  </si>
  <si>
    <t>The Outsiders (S.E. Hinton)</t>
  </si>
  <si>
    <t>The Stand (Stephen King)</t>
  </si>
  <si>
    <t>Harry Potter and the Prisoner of Azkaban (Rowling)</t>
  </si>
  <si>
    <t>The Power of One (Bryce Courtenay)</t>
  </si>
  <si>
    <t>Jane Eyre (Charlotte Bronte)</t>
  </si>
  <si>
    <t>The World According To Garp (John Irving)</t>
  </si>
  <si>
    <t>The Hobbit (Tolkien)</t>
  </si>
  <si>
    <t>Charlotte’s Web (E.B. White)</t>
  </si>
  <si>
    <t>The Catcher in the Rye (J.D. Salinger)</t>
  </si>
  <si>
    <t>A Tree Grows in Brooklyn (Betty Smith)</t>
  </si>
  <si>
    <t>Little Women (Louisa May Alcott)</t>
  </si>
  <si>
    <t>The Lovely Bones (Alice Sebold)</t>
  </si>
  <si>
    <t>The Red Tent (Anita Diamant)</t>
  </si>
  <si>
    <t>The Hitchhiker’s Guide to the Galaxy (Douglas Adams)</t>
  </si>
  <si>
    <t>The Lion, The Witch and the Wardrobe (C. S. Lewis)</t>
  </si>
  <si>
    <t>Wuthering Heights (Emily Bronte)</t>
  </si>
  <si>
    <t>Tuesdays with Morrie (Mitch Albom)</t>
  </si>
  <si>
    <t>The Poisonwood Bible (Barbara Kingsolver)</t>
  </si>
  <si>
    <t>Dune (Frank Herbert)</t>
  </si>
  <si>
    <t>The Secret Life of Bees (Sue Monk Kidd)</t>
  </si>
  <si>
    <t>The Notebook (Nicholas Sparks)</t>
  </si>
  <si>
    <t>Kane and Abel (Jeffrey Archer)</t>
  </si>
  <si>
    <t>Atlas Shrugged (Ayn Rand)</t>
  </si>
  <si>
    <t>Blindness (Jose Saramago)</t>
  </si>
  <si>
    <t>1984 (Orwell)</t>
  </si>
  <si>
    <t>Harry Potter and the Chamber of Secrets (Rowling)</t>
  </si>
  <si>
    <t>The Mists of Avalon (Marion Zimmer Bradley)</t>
  </si>
  <si>
    <t>The Count of Monte Cristo (Alexandre Dumas)</t>
  </si>
  <si>
    <t>The Pillars of the Earth (Ken Follett)</t>
  </si>
  <si>
    <t>White Oleander (Janet Fitch)</t>
  </si>
  <si>
    <t>I Know This Much is True (Wally Lamb)</t>
  </si>
  <si>
    <t>Confessions of a Shopaholic (Sophie Kinsella)</t>
  </si>
  <si>
    <t>Les Miserables (Hugo)</t>
  </si>
  <si>
    <t>The Alchemist (Paulo Coelho)</t>
  </si>
  <si>
    <t>Fifth Business (Robertson Davis)</t>
  </si>
  <si>
    <t>The Clan of the Cave Bear (Jean M. Auel)</t>
  </si>
  <si>
    <t>The Lord of the Rings: Return of the King (Tolkien)</t>
  </si>
  <si>
    <t>The Kite Runner (Khaled Hosseini)</t>
  </si>
  <si>
    <t>Ulysses (James Joyce)</t>
  </si>
  <si>
    <t>The Little Prince (Antoine de Saint-Exupery)</t>
  </si>
  <si>
    <t>Anna Karenina (Tolstoy)</t>
  </si>
  <si>
    <t>She’s Come Undone (Wally Lamb)</t>
  </si>
  <si>
    <t>Rebecca (Daphne DuMaurier)</t>
  </si>
  <si>
    <t>One Hundred Years Of Solitude (Gabriel Garcia Marquez)</t>
  </si>
  <si>
    <t>A Tale of Two Cities (Dickens)</t>
  </si>
  <si>
    <t>Ender’s Game (Orson Scott Card)</t>
  </si>
  <si>
    <t>Great Expectations (Dickens)</t>
  </si>
  <si>
    <t>Of Mice And Men (Steinbeck)</t>
  </si>
  <si>
    <t>The Stone Angel (Margaret Laurence)</t>
  </si>
  <si>
    <t>The Sisterhood of the Traveling Pants (Ann Brashares)</t>
  </si>
  <si>
    <t>The Thorn Birds (Colleen McCullough)</t>
  </si>
  <si>
    <t>Brave New World (Aldous Huxley)</t>
  </si>
  <si>
    <t>The Handmaid’s Tale (Margaret Atwood)</t>
  </si>
  <si>
    <t>The Time Traveller’s Wife (Audrew Niffenegger)</t>
  </si>
  <si>
    <t>Watership Down(Richard Adams)</t>
  </si>
  <si>
    <t>Crime and Punishment (Fyodor Dostoyevsky)</t>
  </si>
  <si>
    <t>The Fountainhead (Ayn Rand)</t>
  </si>
  <si>
    <t>War and Peace (Tolstoy)</t>
  </si>
  <si>
    <t>Interview With The Vampire (Anne Rice)</t>
  </si>
  <si>
    <t>Bridget Jones’ Diary (Fielding)</t>
  </si>
  <si>
    <t>Love in the Time of Cholera (Marquez)</t>
  </si>
  <si>
    <t>Shogun (James Clavell)</t>
  </si>
  <si>
    <t>The English Patient (Michael Ondaatje)</t>
  </si>
  <si>
    <t>The Summer Tree (Guy Gavriel Kay)</t>
  </si>
  <si>
    <t>Lord of the Flies (Golding)</t>
  </si>
  <si>
    <t>The Diviners (Margaret Laurence)</t>
  </si>
  <si>
    <t>Not Wanted On The Voyage (Timothy Findley)</t>
  </si>
  <si>
    <t>Wizard’s First Rule (Terry Goodkind)</t>
  </si>
  <si>
    <t>Emma (Jane Austen)</t>
  </si>
  <si>
    <t>In The Skin Of A Lion (Ondaatje)</t>
  </si>
  <si>
    <t>The Good Earth (Pearl S. Buck)</t>
  </si>
  <si>
    <t>A Prayer for Owen Meany (John Irving)</t>
  </si>
  <si>
    <t>The Five People You Meet In Heaven (Mitch Albom)</t>
  </si>
  <si>
    <t>State</t>
  </si>
  <si>
    <t>Vedu</t>
  </si>
  <si>
    <t>Piddhi</t>
  </si>
  <si>
    <t>Neil</t>
  </si>
  <si>
    <t>Example 11: Logical Formula: Format with complex criteria (AND Logical Test)</t>
  </si>
  <si>
    <t>Example 12: Logical Formula: Format with complex criteria (OR Logical Test)</t>
  </si>
  <si>
    <t>Example 13: Logical Formula: Format items NOT in List</t>
  </si>
  <si>
    <t>Can also be inserted directly into conditional formatting</t>
  </si>
  <si>
    <t>Conditional Formatting -&gt; New Rules -&gt; Use formula -&gt; Set format</t>
  </si>
  <si>
    <t>Reference formulae</t>
  </si>
  <si>
    <t>Select all cells where you want the output</t>
  </si>
  <si>
    <t>Press Ctrl+Shift+Enter</t>
  </si>
  <si>
    <t>If we look at the formula bar, we see the ofrmula surrounded by curly braces.</t>
  </si>
  <si>
    <t>That's the sign of an array function.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</si>
</sst>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4" fillId="2" borderId="1">
      <alignment wrapText="1"/>
    </xf>
    <xf numFmtId="0" fontId="4" fillId="3" borderId="1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0" fillId="0" borderId="2" xfId="0" applyBorder="1"/>
    <xf numFmtId="0" fontId="0" fillId="0" borderId="1" xfId="0" applyBorder="1"/>
    <xf numFmtId="0" fontId="0" fillId="4" borderId="1" xfId="0" applyFill="1" applyBorder="1"/>
    <xf numFmtId="0" fontId="4" fillId="2" borderId="1" xfId="0" applyFont="1" applyFill="1" applyBorder="1" applyAlignment="1">
      <alignment horizontal="center" wrapText="1"/>
    </xf>
    <xf numFmtId="0" fontId="3" fillId="0" borderId="1" xfId="0" applyFont="1" applyBorder="1"/>
    <xf numFmtId="9" fontId="0" fillId="0" borderId="1" xfId="0" applyNumberFormat="1" applyBorder="1"/>
    <xf numFmtId="0" fontId="0" fillId="0" borderId="3" xfId="0" applyBorder="1"/>
    <xf numFmtId="0" fontId="3" fillId="0" borderId="0" xfId="0" applyFont="1" applyAlignment="1">
      <alignment horizontal="left"/>
    </xf>
    <xf numFmtId="0" fontId="4" fillId="2" borderId="1" xfId="0" applyFont="1" applyFill="1" applyBorder="1"/>
    <xf numFmtId="14" fontId="0" fillId="0" borderId="1" xfId="0" applyNumberFormat="1" applyBorder="1"/>
    <xf numFmtId="9" fontId="0" fillId="0" borderId="1" xfId="1" applyFont="1" applyBorder="1"/>
    <xf numFmtId="0" fontId="0" fillId="5" borderId="1" xfId="0" applyFill="1" applyBorder="1"/>
    <xf numFmtId="0" fontId="5" fillId="0" borderId="0" xfId="4"/>
    <xf numFmtId="0" fontId="6" fillId="0" borderId="0" xfId="5"/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</cellXfs>
  <cellStyles count="6">
    <cellStyle name="Blue" xfId="2" xr:uid="{00000000-0005-0000-0000-000000000000}"/>
    <cellStyle name="Explanatory Text" xfId="5" builtinId="53"/>
    <cellStyle name="Hyperlink" xfId="4" builtinId="8"/>
    <cellStyle name="Normal" xfId="0" builtinId="0"/>
    <cellStyle name="Percent" xfId="1" builtinId="5"/>
    <cellStyle name="Red" xfId="3" xr:uid="{00000000-0005-0000-0000-000004000000}"/>
  </cellStyles>
  <dxfs count="17"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urses/Spreadsheet%20Modelling/2019/Teaching%20Sheets/CFN_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ics"/>
      <sheetName val="Cell Contains"/>
      <sheetName val="BelowAve"/>
      <sheetName val="Top3"/>
      <sheetName val="Data Bars"/>
      <sheetName val="Color Scales"/>
      <sheetName val="Icons"/>
      <sheetName val="NOT in List"/>
      <sheetName val="Whole Column "/>
      <sheetName val="AND OR"/>
      <sheetName val="Weekend"/>
      <sheetName val="Cell Contains (an)"/>
      <sheetName val="BelowAve (an)"/>
      <sheetName val="Top3 (an)"/>
      <sheetName val="Data Bars (an)"/>
      <sheetName val="Color Scales (an)"/>
      <sheetName val="Icons (an)"/>
      <sheetName val="Whole Column (an)"/>
      <sheetName val="NOT in List (an)"/>
      <sheetName val="AND OR (an)"/>
      <sheetName val="Weekend (an)"/>
      <sheetName val="Homework ==&gt;&gt;"/>
      <sheetName val="HW(1-3)"/>
      <sheetName val="HW(1-3) (an)"/>
      <sheetName val="HW(4-5)"/>
      <sheetName val="HW(4-5) (an)"/>
      <sheetName val="HW(6)"/>
      <sheetName val="HW(6an)"/>
      <sheetName val="HW(7)"/>
      <sheetName val="HW(7an)"/>
      <sheetName val="HW(8)"/>
      <sheetName val="HW(8an)"/>
      <sheetName val="HW(9)"/>
      <sheetName val="HW(9an)"/>
      <sheetName val="HW(10)"/>
      <sheetName val="HW(10an)"/>
      <sheetName val="HW(11)"/>
      <sheetName val="HW(11an)"/>
      <sheetName val="HW(12)"/>
      <sheetName val="HW(12an)"/>
      <sheetName val="HW(13)"/>
      <sheetName val="HW(13an)"/>
    </sheetNames>
    <sheetDataSet>
      <sheetData sheetId="0">
        <row r="2">
          <cell r="M2" t="str">
            <v>Vedu</v>
          </cell>
          <cell r="O2" t="str">
            <v>IBM</v>
          </cell>
        </row>
        <row r="3">
          <cell r="M3" t="str">
            <v>Piddhi</v>
          </cell>
          <cell r="O3" t="str">
            <v>Target</v>
          </cell>
        </row>
        <row r="4">
          <cell r="M4" t="str">
            <v>Neil</v>
          </cell>
          <cell r="O4" t="str">
            <v>Google</v>
          </cell>
        </row>
        <row r="5">
          <cell r="O5" t="str">
            <v>Amazon</v>
          </cell>
        </row>
        <row r="6">
          <cell r="O6" t="str">
            <v>Vans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M1:O6"/>
  <sheetViews>
    <sheetView workbookViewId="0">
      <selection activeCell="D14" sqref="D14"/>
    </sheetView>
  </sheetViews>
  <sheetFormatPr defaultRowHeight="14.4" x14ac:dyDescent="0.55000000000000004"/>
  <sheetData>
    <row r="1" spans="13:15" x14ac:dyDescent="0.55000000000000004">
      <c r="M1" s="2" t="s">
        <v>4</v>
      </c>
      <c r="O1" s="2" t="s">
        <v>5</v>
      </c>
    </row>
    <row r="2" spans="13:15" x14ac:dyDescent="0.55000000000000004">
      <c r="M2" t="s">
        <v>174</v>
      </c>
      <c r="O2" s="4" t="s">
        <v>7</v>
      </c>
    </row>
    <row r="3" spans="13:15" x14ac:dyDescent="0.55000000000000004">
      <c r="M3" t="s">
        <v>175</v>
      </c>
      <c r="O3" s="5" t="s">
        <v>8</v>
      </c>
    </row>
    <row r="4" spans="13:15" x14ac:dyDescent="0.55000000000000004">
      <c r="M4" t="s">
        <v>176</v>
      </c>
      <c r="O4" s="5" t="s">
        <v>9</v>
      </c>
    </row>
    <row r="5" spans="13:15" x14ac:dyDescent="0.55000000000000004">
      <c r="O5" s="5" t="s">
        <v>10</v>
      </c>
    </row>
    <row r="6" spans="13:15" x14ac:dyDescent="0.55000000000000004">
      <c r="O6" s="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A1:O11"/>
  <sheetViews>
    <sheetView zoomScale="110" zoomScaleNormal="110" workbookViewId="0">
      <selection activeCell="E5" sqref="E5"/>
    </sheetView>
  </sheetViews>
  <sheetFormatPr defaultRowHeight="14.4" x14ac:dyDescent="0.55000000000000004"/>
  <cols>
    <col min="1" max="1" width="9" bestFit="1" customWidth="1"/>
    <col min="2" max="2" width="11.41796875" bestFit="1" customWidth="1"/>
    <col min="3" max="3" width="7.578125" customWidth="1"/>
    <col min="4" max="4" width="2.26171875" customWidth="1"/>
    <col min="6" max="6" width="1.578125" customWidth="1"/>
  </cols>
  <sheetData>
    <row r="1" spans="1:15" x14ac:dyDescent="0.55000000000000004">
      <c r="A1" t="s">
        <v>0</v>
      </c>
      <c r="G1" t="s">
        <v>1</v>
      </c>
    </row>
    <row r="2" spans="1:15" x14ac:dyDescent="0.55000000000000004">
      <c r="A2" s="1" t="s">
        <v>2</v>
      </c>
      <c r="B2" t="str">
        <f>"Cell Contains "&amp;E5</f>
        <v>Cell Contains Neil</v>
      </c>
      <c r="G2" s="1" t="s">
        <v>3</v>
      </c>
      <c r="H2" t="str">
        <f>"Format Whole Row When Record Contains "&amp;E5</f>
        <v>Format Whole Row When Record Contains Neil</v>
      </c>
    </row>
    <row r="4" spans="1:15" x14ac:dyDescent="0.55000000000000004">
      <c r="A4" s="2" t="s">
        <v>4</v>
      </c>
      <c r="B4" s="2" t="s">
        <v>5</v>
      </c>
      <c r="C4" s="2" t="s">
        <v>6</v>
      </c>
      <c r="E4" s="3" t="s">
        <v>4</v>
      </c>
      <c r="G4" s="2" t="s">
        <v>4</v>
      </c>
      <c r="H4" s="2" t="s">
        <v>5</v>
      </c>
      <c r="I4" s="2" t="s">
        <v>6</v>
      </c>
    </row>
    <row r="5" spans="1:15" x14ac:dyDescent="0.55000000000000004">
      <c r="A5" s="5" t="s">
        <v>175</v>
      </c>
      <c r="B5" s="4" t="s">
        <v>7</v>
      </c>
      <c r="C5" s="5">
        <v>9428</v>
      </c>
      <c r="E5" s="5" t="s">
        <v>176</v>
      </c>
      <c r="G5" s="5" t="s">
        <v>175</v>
      </c>
      <c r="H5" s="4" t="s">
        <v>7</v>
      </c>
      <c r="I5" s="5">
        <v>9428</v>
      </c>
      <c r="J5" s="10" t="s">
        <v>176</v>
      </c>
      <c r="K5" s="5" t="b">
        <f>$G5=$J$5</f>
        <v>0</v>
      </c>
      <c r="L5" s="5" t="b">
        <f t="shared" ref="L5:M11" si="0">$G5=$J$5</f>
        <v>0</v>
      </c>
      <c r="M5" s="5" t="b">
        <f t="shared" si="0"/>
        <v>0</v>
      </c>
    </row>
    <row r="6" spans="1:15" x14ac:dyDescent="0.55000000000000004">
      <c r="A6" s="5" t="s">
        <v>174</v>
      </c>
      <c r="B6" s="5" t="s">
        <v>8</v>
      </c>
      <c r="C6" s="5">
        <v>1987</v>
      </c>
      <c r="G6" s="5" t="s">
        <v>174</v>
      </c>
      <c r="H6" s="5" t="s">
        <v>8</v>
      </c>
      <c r="I6" s="5">
        <v>1987</v>
      </c>
      <c r="K6" s="5" t="b">
        <f t="shared" ref="K6:K11" si="1">$G6=$J$5</f>
        <v>0</v>
      </c>
      <c r="L6" s="5" t="b">
        <f t="shared" si="0"/>
        <v>0</v>
      </c>
      <c r="M6" s="5" t="b">
        <f t="shared" si="0"/>
        <v>0</v>
      </c>
      <c r="O6" s="17" t="s">
        <v>182</v>
      </c>
    </row>
    <row r="7" spans="1:15" x14ac:dyDescent="0.55000000000000004">
      <c r="A7" s="5" t="s">
        <v>174</v>
      </c>
      <c r="B7" s="5" t="s">
        <v>9</v>
      </c>
      <c r="C7" s="5">
        <v>7417</v>
      </c>
      <c r="G7" s="5" t="s">
        <v>174</v>
      </c>
      <c r="H7" s="5" t="s">
        <v>9</v>
      </c>
      <c r="I7" s="5">
        <v>7417</v>
      </c>
      <c r="K7" s="5" t="b">
        <f t="shared" si="1"/>
        <v>0</v>
      </c>
      <c r="L7" s="5" t="b">
        <f t="shared" si="0"/>
        <v>0</v>
      </c>
      <c r="M7" s="5" t="b">
        <f t="shared" si="0"/>
        <v>0</v>
      </c>
      <c r="O7" s="17" t="s">
        <v>180</v>
      </c>
    </row>
    <row r="8" spans="1:15" x14ac:dyDescent="0.55000000000000004">
      <c r="A8" s="5" t="s">
        <v>175</v>
      </c>
      <c r="B8" s="5" t="s">
        <v>10</v>
      </c>
      <c r="C8" s="5">
        <v>6270</v>
      </c>
      <c r="G8" s="5" t="s">
        <v>175</v>
      </c>
      <c r="H8" s="5" t="s">
        <v>10</v>
      </c>
      <c r="I8" s="5">
        <v>6270</v>
      </c>
      <c r="K8" s="5" t="b">
        <f t="shared" si="1"/>
        <v>0</v>
      </c>
      <c r="L8" s="5" t="b">
        <f t="shared" si="0"/>
        <v>0</v>
      </c>
      <c r="M8" s="5" t="b">
        <f t="shared" si="0"/>
        <v>0</v>
      </c>
      <c r="O8" s="17" t="s">
        <v>181</v>
      </c>
    </row>
    <row r="9" spans="1:15" x14ac:dyDescent="0.55000000000000004">
      <c r="A9" s="5" t="s">
        <v>176</v>
      </c>
      <c r="B9" s="5" t="s">
        <v>9</v>
      </c>
      <c r="C9" s="5">
        <v>5610</v>
      </c>
      <c r="G9" s="5" t="s">
        <v>176</v>
      </c>
      <c r="H9" s="5" t="s">
        <v>9</v>
      </c>
      <c r="I9" s="5">
        <v>5610</v>
      </c>
      <c r="K9" s="5" t="b">
        <f t="shared" si="1"/>
        <v>1</v>
      </c>
      <c r="L9" s="5" t="b">
        <f t="shared" si="0"/>
        <v>1</v>
      </c>
      <c r="M9" s="5" t="b">
        <f t="shared" si="0"/>
        <v>1</v>
      </c>
    </row>
    <row r="10" spans="1:15" x14ac:dyDescent="0.55000000000000004">
      <c r="A10" s="5" t="s">
        <v>175</v>
      </c>
      <c r="B10" s="5" t="s">
        <v>11</v>
      </c>
      <c r="C10" s="5">
        <v>2546</v>
      </c>
      <c r="G10" s="5" t="s">
        <v>175</v>
      </c>
      <c r="H10" s="5" t="s">
        <v>11</v>
      </c>
      <c r="I10" s="5">
        <v>2546</v>
      </c>
      <c r="K10" s="5" t="b">
        <f t="shared" si="1"/>
        <v>0</v>
      </c>
      <c r="L10" s="5" t="b">
        <f t="shared" si="0"/>
        <v>0</v>
      </c>
      <c r="M10" s="5" t="b">
        <f t="shared" si="0"/>
        <v>0</v>
      </c>
    </row>
    <row r="11" spans="1:15" x14ac:dyDescent="0.55000000000000004">
      <c r="A11" s="5" t="s">
        <v>174</v>
      </c>
      <c r="B11" s="5" t="s">
        <v>9</v>
      </c>
      <c r="C11" s="4">
        <v>6279</v>
      </c>
      <c r="G11" s="5" t="s">
        <v>174</v>
      </c>
      <c r="H11" s="5" t="s">
        <v>9</v>
      </c>
      <c r="I11" s="4">
        <v>6279</v>
      </c>
      <c r="K11" s="5" t="b">
        <f t="shared" si="1"/>
        <v>0</v>
      </c>
      <c r="L11" s="5" t="b">
        <f t="shared" si="0"/>
        <v>0</v>
      </c>
      <c r="M11" s="5" t="b">
        <f t="shared" si="0"/>
        <v>0</v>
      </c>
    </row>
  </sheetData>
  <conditionalFormatting sqref="G5:I11">
    <cfRule type="expression" dxfId="16" priority="1">
      <formula>K5</formula>
    </cfRule>
  </conditionalFormatting>
  <dataValidations count="1">
    <dataValidation type="list" allowBlank="1" showInputMessage="1" showErrorMessage="1" sqref="E5" xr:uid="{00000000-0002-0000-0100-000000000000}">
      <formula1>SalesRep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C6C17ECF-4871-45F8-8960-E93907711B54}">
            <xm:f>NOT(ISERROR(SEARCH($E$5,A5)))</xm:f>
            <xm:f>$E$5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A5:A11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I19"/>
  <sheetViews>
    <sheetView topLeftCell="A4" zoomScale="150" zoomScaleNormal="150" workbookViewId="0">
      <selection activeCell="E13" sqref="E13"/>
    </sheetView>
  </sheetViews>
  <sheetFormatPr defaultRowHeight="14.4" x14ac:dyDescent="0.55000000000000004"/>
  <cols>
    <col min="1" max="1" width="9" bestFit="1" customWidth="1"/>
    <col min="2" max="2" width="11.41796875" bestFit="1" customWidth="1"/>
    <col min="3" max="3" width="7.578125" customWidth="1"/>
    <col min="4" max="4" width="6.578125" customWidth="1"/>
  </cols>
  <sheetData>
    <row r="1" spans="1:9" x14ac:dyDescent="0.55000000000000004">
      <c r="A1" t="s">
        <v>12</v>
      </c>
      <c r="E1" t="s">
        <v>13</v>
      </c>
    </row>
    <row r="2" spans="1:9" x14ac:dyDescent="0.55000000000000004">
      <c r="A2" s="1" t="s">
        <v>2</v>
      </c>
      <c r="B2" t="s">
        <v>14</v>
      </c>
      <c r="E2" s="1" t="s">
        <v>3</v>
      </c>
      <c r="F2" t="s">
        <v>15</v>
      </c>
    </row>
    <row r="4" spans="1:9" x14ac:dyDescent="0.55000000000000004">
      <c r="A4" s="2" t="s">
        <v>4</v>
      </c>
      <c r="B4" s="2" t="s">
        <v>5</v>
      </c>
      <c r="C4" s="2" t="s">
        <v>6</v>
      </c>
      <c r="E4" s="2" t="s">
        <v>4</v>
      </c>
      <c r="F4" s="2" t="s">
        <v>5</v>
      </c>
      <c r="G4" s="2" t="s">
        <v>6</v>
      </c>
      <c r="I4" s="1"/>
    </row>
    <row r="5" spans="1:9" x14ac:dyDescent="0.55000000000000004">
      <c r="A5" s="5" t="s">
        <v>175</v>
      </c>
      <c r="B5" s="4" t="s">
        <v>7</v>
      </c>
      <c r="C5" s="5">
        <f t="shared" ref="C5:C11" si="0">G5</f>
        <v>9428</v>
      </c>
      <c r="E5" s="5" t="s">
        <v>175</v>
      </c>
      <c r="F5" s="4" t="s">
        <v>7</v>
      </c>
      <c r="G5" s="5">
        <v>9428</v>
      </c>
    </row>
    <row r="6" spans="1:9" x14ac:dyDescent="0.55000000000000004">
      <c r="A6" s="5" t="s">
        <v>174</v>
      </c>
      <c r="B6" s="5" t="s">
        <v>8</v>
      </c>
      <c r="C6" s="5">
        <f t="shared" si="0"/>
        <v>1987</v>
      </c>
      <c r="E6" s="5" t="s">
        <v>174</v>
      </c>
      <c r="F6" s="5" t="s">
        <v>8</v>
      </c>
      <c r="G6" s="5">
        <v>1987</v>
      </c>
    </row>
    <row r="7" spans="1:9" x14ac:dyDescent="0.55000000000000004">
      <c r="A7" s="5" t="s">
        <v>174</v>
      </c>
      <c r="B7" s="5" t="s">
        <v>9</v>
      </c>
      <c r="C7" s="5">
        <f t="shared" si="0"/>
        <v>7417</v>
      </c>
      <c r="E7" s="5" t="s">
        <v>174</v>
      </c>
      <c r="F7" s="5" t="s">
        <v>9</v>
      </c>
      <c r="G7" s="5">
        <v>7417</v>
      </c>
    </row>
    <row r="8" spans="1:9" x14ac:dyDescent="0.55000000000000004">
      <c r="A8" s="5" t="s">
        <v>175</v>
      </c>
      <c r="B8" s="5" t="s">
        <v>10</v>
      </c>
      <c r="C8" s="5">
        <f t="shared" si="0"/>
        <v>6270</v>
      </c>
      <c r="E8" s="5" t="s">
        <v>175</v>
      </c>
      <c r="F8" s="5" t="s">
        <v>10</v>
      </c>
      <c r="G8" s="5">
        <v>6270</v>
      </c>
    </row>
    <row r="9" spans="1:9" x14ac:dyDescent="0.55000000000000004">
      <c r="A9" s="5" t="s">
        <v>176</v>
      </c>
      <c r="B9" s="5" t="s">
        <v>9</v>
      </c>
      <c r="C9" s="5">
        <f t="shared" si="0"/>
        <v>5610</v>
      </c>
      <c r="E9" s="5" t="s">
        <v>176</v>
      </c>
      <c r="F9" s="5" t="s">
        <v>9</v>
      </c>
      <c r="G9" s="5">
        <v>5610</v>
      </c>
    </row>
    <row r="10" spans="1:9" x14ac:dyDescent="0.55000000000000004">
      <c r="A10" s="5" t="s">
        <v>175</v>
      </c>
      <c r="B10" s="5" t="s">
        <v>11</v>
      </c>
      <c r="C10" s="5">
        <f t="shared" si="0"/>
        <v>2546</v>
      </c>
      <c r="E10" s="5" t="s">
        <v>175</v>
      </c>
      <c r="F10" s="5" t="s">
        <v>11</v>
      </c>
      <c r="G10" s="5">
        <v>2546</v>
      </c>
    </row>
    <row r="11" spans="1:9" x14ac:dyDescent="0.55000000000000004">
      <c r="A11" s="5" t="s">
        <v>174</v>
      </c>
      <c r="B11" s="5" t="s">
        <v>9</v>
      </c>
      <c r="C11" s="4">
        <f t="shared" si="0"/>
        <v>6279</v>
      </c>
      <c r="E11" s="5" t="s">
        <v>174</v>
      </c>
      <c r="F11" s="5" t="s">
        <v>9</v>
      </c>
      <c r="G11" s="4">
        <v>6279</v>
      </c>
    </row>
    <row r="12" spans="1:9" x14ac:dyDescent="0.55000000000000004">
      <c r="C12" s="10"/>
    </row>
    <row r="13" spans="1:9" x14ac:dyDescent="0.55000000000000004">
      <c r="E13" s="5" t="b">
        <f t="shared" ref="E13:F13" si="1">IF($G5&lt;AVERAGE($G$5:$G$11),TRUE,FALSE)</f>
        <v>0</v>
      </c>
      <c r="F13" s="5" t="b">
        <f t="shared" si="1"/>
        <v>0</v>
      </c>
      <c r="G13" s="5" t="b">
        <f>IF($G5&lt;AVERAGE($G$5:$G$11),TRUE,FALSE)</f>
        <v>0</v>
      </c>
    </row>
    <row r="14" spans="1:9" x14ac:dyDescent="0.55000000000000004">
      <c r="E14" s="5" t="b">
        <f t="shared" ref="E14:G19" si="2">IF($G6&lt;AVERAGE($G$5:$G$11),TRUE,FALSE)</f>
        <v>1</v>
      </c>
      <c r="F14" s="5" t="b">
        <f t="shared" si="2"/>
        <v>1</v>
      </c>
      <c r="G14" s="5" t="b">
        <f t="shared" si="2"/>
        <v>1</v>
      </c>
    </row>
    <row r="15" spans="1:9" x14ac:dyDescent="0.55000000000000004">
      <c r="E15" s="5" t="b">
        <f t="shared" si="2"/>
        <v>0</v>
      </c>
      <c r="F15" s="5" t="b">
        <f t="shared" si="2"/>
        <v>0</v>
      </c>
      <c r="G15" s="5" t="b">
        <f t="shared" si="2"/>
        <v>0</v>
      </c>
    </row>
    <row r="16" spans="1:9" x14ac:dyDescent="0.55000000000000004">
      <c r="E16" s="5" t="b">
        <f t="shared" si="2"/>
        <v>0</v>
      </c>
      <c r="F16" s="5" t="b">
        <f t="shared" si="2"/>
        <v>0</v>
      </c>
      <c r="G16" s="5" t="b">
        <f t="shared" si="2"/>
        <v>0</v>
      </c>
    </row>
    <row r="17" spans="5:7" x14ac:dyDescent="0.55000000000000004">
      <c r="E17" s="5" t="b">
        <f t="shared" si="2"/>
        <v>1</v>
      </c>
      <c r="F17" s="5" t="b">
        <f t="shared" si="2"/>
        <v>1</v>
      </c>
      <c r="G17" s="5" t="b">
        <f t="shared" si="2"/>
        <v>1</v>
      </c>
    </row>
    <row r="18" spans="5:7" x14ac:dyDescent="0.55000000000000004">
      <c r="E18" s="5" t="b">
        <f t="shared" si="2"/>
        <v>1</v>
      </c>
      <c r="F18" s="5" t="b">
        <f t="shared" si="2"/>
        <v>1</v>
      </c>
      <c r="G18" s="5" t="b">
        <f t="shared" si="2"/>
        <v>1</v>
      </c>
    </row>
    <row r="19" spans="5:7" x14ac:dyDescent="0.55000000000000004">
      <c r="E19" s="5" t="b">
        <f t="shared" si="2"/>
        <v>0</v>
      </c>
      <c r="F19" s="5" t="b">
        <f t="shared" si="2"/>
        <v>0</v>
      </c>
      <c r="G19" s="5" t="b">
        <f t="shared" si="2"/>
        <v>0</v>
      </c>
    </row>
  </sheetData>
  <conditionalFormatting sqref="C5:C11">
    <cfRule type="aboveAverage" dxfId="14" priority="2" aboveAverage="0"/>
  </conditionalFormatting>
  <conditionalFormatting sqref="E5:G11">
    <cfRule type="expression" dxfId="13" priority="1">
      <formula>E13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A1:K11"/>
  <sheetViews>
    <sheetView zoomScale="120" zoomScaleNormal="120" workbookViewId="0">
      <selection activeCell="I12" sqref="I12"/>
    </sheetView>
  </sheetViews>
  <sheetFormatPr defaultRowHeight="14.4" x14ac:dyDescent="0.55000000000000004"/>
  <cols>
    <col min="1" max="1" width="9" bestFit="1" customWidth="1"/>
    <col min="2" max="2" width="11.41796875" bestFit="1" customWidth="1"/>
    <col min="3" max="3" width="7.578125" customWidth="1"/>
    <col min="4" max="4" width="5.68359375" customWidth="1"/>
  </cols>
  <sheetData>
    <row r="1" spans="1:11" x14ac:dyDescent="0.55000000000000004">
      <c r="A1" t="s">
        <v>16</v>
      </c>
      <c r="E1" t="s">
        <v>17</v>
      </c>
    </row>
    <row r="2" spans="1:11" x14ac:dyDescent="0.55000000000000004">
      <c r="A2" s="1" t="s">
        <v>2</v>
      </c>
      <c r="B2" t="s">
        <v>18</v>
      </c>
      <c r="E2" s="1" t="s">
        <v>3</v>
      </c>
      <c r="F2" t="s">
        <v>19</v>
      </c>
      <c r="I2" s="3" t="s">
        <v>20</v>
      </c>
      <c r="J2" s="5">
        <v>3</v>
      </c>
    </row>
    <row r="3" spans="1:11" x14ac:dyDescent="0.55000000000000004">
      <c r="I3" s="3" t="str">
        <f>J2&amp;" value:"</f>
        <v>3 value:</v>
      </c>
      <c r="J3" s="6">
        <f>LARGE(G5:G11,J2)</f>
        <v>6279</v>
      </c>
    </row>
    <row r="4" spans="1:11" x14ac:dyDescent="0.55000000000000004">
      <c r="A4" s="2" t="s">
        <v>4</v>
      </c>
      <c r="B4" s="2" t="s">
        <v>5</v>
      </c>
      <c r="C4" s="2" t="s">
        <v>6</v>
      </c>
      <c r="E4" s="2" t="s">
        <v>4</v>
      </c>
      <c r="F4" s="2" t="s">
        <v>5</v>
      </c>
      <c r="G4" s="2" t="s">
        <v>6</v>
      </c>
    </row>
    <row r="5" spans="1:11" x14ac:dyDescent="0.55000000000000004">
      <c r="A5" s="5" t="s">
        <v>175</v>
      </c>
      <c r="B5" s="4" t="s">
        <v>7</v>
      </c>
      <c r="C5" s="5">
        <f t="shared" ref="C5:C11" si="0">G5</f>
        <v>9428</v>
      </c>
      <c r="E5" s="5" t="s">
        <v>175</v>
      </c>
      <c r="F5" s="4" t="s">
        <v>7</v>
      </c>
      <c r="G5" s="5">
        <v>9428</v>
      </c>
      <c r="I5" s="5" t="b">
        <f t="shared" ref="I5:J5" si="1">$G5&gt;=$J$3</f>
        <v>1</v>
      </c>
      <c r="J5" s="5" t="b">
        <f t="shared" si="1"/>
        <v>1</v>
      </c>
      <c r="K5" s="5" t="b">
        <f>$G5&gt;=$J$3</f>
        <v>1</v>
      </c>
    </row>
    <row r="6" spans="1:11" x14ac:dyDescent="0.55000000000000004">
      <c r="A6" s="5" t="s">
        <v>174</v>
      </c>
      <c r="B6" s="5" t="s">
        <v>8</v>
      </c>
      <c r="C6" s="5">
        <f t="shared" si="0"/>
        <v>1987</v>
      </c>
      <c r="E6" s="5" t="s">
        <v>174</v>
      </c>
      <c r="F6" s="5" t="s">
        <v>8</v>
      </c>
      <c r="G6" s="5">
        <v>1987</v>
      </c>
      <c r="I6" s="5" t="b">
        <f t="shared" ref="I6:K11" si="2">$G6&gt;=$J$3</f>
        <v>0</v>
      </c>
      <c r="J6" s="5" t="b">
        <f t="shared" si="2"/>
        <v>0</v>
      </c>
      <c r="K6" s="5" t="b">
        <f t="shared" si="2"/>
        <v>0</v>
      </c>
    </row>
    <row r="7" spans="1:11" x14ac:dyDescent="0.55000000000000004">
      <c r="A7" s="5" t="s">
        <v>174</v>
      </c>
      <c r="B7" s="5" t="s">
        <v>9</v>
      </c>
      <c r="C7" s="5">
        <f t="shared" si="0"/>
        <v>7417</v>
      </c>
      <c r="E7" s="5" t="s">
        <v>174</v>
      </c>
      <c r="F7" s="5" t="s">
        <v>9</v>
      </c>
      <c r="G7" s="5">
        <v>7417</v>
      </c>
      <c r="I7" s="5" t="b">
        <f t="shared" si="2"/>
        <v>1</v>
      </c>
      <c r="J7" s="5" t="b">
        <f t="shared" si="2"/>
        <v>1</v>
      </c>
      <c r="K7" s="5" t="b">
        <f t="shared" si="2"/>
        <v>1</v>
      </c>
    </row>
    <row r="8" spans="1:11" x14ac:dyDescent="0.55000000000000004">
      <c r="A8" s="5" t="s">
        <v>175</v>
      </c>
      <c r="B8" s="5" t="s">
        <v>10</v>
      </c>
      <c r="C8" s="5">
        <f t="shared" si="0"/>
        <v>6270</v>
      </c>
      <c r="E8" s="5" t="s">
        <v>175</v>
      </c>
      <c r="F8" s="5" t="s">
        <v>10</v>
      </c>
      <c r="G8" s="5">
        <v>6270</v>
      </c>
      <c r="I8" s="5" t="b">
        <f t="shared" si="2"/>
        <v>0</v>
      </c>
      <c r="J8" s="5" t="b">
        <f t="shared" si="2"/>
        <v>0</v>
      </c>
      <c r="K8" s="5" t="b">
        <f t="shared" si="2"/>
        <v>0</v>
      </c>
    </row>
    <row r="9" spans="1:11" x14ac:dyDescent="0.55000000000000004">
      <c r="A9" s="5" t="s">
        <v>176</v>
      </c>
      <c r="B9" s="5" t="s">
        <v>9</v>
      </c>
      <c r="C9" s="5">
        <f t="shared" si="0"/>
        <v>5610</v>
      </c>
      <c r="E9" s="5" t="s">
        <v>176</v>
      </c>
      <c r="F9" s="5" t="s">
        <v>9</v>
      </c>
      <c r="G9" s="5">
        <v>5610</v>
      </c>
      <c r="I9" s="5" t="b">
        <f t="shared" si="2"/>
        <v>0</v>
      </c>
      <c r="J9" s="5" t="b">
        <f t="shared" si="2"/>
        <v>0</v>
      </c>
      <c r="K9" s="5" t="b">
        <f t="shared" si="2"/>
        <v>0</v>
      </c>
    </row>
    <row r="10" spans="1:11" x14ac:dyDescent="0.55000000000000004">
      <c r="A10" s="5" t="s">
        <v>175</v>
      </c>
      <c r="B10" s="5" t="s">
        <v>11</v>
      </c>
      <c r="C10" s="5">
        <f t="shared" si="0"/>
        <v>2546</v>
      </c>
      <c r="E10" s="5" t="s">
        <v>175</v>
      </c>
      <c r="F10" s="5" t="s">
        <v>11</v>
      </c>
      <c r="G10" s="5">
        <v>2546</v>
      </c>
      <c r="I10" s="5" t="b">
        <f t="shared" si="2"/>
        <v>0</v>
      </c>
      <c r="J10" s="5" t="b">
        <f t="shared" si="2"/>
        <v>0</v>
      </c>
      <c r="K10" s="5" t="b">
        <f t="shared" si="2"/>
        <v>0</v>
      </c>
    </row>
    <row r="11" spans="1:11" x14ac:dyDescent="0.55000000000000004">
      <c r="A11" s="5" t="s">
        <v>174</v>
      </c>
      <c r="B11" s="5" t="s">
        <v>9</v>
      </c>
      <c r="C11" s="4">
        <f t="shared" si="0"/>
        <v>6279</v>
      </c>
      <c r="E11" s="5" t="s">
        <v>174</v>
      </c>
      <c r="F11" s="5" t="s">
        <v>9</v>
      </c>
      <c r="G11" s="4">
        <v>6279</v>
      </c>
      <c r="I11" s="5" t="b">
        <f t="shared" si="2"/>
        <v>1</v>
      </c>
      <c r="J11" s="5" t="b">
        <f t="shared" si="2"/>
        <v>1</v>
      </c>
      <c r="K11" s="5" t="b">
        <f t="shared" si="2"/>
        <v>1</v>
      </c>
    </row>
  </sheetData>
  <conditionalFormatting sqref="C5:C11">
    <cfRule type="top10" dxfId="12" priority="3" rank="3"/>
    <cfRule type="top10" dxfId="11" priority="2" bottom="1" rank="3"/>
  </conditionalFormatting>
  <conditionalFormatting sqref="E5:G11">
    <cfRule type="expression" dxfId="10" priority="1">
      <formula>I5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A1:G187"/>
  <sheetViews>
    <sheetView zoomScaleNormal="100" workbookViewId="0">
      <selection activeCell="D14" sqref="D14:E18"/>
    </sheetView>
  </sheetViews>
  <sheetFormatPr defaultRowHeight="14.4" x14ac:dyDescent="0.55000000000000004"/>
  <cols>
    <col min="1" max="1" width="52.41796875" customWidth="1"/>
    <col min="3" max="3" width="31.47265625" bestFit="1" customWidth="1"/>
    <col min="4" max="4" width="15.1015625" bestFit="1" customWidth="1"/>
    <col min="5" max="5" width="9.15625" bestFit="1" customWidth="1"/>
    <col min="6" max="6" width="11.578125" customWidth="1"/>
  </cols>
  <sheetData>
    <row r="1" spans="1:7" x14ac:dyDescent="0.55000000000000004">
      <c r="A1" s="7" t="s">
        <v>21</v>
      </c>
      <c r="C1" s="1" t="s">
        <v>22</v>
      </c>
    </row>
    <row r="2" spans="1:7" x14ac:dyDescent="0.55000000000000004">
      <c r="A2" s="4">
        <v>29.4</v>
      </c>
      <c r="C2" t="s">
        <v>23</v>
      </c>
    </row>
    <row r="3" spans="1:7" x14ac:dyDescent="0.55000000000000004">
      <c r="A3" s="5">
        <v>37.1</v>
      </c>
      <c r="C3" t="s">
        <v>24</v>
      </c>
    </row>
    <row r="4" spans="1:7" x14ac:dyDescent="0.55000000000000004">
      <c r="A4" s="5">
        <v>26</v>
      </c>
    </row>
    <row r="5" spans="1:7" x14ac:dyDescent="0.55000000000000004">
      <c r="A5" s="5">
        <v>15.6</v>
      </c>
    </row>
    <row r="6" spans="1:7" x14ac:dyDescent="0.55000000000000004">
      <c r="A6" s="5">
        <v>40.9</v>
      </c>
      <c r="C6" s="19" t="s">
        <v>25</v>
      </c>
      <c r="D6" s="19"/>
      <c r="E6" s="19"/>
      <c r="F6" s="19"/>
    </row>
    <row r="7" spans="1:7" x14ac:dyDescent="0.55000000000000004">
      <c r="A7" s="5">
        <v>38.1</v>
      </c>
      <c r="C7" s="1" t="s">
        <v>26</v>
      </c>
      <c r="D7" s="1" t="s">
        <v>27</v>
      </c>
      <c r="E7" s="1" t="s">
        <v>28</v>
      </c>
    </row>
    <row r="8" spans="1:7" x14ac:dyDescent="0.55000000000000004">
      <c r="A8" s="5">
        <v>1.7</v>
      </c>
      <c r="C8" t="str">
        <f>"        Score &lt;= "&amp;D8</f>
        <v xml:space="preserve">        Score &lt;= 10</v>
      </c>
      <c r="D8">
        <v>10</v>
      </c>
      <c r="E8">
        <f t="array" ref="E8:E12">FREQUENCY(A2:A187,D8:D12)</f>
        <v>15</v>
      </c>
      <c r="G8" s="17" t="s">
        <v>183</v>
      </c>
    </row>
    <row r="9" spans="1:7" x14ac:dyDescent="0.55000000000000004">
      <c r="A9" s="5">
        <v>16.5</v>
      </c>
      <c r="C9" t="str">
        <f t="shared" ref="C9:C12" si="0">D8&amp;" &lt; Score &lt;= "&amp;D9</f>
        <v>10 &lt; Score &lt;= 20</v>
      </c>
      <c r="D9">
        <v>20</v>
      </c>
      <c r="E9">
        <v>33</v>
      </c>
      <c r="G9" s="17" t="s">
        <v>184</v>
      </c>
    </row>
    <row r="10" spans="1:7" x14ac:dyDescent="0.55000000000000004">
      <c r="A10" s="5">
        <v>33.200000000000003</v>
      </c>
      <c r="C10" t="str">
        <f t="shared" si="0"/>
        <v>20 &lt; Score &lt;= 30</v>
      </c>
      <c r="D10">
        <v>30</v>
      </c>
      <c r="E10">
        <v>55</v>
      </c>
      <c r="G10" s="17" t="s">
        <v>185</v>
      </c>
    </row>
    <row r="11" spans="1:7" x14ac:dyDescent="0.55000000000000004">
      <c r="A11" s="5">
        <v>37.200000000000003</v>
      </c>
      <c r="C11" t="str">
        <f t="shared" si="0"/>
        <v>30 &lt; Score &lt;= 40</v>
      </c>
      <c r="D11">
        <v>40</v>
      </c>
      <c r="E11">
        <v>70</v>
      </c>
      <c r="G11" s="17" t="s">
        <v>186</v>
      </c>
    </row>
    <row r="12" spans="1:7" x14ac:dyDescent="0.55000000000000004">
      <c r="A12" s="5">
        <v>18.600000000000001</v>
      </c>
      <c r="C12" t="str">
        <f t="shared" si="0"/>
        <v>40 &lt; Score &lt;= 50</v>
      </c>
      <c r="D12">
        <v>50</v>
      </c>
      <c r="E12">
        <v>13</v>
      </c>
    </row>
    <row r="13" spans="1:7" x14ac:dyDescent="0.55000000000000004">
      <c r="A13" s="5">
        <v>3.3</v>
      </c>
    </row>
    <row r="14" spans="1:7" x14ac:dyDescent="0.55000000000000004">
      <c r="A14" s="5">
        <v>37.9</v>
      </c>
    </row>
    <row r="15" spans="1:7" x14ac:dyDescent="0.55000000000000004">
      <c r="A15" s="5">
        <v>37.799999999999997</v>
      </c>
    </row>
    <row r="16" spans="1:7" x14ac:dyDescent="0.55000000000000004">
      <c r="A16" s="5">
        <v>20.7</v>
      </c>
    </row>
    <row r="17" spans="1:1" x14ac:dyDescent="0.55000000000000004">
      <c r="A17" s="5">
        <v>31.9</v>
      </c>
    </row>
    <row r="18" spans="1:1" x14ac:dyDescent="0.55000000000000004">
      <c r="A18" s="5">
        <v>21</v>
      </c>
    </row>
    <row r="19" spans="1:1" x14ac:dyDescent="0.55000000000000004">
      <c r="A19" s="5">
        <v>9.8000000000000007</v>
      </c>
    </row>
    <row r="20" spans="1:1" x14ac:dyDescent="0.55000000000000004">
      <c r="A20" s="5">
        <v>25.9</v>
      </c>
    </row>
    <row r="21" spans="1:1" x14ac:dyDescent="0.55000000000000004">
      <c r="A21" s="5">
        <v>28.3</v>
      </c>
    </row>
    <row r="22" spans="1:1" x14ac:dyDescent="0.55000000000000004">
      <c r="A22" s="5">
        <v>36.1</v>
      </c>
    </row>
    <row r="23" spans="1:1" x14ac:dyDescent="0.55000000000000004">
      <c r="A23" s="5">
        <v>25.4</v>
      </c>
    </row>
    <row r="24" spans="1:1" x14ac:dyDescent="0.55000000000000004">
      <c r="A24" s="5">
        <v>23.7</v>
      </c>
    </row>
    <row r="25" spans="1:1" x14ac:dyDescent="0.55000000000000004">
      <c r="A25" s="5">
        <v>18.899999999999999</v>
      </c>
    </row>
    <row r="26" spans="1:1" x14ac:dyDescent="0.55000000000000004">
      <c r="A26" s="5">
        <v>5.2</v>
      </c>
    </row>
    <row r="27" spans="1:1" x14ac:dyDescent="0.55000000000000004">
      <c r="A27" s="5">
        <v>25.7</v>
      </c>
    </row>
    <row r="28" spans="1:1" x14ac:dyDescent="0.55000000000000004">
      <c r="A28" s="5">
        <v>39.9</v>
      </c>
    </row>
    <row r="29" spans="1:1" x14ac:dyDescent="0.55000000000000004">
      <c r="A29" s="5">
        <v>28.4</v>
      </c>
    </row>
    <row r="30" spans="1:1" x14ac:dyDescent="0.55000000000000004">
      <c r="A30" s="5">
        <v>33.799999999999997</v>
      </c>
    </row>
    <row r="31" spans="1:1" x14ac:dyDescent="0.55000000000000004">
      <c r="A31" s="5">
        <v>25.5</v>
      </c>
    </row>
    <row r="32" spans="1:1" x14ac:dyDescent="0.55000000000000004">
      <c r="A32" s="5">
        <v>43</v>
      </c>
    </row>
    <row r="33" spans="1:1" x14ac:dyDescent="0.55000000000000004">
      <c r="A33" s="5">
        <v>28.1</v>
      </c>
    </row>
    <row r="34" spans="1:1" x14ac:dyDescent="0.55000000000000004">
      <c r="A34" s="5">
        <v>18.100000000000001</v>
      </c>
    </row>
    <row r="35" spans="1:1" x14ac:dyDescent="0.55000000000000004">
      <c r="A35" s="5">
        <v>34.200000000000003</v>
      </c>
    </row>
    <row r="36" spans="1:1" x14ac:dyDescent="0.55000000000000004">
      <c r="A36" s="5">
        <v>26.6</v>
      </c>
    </row>
    <row r="37" spans="1:1" x14ac:dyDescent="0.55000000000000004">
      <c r="A37" s="5">
        <v>39.700000000000003</v>
      </c>
    </row>
    <row r="38" spans="1:1" x14ac:dyDescent="0.55000000000000004">
      <c r="A38" s="5">
        <v>30.7</v>
      </c>
    </row>
    <row r="39" spans="1:1" x14ac:dyDescent="0.55000000000000004">
      <c r="A39" s="5">
        <v>16.7</v>
      </c>
    </row>
    <row r="40" spans="1:1" x14ac:dyDescent="0.55000000000000004">
      <c r="A40" s="5">
        <v>33.19</v>
      </c>
    </row>
    <row r="41" spans="1:1" x14ac:dyDescent="0.55000000000000004">
      <c r="A41" s="5">
        <v>28.799999999999997</v>
      </c>
    </row>
    <row r="42" spans="1:1" x14ac:dyDescent="0.55000000000000004">
      <c r="A42" s="5">
        <v>31.6</v>
      </c>
    </row>
    <row r="43" spans="1:1" x14ac:dyDescent="0.55000000000000004">
      <c r="A43" s="5">
        <v>26.2</v>
      </c>
    </row>
    <row r="44" spans="1:1" x14ac:dyDescent="0.55000000000000004">
      <c r="A44" s="5">
        <v>39.5</v>
      </c>
    </row>
    <row r="45" spans="1:1" x14ac:dyDescent="0.55000000000000004">
      <c r="A45" s="5">
        <v>27.1</v>
      </c>
    </row>
    <row r="46" spans="1:1" x14ac:dyDescent="0.55000000000000004">
      <c r="A46" s="5">
        <v>10</v>
      </c>
    </row>
    <row r="47" spans="1:1" x14ac:dyDescent="0.55000000000000004">
      <c r="A47" s="5">
        <v>25.3</v>
      </c>
    </row>
    <row r="48" spans="1:1" x14ac:dyDescent="0.55000000000000004">
      <c r="A48" s="5">
        <v>19</v>
      </c>
    </row>
    <row r="49" spans="1:1" x14ac:dyDescent="0.55000000000000004">
      <c r="A49" s="5">
        <v>28.1</v>
      </c>
    </row>
    <row r="50" spans="1:1" x14ac:dyDescent="0.55000000000000004">
      <c r="A50" s="5">
        <v>15.4</v>
      </c>
    </row>
    <row r="51" spans="1:1" x14ac:dyDescent="0.55000000000000004">
      <c r="A51" s="5">
        <v>23.4</v>
      </c>
    </row>
    <row r="52" spans="1:1" x14ac:dyDescent="0.55000000000000004">
      <c r="A52" s="5">
        <v>37.9</v>
      </c>
    </row>
    <row r="53" spans="1:1" x14ac:dyDescent="0.55000000000000004">
      <c r="A53" s="5">
        <v>8.3000000000000007</v>
      </c>
    </row>
    <row r="54" spans="1:1" x14ac:dyDescent="0.55000000000000004">
      <c r="A54" s="5">
        <v>28.8</v>
      </c>
    </row>
    <row r="55" spans="1:1" x14ac:dyDescent="0.55000000000000004">
      <c r="A55" s="5">
        <v>8.5</v>
      </c>
    </row>
    <row r="56" spans="1:1" x14ac:dyDescent="0.55000000000000004">
      <c r="A56" s="5">
        <v>20.3</v>
      </c>
    </row>
    <row r="57" spans="1:1" x14ac:dyDescent="0.55000000000000004">
      <c r="A57" s="5">
        <v>25</v>
      </c>
    </row>
    <row r="58" spans="1:1" x14ac:dyDescent="0.55000000000000004">
      <c r="A58" s="5">
        <v>22.5</v>
      </c>
    </row>
    <row r="59" spans="1:1" x14ac:dyDescent="0.55000000000000004">
      <c r="A59" s="5">
        <v>34.6</v>
      </c>
    </row>
    <row r="60" spans="1:1" x14ac:dyDescent="0.55000000000000004">
      <c r="A60" s="5">
        <v>4.7</v>
      </c>
    </row>
    <row r="61" spans="1:1" x14ac:dyDescent="0.55000000000000004">
      <c r="A61" s="5">
        <v>33.299999999999997</v>
      </c>
    </row>
    <row r="62" spans="1:1" x14ac:dyDescent="0.55000000000000004">
      <c r="A62" s="5">
        <v>39.700000000000003</v>
      </c>
    </row>
    <row r="63" spans="1:1" x14ac:dyDescent="0.55000000000000004">
      <c r="A63" s="5">
        <v>12.9</v>
      </c>
    </row>
    <row r="64" spans="1:1" x14ac:dyDescent="0.55000000000000004">
      <c r="A64" s="5">
        <v>16.8</v>
      </c>
    </row>
    <row r="65" spans="1:1" x14ac:dyDescent="0.55000000000000004">
      <c r="A65" s="5">
        <v>3</v>
      </c>
    </row>
    <row r="66" spans="1:1" x14ac:dyDescent="0.55000000000000004">
      <c r="A66" s="5">
        <v>23.6</v>
      </c>
    </row>
    <row r="67" spans="1:1" x14ac:dyDescent="0.55000000000000004">
      <c r="A67" s="5">
        <v>29.4</v>
      </c>
    </row>
    <row r="68" spans="1:1" x14ac:dyDescent="0.55000000000000004">
      <c r="A68" s="5">
        <v>27</v>
      </c>
    </row>
    <row r="69" spans="1:1" x14ac:dyDescent="0.55000000000000004">
      <c r="A69" s="5">
        <v>34.799999999999997</v>
      </c>
    </row>
    <row r="70" spans="1:1" x14ac:dyDescent="0.55000000000000004">
      <c r="A70" s="5">
        <v>34.119999999999997</v>
      </c>
    </row>
    <row r="71" spans="1:1" x14ac:dyDescent="0.55000000000000004">
      <c r="A71" s="5">
        <v>40.1</v>
      </c>
    </row>
    <row r="72" spans="1:1" x14ac:dyDescent="0.55000000000000004">
      <c r="A72" s="5">
        <v>38.299999999999997</v>
      </c>
    </row>
    <row r="73" spans="1:1" x14ac:dyDescent="0.55000000000000004">
      <c r="A73" s="5">
        <v>23.7</v>
      </c>
    </row>
    <row r="74" spans="1:1" x14ac:dyDescent="0.55000000000000004">
      <c r="A74" s="5">
        <v>8.4</v>
      </c>
    </row>
    <row r="75" spans="1:1" x14ac:dyDescent="0.55000000000000004">
      <c r="A75" s="5">
        <v>16.7</v>
      </c>
    </row>
    <row r="76" spans="1:1" x14ac:dyDescent="0.55000000000000004">
      <c r="A76" s="5">
        <v>37.299999999999997</v>
      </c>
    </row>
    <row r="77" spans="1:1" x14ac:dyDescent="0.55000000000000004">
      <c r="A77" s="5">
        <v>10.3</v>
      </c>
    </row>
    <row r="78" spans="1:1" x14ac:dyDescent="0.55000000000000004">
      <c r="A78" s="5">
        <v>23.7</v>
      </c>
    </row>
    <row r="79" spans="1:1" x14ac:dyDescent="0.55000000000000004">
      <c r="A79" s="5">
        <v>24.5</v>
      </c>
    </row>
    <row r="80" spans="1:1" x14ac:dyDescent="0.55000000000000004">
      <c r="A80" s="5">
        <v>21.6</v>
      </c>
    </row>
    <row r="81" spans="1:1" x14ac:dyDescent="0.55000000000000004">
      <c r="A81" s="5">
        <v>12.3</v>
      </c>
    </row>
    <row r="82" spans="1:1" x14ac:dyDescent="0.55000000000000004">
      <c r="A82" s="5">
        <v>46</v>
      </c>
    </row>
    <row r="83" spans="1:1" x14ac:dyDescent="0.55000000000000004">
      <c r="A83" s="5">
        <v>40.200000000000003</v>
      </c>
    </row>
    <row r="84" spans="1:1" x14ac:dyDescent="0.55000000000000004">
      <c r="A84" s="5">
        <v>30.4</v>
      </c>
    </row>
    <row r="85" spans="1:1" x14ac:dyDescent="0.55000000000000004">
      <c r="A85" s="5">
        <v>18.7</v>
      </c>
    </row>
    <row r="86" spans="1:1" x14ac:dyDescent="0.55000000000000004">
      <c r="A86" s="5">
        <v>12</v>
      </c>
    </row>
    <row r="87" spans="1:1" x14ac:dyDescent="0.55000000000000004">
      <c r="A87" s="5">
        <v>38.25</v>
      </c>
    </row>
    <row r="88" spans="1:1" x14ac:dyDescent="0.55000000000000004">
      <c r="A88" s="5">
        <v>38.42</v>
      </c>
    </row>
    <row r="89" spans="1:1" x14ac:dyDescent="0.55000000000000004">
      <c r="A89" s="5">
        <v>44.2</v>
      </c>
    </row>
    <row r="90" spans="1:1" x14ac:dyDescent="0.55000000000000004">
      <c r="A90" s="5">
        <v>39.6</v>
      </c>
    </row>
    <row r="91" spans="1:1" x14ac:dyDescent="0.55000000000000004">
      <c r="A91" s="5">
        <v>10.1</v>
      </c>
    </row>
    <row r="92" spans="1:1" x14ac:dyDescent="0.55000000000000004">
      <c r="A92" s="5">
        <v>22.9</v>
      </c>
    </row>
    <row r="93" spans="1:1" x14ac:dyDescent="0.55000000000000004">
      <c r="A93" s="5">
        <v>14.1</v>
      </c>
    </row>
    <row r="94" spans="1:1" x14ac:dyDescent="0.55000000000000004">
      <c r="A94" s="5">
        <v>24.700000000000003</v>
      </c>
    </row>
    <row r="95" spans="1:1" x14ac:dyDescent="0.55000000000000004">
      <c r="A95" s="5">
        <v>17.600000000000001</v>
      </c>
    </row>
    <row r="96" spans="1:1" x14ac:dyDescent="0.55000000000000004">
      <c r="A96" s="5">
        <v>13.1</v>
      </c>
    </row>
    <row r="97" spans="1:1" x14ac:dyDescent="0.55000000000000004">
      <c r="A97" s="5">
        <v>34.53</v>
      </c>
    </row>
    <row r="98" spans="1:1" x14ac:dyDescent="0.55000000000000004">
      <c r="A98" s="5">
        <v>35.4</v>
      </c>
    </row>
    <row r="99" spans="1:1" x14ac:dyDescent="0.55000000000000004">
      <c r="A99" s="5">
        <v>22</v>
      </c>
    </row>
    <row r="100" spans="1:1" x14ac:dyDescent="0.55000000000000004">
      <c r="A100" s="5">
        <v>44.3</v>
      </c>
    </row>
    <row r="101" spans="1:1" x14ac:dyDescent="0.55000000000000004">
      <c r="A101" s="5">
        <v>7.4</v>
      </c>
    </row>
    <row r="102" spans="1:1" x14ac:dyDescent="0.55000000000000004">
      <c r="A102" s="5">
        <v>37.6</v>
      </c>
    </row>
    <row r="103" spans="1:1" x14ac:dyDescent="0.55000000000000004">
      <c r="A103" s="5">
        <v>34.4</v>
      </c>
    </row>
    <row r="104" spans="1:1" x14ac:dyDescent="0.55000000000000004">
      <c r="A104" s="5">
        <v>31</v>
      </c>
    </row>
    <row r="105" spans="1:1" x14ac:dyDescent="0.55000000000000004">
      <c r="A105" s="5">
        <v>31.799999999999997</v>
      </c>
    </row>
    <row r="106" spans="1:1" x14ac:dyDescent="0.55000000000000004">
      <c r="A106" s="5">
        <v>25.700000000000003</v>
      </c>
    </row>
    <row r="107" spans="1:1" x14ac:dyDescent="0.55000000000000004">
      <c r="A107" s="5">
        <v>47.9</v>
      </c>
    </row>
    <row r="108" spans="1:1" x14ac:dyDescent="0.55000000000000004">
      <c r="A108" s="5">
        <v>26.6</v>
      </c>
    </row>
    <row r="109" spans="1:1" x14ac:dyDescent="0.55000000000000004">
      <c r="A109" s="5">
        <v>34.299999999999997</v>
      </c>
    </row>
    <row r="110" spans="1:1" x14ac:dyDescent="0.55000000000000004">
      <c r="A110" s="5">
        <v>35.32</v>
      </c>
    </row>
    <row r="111" spans="1:1" x14ac:dyDescent="0.55000000000000004">
      <c r="A111" s="5">
        <v>38.21</v>
      </c>
    </row>
    <row r="112" spans="1:1" x14ac:dyDescent="0.55000000000000004">
      <c r="A112" s="5">
        <v>13.2</v>
      </c>
    </row>
    <row r="113" spans="1:1" x14ac:dyDescent="0.55000000000000004">
      <c r="A113" s="5">
        <v>35.1</v>
      </c>
    </row>
    <row r="114" spans="1:1" x14ac:dyDescent="0.55000000000000004">
      <c r="A114" s="5">
        <v>21.5</v>
      </c>
    </row>
    <row r="115" spans="1:1" x14ac:dyDescent="0.55000000000000004">
      <c r="A115" s="5">
        <v>18.5</v>
      </c>
    </row>
    <row r="116" spans="1:1" x14ac:dyDescent="0.55000000000000004">
      <c r="A116" s="5">
        <v>21.1</v>
      </c>
    </row>
    <row r="117" spans="1:1" x14ac:dyDescent="0.55000000000000004">
      <c r="A117" s="5">
        <v>19.2</v>
      </c>
    </row>
    <row r="118" spans="1:1" x14ac:dyDescent="0.55000000000000004">
      <c r="A118" s="5">
        <v>34.700000000000003</v>
      </c>
    </row>
    <row r="119" spans="1:1" x14ac:dyDescent="0.55000000000000004">
      <c r="A119" s="5">
        <v>14.9</v>
      </c>
    </row>
    <row r="120" spans="1:1" x14ac:dyDescent="0.55000000000000004">
      <c r="A120" s="5">
        <v>39</v>
      </c>
    </row>
    <row r="121" spans="1:1" x14ac:dyDescent="0.55000000000000004">
      <c r="A121" s="5">
        <v>11</v>
      </c>
    </row>
    <row r="122" spans="1:1" x14ac:dyDescent="0.55000000000000004">
      <c r="A122" s="5">
        <v>37.299999999999997</v>
      </c>
    </row>
    <row r="123" spans="1:1" x14ac:dyDescent="0.55000000000000004">
      <c r="A123" s="5">
        <v>25</v>
      </c>
    </row>
    <row r="124" spans="1:1" x14ac:dyDescent="0.55000000000000004">
      <c r="A124" s="5">
        <v>18.399999999999999</v>
      </c>
    </row>
    <row r="125" spans="1:1" x14ac:dyDescent="0.55000000000000004">
      <c r="A125" s="5">
        <v>36.299999999999997</v>
      </c>
    </row>
    <row r="126" spans="1:1" x14ac:dyDescent="0.55000000000000004">
      <c r="A126" s="5">
        <v>24.700000000000003</v>
      </c>
    </row>
    <row r="127" spans="1:1" x14ac:dyDescent="0.55000000000000004">
      <c r="A127" s="5">
        <v>32.4</v>
      </c>
    </row>
    <row r="128" spans="1:1" x14ac:dyDescent="0.55000000000000004">
      <c r="A128" s="5">
        <v>41.7</v>
      </c>
    </row>
    <row r="129" spans="1:1" x14ac:dyDescent="0.55000000000000004">
      <c r="A129" s="5">
        <v>38.299999999999997</v>
      </c>
    </row>
    <row r="130" spans="1:1" x14ac:dyDescent="0.55000000000000004">
      <c r="A130" s="5">
        <v>11.9</v>
      </c>
    </row>
    <row r="131" spans="1:1" x14ac:dyDescent="0.55000000000000004">
      <c r="A131" s="5">
        <v>30.79</v>
      </c>
    </row>
    <row r="132" spans="1:1" x14ac:dyDescent="0.55000000000000004">
      <c r="A132" s="5">
        <v>26</v>
      </c>
    </row>
    <row r="133" spans="1:1" x14ac:dyDescent="0.55000000000000004">
      <c r="A133" s="5">
        <v>37.71</v>
      </c>
    </row>
    <row r="134" spans="1:1" x14ac:dyDescent="0.55000000000000004">
      <c r="A134" s="5">
        <v>4.5999999999999996</v>
      </c>
    </row>
    <row r="135" spans="1:1" x14ac:dyDescent="0.55000000000000004">
      <c r="A135" s="5">
        <v>32</v>
      </c>
    </row>
    <row r="136" spans="1:1" x14ac:dyDescent="0.55000000000000004">
      <c r="A136" s="5">
        <v>14</v>
      </c>
    </row>
    <row r="137" spans="1:1" x14ac:dyDescent="0.55000000000000004">
      <c r="A137" s="5">
        <v>39.5</v>
      </c>
    </row>
    <row r="138" spans="1:1" x14ac:dyDescent="0.55000000000000004">
      <c r="A138" s="5">
        <v>46</v>
      </c>
    </row>
    <row r="139" spans="1:1" x14ac:dyDescent="0.55000000000000004">
      <c r="A139" s="5">
        <v>13.2</v>
      </c>
    </row>
    <row r="140" spans="1:1" x14ac:dyDescent="0.55000000000000004">
      <c r="A140" s="5">
        <v>30.3</v>
      </c>
    </row>
    <row r="141" spans="1:1" x14ac:dyDescent="0.55000000000000004">
      <c r="A141" s="5">
        <v>34.4</v>
      </c>
    </row>
    <row r="142" spans="1:1" x14ac:dyDescent="0.55000000000000004">
      <c r="A142" s="5">
        <v>33.4</v>
      </c>
    </row>
    <row r="143" spans="1:1" x14ac:dyDescent="0.55000000000000004">
      <c r="A143" s="5">
        <v>27.7</v>
      </c>
    </row>
    <row r="144" spans="1:1" x14ac:dyDescent="0.55000000000000004">
      <c r="A144" s="5">
        <v>38.5</v>
      </c>
    </row>
    <row r="145" spans="1:1" x14ac:dyDescent="0.55000000000000004">
      <c r="A145" s="5">
        <v>39.299999999999997</v>
      </c>
    </row>
    <row r="146" spans="1:1" x14ac:dyDescent="0.55000000000000004">
      <c r="A146" s="5">
        <v>34.200000000000003</v>
      </c>
    </row>
    <row r="147" spans="1:1" x14ac:dyDescent="0.55000000000000004">
      <c r="A147" s="5">
        <v>29.3</v>
      </c>
    </row>
    <row r="148" spans="1:1" x14ac:dyDescent="0.55000000000000004">
      <c r="A148" s="5">
        <v>29</v>
      </c>
    </row>
    <row r="149" spans="1:1" x14ac:dyDescent="0.55000000000000004">
      <c r="A149" s="5">
        <v>23.2</v>
      </c>
    </row>
    <row r="150" spans="1:1" x14ac:dyDescent="0.55000000000000004">
      <c r="A150" s="5">
        <v>29.9</v>
      </c>
    </row>
    <row r="151" spans="1:1" x14ac:dyDescent="0.55000000000000004">
      <c r="A151" s="5">
        <v>34</v>
      </c>
    </row>
    <row r="152" spans="1:1" x14ac:dyDescent="0.55000000000000004">
      <c r="A152" s="5">
        <v>42.2</v>
      </c>
    </row>
    <row r="153" spans="1:1" x14ac:dyDescent="0.55000000000000004">
      <c r="A153" s="5">
        <v>23.6</v>
      </c>
    </row>
    <row r="154" spans="1:1" x14ac:dyDescent="0.55000000000000004">
      <c r="A154" s="5">
        <v>35.4</v>
      </c>
    </row>
    <row r="155" spans="1:1" x14ac:dyDescent="0.55000000000000004">
      <c r="A155" s="5">
        <v>13.8</v>
      </c>
    </row>
    <row r="156" spans="1:1" x14ac:dyDescent="0.55000000000000004">
      <c r="A156" s="5">
        <v>33.200000000000003</v>
      </c>
    </row>
    <row r="157" spans="1:1" x14ac:dyDescent="0.55000000000000004">
      <c r="A157" s="5">
        <v>38.200000000000003</v>
      </c>
    </row>
    <row r="158" spans="1:1" x14ac:dyDescent="0.55000000000000004">
      <c r="A158" s="5">
        <v>31.4</v>
      </c>
    </row>
    <row r="159" spans="1:1" x14ac:dyDescent="0.55000000000000004">
      <c r="A159" s="5">
        <v>21.1</v>
      </c>
    </row>
    <row r="160" spans="1:1" x14ac:dyDescent="0.55000000000000004">
      <c r="A160" s="5">
        <v>29.1</v>
      </c>
    </row>
    <row r="161" spans="1:1" x14ac:dyDescent="0.55000000000000004">
      <c r="A161" s="5">
        <v>31.4</v>
      </c>
    </row>
    <row r="162" spans="1:1" x14ac:dyDescent="0.55000000000000004">
      <c r="A162" s="5">
        <v>39.6</v>
      </c>
    </row>
    <row r="163" spans="1:1" x14ac:dyDescent="0.55000000000000004">
      <c r="A163" s="5">
        <v>12.7</v>
      </c>
    </row>
    <row r="164" spans="1:1" x14ac:dyDescent="0.55000000000000004">
      <c r="A164" s="5">
        <v>22.3</v>
      </c>
    </row>
    <row r="165" spans="1:1" x14ac:dyDescent="0.55000000000000004">
      <c r="A165" s="5">
        <v>15.2</v>
      </c>
    </row>
    <row r="166" spans="1:1" x14ac:dyDescent="0.55000000000000004">
      <c r="A166" s="5">
        <v>37.299999999999997</v>
      </c>
    </row>
    <row r="167" spans="1:1" x14ac:dyDescent="0.55000000000000004">
      <c r="A167" s="5">
        <v>37.299999999999997</v>
      </c>
    </row>
    <row r="168" spans="1:1" x14ac:dyDescent="0.55000000000000004">
      <c r="A168" s="5">
        <v>44.2</v>
      </c>
    </row>
    <row r="169" spans="1:1" x14ac:dyDescent="0.55000000000000004">
      <c r="A169" s="5">
        <v>36.119999999999997</v>
      </c>
    </row>
    <row r="170" spans="1:1" x14ac:dyDescent="0.55000000000000004">
      <c r="A170" s="5">
        <v>35</v>
      </c>
    </row>
    <row r="171" spans="1:1" x14ac:dyDescent="0.55000000000000004">
      <c r="A171" s="5">
        <v>23.7</v>
      </c>
    </row>
    <row r="172" spans="1:1" x14ac:dyDescent="0.55000000000000004">
      <c r="A172" s="5">
        <v>9.8000000000000007</v>
      </c>
    </row>
    <row r="173" spans="1:1" x14ac:dyDescent="0.55000000000000004">
      <c r="A173" s="5">
        <v>2.8</v>
      </c>
    </row>
    <row r="174" spans="1:1" x14ac:dyDescent="0.55000000000000004">
      <c r="A174" s="5">
        <v>18.399999999999999</v>
      </c>
    </row>
    <row r="175" spans="1:1" x14ac:dyDescent="0.55000000000000004">
      <c r="A175" s="5">
        <v>37.700000000000003</v>
      </c>
    </row>
    <row r="176" spans="1:1" x14ac:dyDescent="0.55000000000000004">
      <c r="A176" s="5">
        <v>35.700000000000003</v>
      </c>
    </row>
    <row r="177" spans="1:1" x14ac:dyDescent="0.55000000000000004">
      <c r="A177" s="5">
        <v>13.6</v>
      </c>
    </row>
    <row r="178" spans="1:1" x14ac:dyDescent="0.55000000000000004">
      <c r="A178" s="5">
        <v>31.74</v>
      </c>
    </row>
    <row r="179" spans="1:1" x14ac:dyDescent="0.55000000000000004">
      <c r="A179" s="5">
        <v>45.4</v>
      </c>
    </row>
    <row r="180" spans="1:1" x14ac:dyDescent="0.55000000000000004">
      <c r="A180" s="5">
        <v>7.8</v>
      </c>
    </row>
    <row r="181" spans="1:1" x14ac:dyDescent="0.55000000000000004">
      <c r="A181" s="5">
        <v>25.9</v>
      </c>
    </row>
    <row r="182" spans="1:1" x14ac:dyDescent="0.55000000000000004">
      <c r="A182" s="5">
        <v>33.799999999999997</v>
      </c>
    </row>
    <row r="183" spans="1:1" x14ac:dyDescent="0.55000000000000004">
      <c r="A183" s="5">
        <v>39.6</v>
      </c>
    </row>
    <row r="184" spans="1:1" x14ac:dyDescent="0.55000000000000004">
      <c r="A184" s="5">
        <v>25.7</v>
      </c>
    </row>
    <row r="185" spans="1:1" x14ac:dyDescent="0.55000000000000004">
      <c r="A185" s="5">
        <v>20.9</v>
      </c>
    </row>
    <row r="186" spans="1:1" x14ac:dyDescent="0.55000000000000004">
      <c r="A186" s="5">
        <v>25</v>
      </c>
    </row>
    <row r="187" spans="1:1" x14ac:dyDescent="0.55000000000000004">
      <c r="A187" s="5">
        <v>29.8</v>
      </c>
    </row>
  </sheetData>
  <mergeCells count="1">
    <mergeCell ref="C6:F6"/>
  </mergeCells>
  <conditionalFormatting sqref="A2:A18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{7F562F1C-1286-44FE-B470-8F977159ADD5}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562F1C-1286-44FE-B470-8F977159ADD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A2:A187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U21"/>
  <sheetViews>
    <sheetView zoomScaleNormal="100" workbookViewId="0">
      <selection activeCell="F25" sqref="F25"/>
    </sheetView>
  </sheetViews>
  <sheetFormatPr defaultRowHeight="14.4" x14ac:dyDescent="0.55000000000000004"/>
  <cols>
    <col min="1" max="1" width="14" customWidth="1"/>
  </cols>
  <sheetData>
    <row r="1" spans="1:47" x14ac:dyDescent="0.55000000000000004">
      <c r="A1" s="1" t="s">
        <v>29</v>
      </c>
    </row>
    <row r="3" spans="1:47" x14ac:dyDescent="0.55000000000000004">
      <c r="A3" t="s">
        <v>30</v>
      </c>
    </row>
    <row r="4" spans="1:47" x14ac:dyDescent="0.55000000000000004">
      <c r="A4" t="s">
        <v>31</v>
      </c>
    </row>
    <row r="5" spans="1:47" x14ac:dyDescent="0.55000000000000004">
      <c r="A5" t="s">
        <v>32</v>
      </c>
    </row>
    <row r="6" spans="1:47" x14ac:dyDescent="0.55000000000000004">
      <c r="A6" t="s">
        <v>33</v>
      </c>
    </row>
    <row r="7" spans="1:47" x14ac:dyDescent="0.55000000000000004">
      <c r="A7" t="s">
        <v>34</v>
      </c>
    </row>
    <row r="9" spans="1:47" x14ac:dyDescent="0.55000000000000004">
      <c r="A9" s="1" t="s">
        <v>35</v>
      </c>
    </row>
    <row r="11" spans="1:47" x14ac:dyDescent="0.55000000000000004">
      <c r="A11" s="8" t="s">
        <v>36</v>
      </c>
      <c r="B11" s="8" t="s">
        <v>37</v>
      </c>
      <c r="C11" s="8" t="s">
        <v>38</v>
      </c>
      <c r="D11" s="8" t="s">
        <v>39</v>
      </c>
      <c r="E11" s="8" t="s">
        <v>40</v>
      </c>
      <c r="F11" s="8" t="s">
        <v>41</v>
      </c>
      <c r="G11" s="8" t="s">
        <v>42</v>
      </c>
      <c r="H11" s="8" t="s">
        <v>43</v>
      </c>
      <c r="I11" s="8" t="s">
        <v>44</v>
      </c>
      <c r="J11" s="8" t="s">
        <v>45</v>
      </c>
      <c r="K11" s="8" t="s">
        <v>46</v>
      </c>
      <c r="L11" s="8" t="s">
        <v>47</v>
      </c>
      <c r="M11" s="8" t="s">
        <v>48</v>
      </c>
      <c r="AQ11" s="8"/>
      <c r="AR11" s="8"/>
      <c r="AS11" s="8"/>
      <c r="AT11" s="8"/>
      <c r="AU11" s="8"/>
    </row>
    <row r="12" spans="1:47" x14ac:dyDescent="0.55000000000000004">
      <c r="A12" s="5" t="s">
        <v>49</v>
      </c>
      <c r="B12" s="9">
        <v>0.04</v>
      </c>
      <c r="C12" s="9">
        <v>0.05</v>
      </c>
      <c r="D12" s="9">
        <v>0.08</v>
      </c>
      <c r="E12" s="9">
        <v>0.09</v>
      </c>
      <c r="F12" s="9">
        <v>0.05</v>
      </c>
      <c r="G12" s="9">
        <v>7.0000000000000007E-2</v>
      </c>
      <c r="H12" s="9">
        <v>7.0000000000000007E-2</v>
      </c>
      <c r="I12" s="9">
        <v>0.04</v>
      </c>
      <c r="J12" s="9">
        <v>0.08</v>
      </c>
      <c r="K12" s="9">
        <v>0.02</v>
      </c>
      <c r="L12" s="9">
        <v>0.05</v>
      </c>
      <c r="M12" s="9">
        <v>0.09</v>
      </c>
      <c r="AQ12" s="9"/>
      <c r="AR12" s="5"/>
      <c r="AS12" s="5"/>
      <c r="AT12" s="5"/>
      <c r="AU12" s="5"/>
    </row>
    <row r="13" spans="1:47" x14ac:dyDescent="0.55000000000000004">
      <c r="A13" s="5" t="s">
        <v>50</v>
      </c>
      <c r="B13" s="9">
        <v>-0.12</v>
      </c>
      <c r="C13" s="9">
        <v>-0.12</v>
      </c>
      <c r="D13" s="9">
        <v>-0.13</v>
      </c>
      <c r="E13" s="9">
        <v>-0.12</v>
      </c>
      <c r="F13" s="9">
        <v>-0.14000000000000001</v>
      </c>
      <c r="G13" s="9">
        <v>-0.13</v>
      </c>
      <c r="H13" s="9">
        <v>-0.12</v>
      </c>
      <c r="I13" s="9">
        <v>-0.11</v>
      </c>
      <c r="J13" s="9">
        <v>-0.14000000000000001</v>
      </c>
      <c r="K13" s="9">
        <v>-0.13</v>
      </c>
      <c r="L13" s="9">
        <v>-0.15</v>
      </c>
      <c r="M13" s="9">
        <v>-0.14000000000000001</v>
      </c>
      <c r="AQ13" s="9"/>
      <c r="AR13" s="5"/>
      <c r="AS13" s="5"/>
      <c r="AT13" s="5"/>
      <c r="AU13" s="5"/>
    </row>
    <row r="14" spans="1:47" x14ac:dyDescent="0.55000000000000004">
      <c r="A14" s="5" t="s">
        <v>51</v>
      </c>
      <c r="B14" s="9">
        <v>0.18</v>
      </c>
      <c r="C14" s="9">
        <v>0.14000000000000001</v>
      </c>
      <c r="D14" s="9">
        <v>0.16</v>
      </c>
      <c r="E14" s="9">
        <v>0.16</v>
      </c>
      <c r="F14" s="9">
        <v>0.13</v>
      </c>
      <c r="G14" s="9">
        <v>0.13</v>
      </c>
      <c r="H14" s="9">
        <v>0.12</v>
      </c>
      <c r="I14" s="9">
        <v>0.13</v>
      </c>
      <c r="J14" s="9">
        <v>0.16</v>
      </c>
      <c r="K14" s="9">
        <v>0.12</v>
      </c>
      <c r="L14" s="9">
        <v>0.15</v>
      </c>
      <c r="M14" s="9">
        <v>0.11</v>
      </c>
      <c r="AQ14" s="9"/>
      <c r="AR14" s="5"/>
      <c r="AS14" s="5"/>
      <c r="AT14" s="5"/>
      <c r="AU14" s="5"/>
    </row>
    <row r="15" spans="1:47" x14ac:dyDescent="0.55000000000000004">
      <c r="A15" s="5" t="s">
        <v>52</v>
      </c>
      <c r="B15" s="9">
        <v>0.03</v>
      </c>
      <c r="C15" s="9">
        <v>0.14000000000000001</v>
      </c>
      <c r="D15" s="9">
        <v>0</v>
      </c>
      <c r="E15" s="9">
        <v>0.11</v>
      </c>
      <c r="F15" s="9">
        <v>0.13</v>
      </c>
      <c r="G15" s="9">
        <v>7.0000000000000007E-2</v>
      </c>
      <c r="H15" s="9">
        <v>0</v>
      </c>
      <c r="I15" s="9">
        <v>0.09</v>
      </c>
      <c r="J15" s="9">
        <v>0.11</v>
      </c>
      <c r="K15" s="9">
        <v>0.06</v>
      </c>
      <c r="L15" s="9">
        <v>0.04</v>
      </c>
      <c r="M15" s="9">
        <v>0.04</v>
      </c>
      <c r="AQ15" s="9"/>
      <c r="AR15" s="5"/>
      <c r="AS15" s="5"/>
      <c r="AT15" s="5"/>
      <c r="AU15" s="5"/>
    </row>
    <row r="16" spans="1:47" x14ac:dyDescent="0.55000000000000004">
      <c r="A16" s="5" t="s">
        <v>53</v>
      </c>
      <c r="B16" s="9">
        <v>-0.03</v>
      </c>
      <c r="C16" s="9">
        <v>-0.04</v>
      </c>
      <c r="D16" s="9">
        <v>-0.04</v>
      </c>
      <c r="E16" s="9">
        <v>-0.05</v>
      </c>
      <c r="F16" s="9">
        <v>-7.0000000000000007E-2</v>
      </c>
      <c r="G16" s="9">
        <v>-0.03</v>
      </c>
      <c r="H16" s="9">
        <v>-0.06</v>
      </c>
      <c r="I16" s="9">
        <v>-0.03</v>
      </c>
      <c r="J16" s="9">
        <v>-0.03</v>
      </c>
      <c r="K16" s="9">
        <v>-0.05</v>
      </c>
      <c r="L16" s="9">
        <v>-7.0000000000000007E-2</v>
      </c>
      <c r="M16" s="9">
        <v>-0.02</v>
      </c>
      <c r="AQ16" s="9"/>
      <c r="AR16" s="5"/>
      <c r="AS16" s="5"/>
      <c r="AT16" s="5"/>
      <c r="AU16" s="5"/>
    </row>
    <row r="17" spans="1:47" x14ac:dyDescent="0.55000000000000004">
      <c r="A17" s="5" t="s">
        <v>54</v>
      </c>
      <c r="B17" s="9">
        <v>0.02</v>
      </c>
      <c r="C17" s="9">
        <v>0.01</v>
      </c>
      <c r="D17" s="9">
        <v>0.02</v>
      </c>
      <c r="E17" s="9">
        <v>0</v>
      </c>
      <c r="F17" s="9">
        <v>-0.03</v>
      </c>
      <c r="G17" s="9">
        <v>0.02</v>
      </c>
      <c r="H17" s="9">
        <v>0.06</v>
      </c>
      <c r="I17" s="9">
        <v>0</v>
      </c>
      <c r="J17" s="9">
        <v>0.06</v>
      </c>
      <c r="K17" s="9">
        <v>-0.01</v>
      </c>
      <c r="L17" s="9">
        <v>0.04</v>
      </c>
      <c r="M17" s="9">
        <v>0.05</v>
      </c>
      <c r="AQ17" s="9"/>
      <c r="AR17" s="5"/>
      <c r="AS17" s="5"/>
      <c r="AT17" s="5"/>
      <c r="AU17" s="5"/>
    </row>
    <row r="18" spans="1:47" x14ac:dyDescent="0.55000000000000004">
      <c r="A18" s="5" t="s">
        <v>55</v>
      </c>
      <c r="B18" s="9">
        <v>0.06</v>
      </c>
      <c r="C18" s="9">
        <v>0.06</v>
      </c>
      <c r="D18" s="9">
        <v>0.03</v>
      </c>
      <c r="E18" s="9">
        <v>0</v>
      </c>
      <c r="F18" s="9">
        <v>0.09</v>
      </c>
      <c r="G18" s="9">
        <v>0.05</v>
      </c>
      <c r="H18" s="9">
        <v>0.01</v>
      </c>
      <c r="I18" s="9">
        <v>0.05</v>
      </c>
      <c r="J18" s="9">
        <v>0.03</v>
      </c>
      <c r="K18" s="9">
        <v>0.01</v>
      </c>
      <c r="L18" s="9">
        <v>0.02</v>
      </c>
      <c r="M18" s="9">
        <v>0.06</v>
      </c>
      <c r="AQ18" s="9"/>
      <c r="AR18" s="5"/>
      <c r="AS18" s="5"/>
      <c r="AT18" s="5"/>
      <c r="AU18" s="5"/>
    </row>
    <row r="19" spans="1:47" x14ac:dyDescent="0.55000000000000004">
      <c r="A19" s="10" t="s">
        <v>56</v>
      </c>
      <c r="B19" s="9">
        <v>0</v>
      </c>
      <c r="C19" s="9">
        <v>-0.06</v>
      </c>
      <c r="D19" s="9">
        <v>-0.02</v>
      </c>
      <c r="E19" s="9">
        <v>0.04</v>
      </c>
      <c r="F19" s="9">
        <v>0.03</v>
      </c>
      <c r="G19" s="9">
        <v>0.02</v>
      </c>
      <c r="H19" s="9">
        <v>0.03</v>
      </c>
      <c r="I19" s="9">
        <v>0.03</v>
      </c>
      <c r="J19" s="9">
        <v>0.05</v>
      </c>
      <c r="K19" s="9">
        <v>0.05</v>
      </c>
      <c r="L19" s="9">
        <v>0.03</v>
      </c>
      <c r="M19" s="9">
        <v>0.02</v>
      </c>
      <c r="AQ19" s="9"/>
      <c r="AR19" s="5"/>
      <c r="AS19" s="5"/>
      <c r="AT19" s="5"/>
      <c r="AU19" s="5"/>
    </row>
    <row r="20" spans="1:47" x14ac:dyDescent="0.55000000000000004">
      <c r="A20" s="10" t="s">
        <v>57</v>
      </c>
      <c r="B20" s="9">
        <v>0.09</v>
      </c>
      <c r="C20" s="9">
        <v>-0.05</v>
      </c>
      <c r="D20" s="9">
        <v>-0.01</v>
      </c>
      <c r="E20" s="9">
        <v>0.08</v>
      </c>
      <c r="F20" s="9">
        <v>0.02</v>
      </c>
      <c r="G20" s="9">
        <v>7.0000000000000007E-2</v>
      </c>
      <c r="H20" s="9">
        <v>0.04</v>
      </c>
      <c r="I20" s="9">
        <v>0.04</v>
      </c>
      <c r="J20" s="9">
        <v>0.11</v>
      </c>
      <c r="K20" s="9">
        <v>-0.02</v>
      </c>
      <c r="L20" s="9">
        <v>0.04</v>
      </c>
      <c r="M20" s="9">
        <v>0.06</v>
      </c>
      <c r="AQ20" s="9"/>
      <c r="AR20" s="5"/>
      <c r="AS20" s="5"/>
      <c r="AT20" s="5"/>
      <c r="AU20" s="5"/>
    </row>
    <row r="21" spans="1:47" x14ac:dyDescent="0.55000000000000004">
      <c r="A21" s="5" t="s">
        <v>58</v>
      </c>
      <c r="B21" s="9">
        <v>0.12</v>
      </c>
      <c r="C21" s="9">
        <v>0.16</v>
      </c>
      <c r="D21" s="9">
        <v>0.17</v>
      </c>
      <c r="E21" s="9">
        <v>0.16</v>
      </c>
      <c r="F21" s="9">
        <v>0.15</v>
      </c>
      <c r="G21" s="9">
        <v>0.16</v>
      </c>
      <c r="H21" s="9">
        <v>0.15</v>
      </c>
      <c r="I21" s="9">
        <v>0.13</v>
      </c>
      <c r="J21" s="9">
        <v>0.13</v>
      </c>
      <c r="K21" s="9">
        <v>0.15</v>
      </c>
      <c r="L21" s="9">
        <v>0.16</v>
      </c>
      <c r="M21" s="9">
        <v>0.16</v>
      </c>
      <c r="AQ21" s="9"/>
      <c r="AR21" s="5"/>
      <c r="AS21" s="5"/>
      <c r="AT21" s="5"/>
      <c r="AU21" s="5"/>
    </row>
  </sheetData>
  <conditionalFormatting sqref="AQ12:AQ2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12:M2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</sheetPr>
  <dimension ref="A1:E31"/>
  <sheetViews>
    <sheetView topLeftCell="A2" zoomScale="110" zoomScaleNormal="110" workbookViewId="0">
      <selection activeCell="G5" sqref="G5"/>
    </sheetView>
  </sheetViews>
  <sheetFormatPr defaultRowHeight="14.4" x14ac:dyDescent="0.55000000000000004"/>
  <cols>
    <col min="1" max="1" width="11.26171875" bestFit="1" customWidth="1"/>
    <col min="2" max="2" width="12.15625" customWidth="1"/>
    <col min="3" max="3" width="10.578125" customWidth="1"/>
    <col min="7" max="7" width="11.15625" customWidth="1"/>
  </cols>
  <sheetData>
    <row r="1" spans="1:5" x14ac:dyDescent="0.55000000000000004">
      <c r="A1" s="1" t="s">
        <v>59</v>
      </c>
    </row>
    <row r="2" spans="1:5" x14ac:dyDescent="0.55000000000000004">
      <c r="A2" s="1"/>
    </row>
    <row r="3" spans="1:5" x14ac:dyDescent="0.55000000000000004">
      <c r="A3" s="11" t="s">
        <v>60</v>
      </c>
    </row>
    <row r="4" spans="1:5" x14ac:dyDescent="0.55000000000000004">
      <c r="A4" t="s">
        <v>64</v>
      </c>
    </row>
    <row r="6" spans="1:5" x14ac:dyDescent="0.55000000000000004">
      <c r="A6" s="12" t="s">
        <v>61</v>
      </c>
      <c r="B6" s="12" t="s">
        <v>62</v>
      </c>
      <c r="C6" s="12" t="s">
        <v>63</v>
      </c>
      <c r="E6" s="12" t="s">
        <v>63</v>
      </c>
    </row>
    <row r="7" spans="1:5" x14ac:dyDescent="0.55000000000000004">
      <c r="A7" s="13">
        <v>43504</v>
      </c>
      <c r="B7" s="5">
        <v>1449</v>
      </c>
      <c r="C7" s="5">
        <f>B7-B8</f>
        <v>-23</v>
      </c>
      <c r="E7" s="18">
        <f>C7</f>
        <v>-23</v>
      </c>
    </row>
    <row r="8" spans="1:5" x14ac:dyDescent="0.55000000000000004">
      <c r="A8" s="13">
        <v>43503</v>
      </c>
      <c r="B8" s="5">
        <v>1472</v>
      </c>
      <c r="C8" s="5">
        <f t="shared" ref="C8:C26" si="0">B8-B9</f>
        <v>3</v>
      </c>
      <c r="E8" s="18">
        <f t="shared" ref="E8:E26" si="1">C8</f>
        <v>3</v>
      </c>
    </row>
    <row r="9" spans="1:5" x14ac:dyDescent="0.55000000000000004">
      <c r="A9" s="13">
        <v>43502</v>
      </c>
      <c r="B9" s="5">
        <v>1469</v>
      </c>
      <c r="C9" s="5">
        <f t="shared" si="0"/>
        <v>19</v>
      </c>
      <c r="E9" s="18">
        <f t="shared" si="1"/>
        <v>19</v>
      </c>
    </row>
    <row r="10" spans="1:5" x14ac:dyDescent="0.55000000000000004">
      <c r="A10" s="13">
        <v>43501</v>
      </c>
      <c r="B10" s="5">
        <v>1450</v>
      </c>
      <c r="C10" s="5">
        <f t="shared" si="0"/>
        <v>4</v>
      </c>
      <c r="E10" s="18">
        <f t="shared" si="1"/>
        <v>4</v>
      </c>
    </row>
    <row r="11" spans="1:5" x14ac:dyDescent="0.55000000000000004">
      <c r="A11" s="13">
        <v>43500</v>
      </c>
      <c r="B11" s="5">
        <v>1446</v>
      </c>
      <c r="C11" s="5">
        <f t="shared" si="0"/>
        <v>-11</v>
      </c>
      <c r="E11" s="18">
        <f t="shared" si="1"/>
        <v>-11</v>
      </c>
    </row>
    <row r="12" spans="1:5" x14ac:dyDescent="0.55000000000000004">
      <c r="A12" s="13">
        <v>43497</v>
      </c>
      <c r="B12" s="5">
        <v>1457</v>
      </c>
      <c r="C12" s="5">
        <f t="shared" si="0"/>
        <v>44</v>
      </c>
      <c r="E12" s="18">
        <f t="shared" si="1"/>
        <v>44</v>
      </c>
    </row>
    <row r="13" spans="1:5" x14ac:dyDescent="0.55000000000000004">
      <c r="A13" s="13">
        <v>43496</v>
      </c>
      <c r="B13" s="5">
        <v>1413</v>
      </c>
      <c r="C13" s="5">
        <f t="shared" si="0"/>
        <v>23</v>
      </c>
      <c r="E13" s="18">
        <f t="shared" si="1"/>
        <v>23</v>
      </c>
    </row>
    <row r="14" spans="1:5" x14ac:dyDescent="0.55000000000000004">
      <c r="A14" s="13">
        <v>43495</v>
      </c>
      <c r="B14" s="5">
        <v>1390</v>
      </c>
      <c r="C14" s="5">
        <f t="shared" si="0"/>
        <v>-3</v>
      </c>
      <c r="E14" s="18">
        <f t="shared" si="1"/>
        <v>-3</v>
      </c>
    </row>
    <row r="15" spans="1:5" x14ac:dyDescent="0.55000000000000004">
      <c r="A15" s="13">
        <v>43494</v>
      </c>
      <c r="B15" s="5">
        <v>1393</v>
      </c>
      <c r="C15" s="5">
        <f t="shared" si="0"/>
        <v>13</v>
      </c>
      <c r="E15" s="18">
        <f t="shared" si="1"/>
        <v>13</v>
      </c>
    </row>
    <row r="16" spans="1:5" x14ac:dyDescent="0.55000000000000004">
      <c r="A16" s="13">
        <v>43493</v>
      </c>
      <c r="B16" s="5">
        <v>1380</v>
      </c>
      <c r="C16" s="5">
        <f t="shared" si="0"/>
        <v>8</v>
      </c>
      <c r="E16" s="18">
        <f t="shared" si="1"/>
        <v>8</v>
      </c>
    </row>
    <row r="17" spans="1:5" x14ac:dyDescent="0.55000000000000004">
      <c r="A17" s="13">
        <v>43490</v>
      </c>
      <c r="B17" s="5">
        <v>1372</v>
      </c>
      <c r="C17" s="5">
        <f t="shared" si="0"/>
        <v>-30</v>
      </c>
      <c r="E17" s="18">
        <f t="shared" si="1"/>
        <v>-30</v>
      </c>
    </row>
    <row r="18" spans="1:5" x14ac:dyDescent="0.55000000000000004">
      <c r="A18" s="13">
        <v>43489</v>
      </c>
      <c r="B18" s="5">
        <v>1402</v>
      </c>
      <c r="C18" s="5">
        <f t="shared" si="0"/>
        <v>5</v>
      </c>
      <c r="E18" s="18">
        <f t="shared" si="1"/>
        <v>5</v>
      </c>
    </row>
    <row r="19" spans="1:5" x14ac:dyDescent="0.55000000000000004">
      <c r="A19" s="13">
        <v>43488</v>
      </c>
      <c r="B19" s="5">
        <v>1397</v>
      </c>
      <c r="C19" s="5">
        <f t="shared" si="0"/>
        <v>-10</v>
      </c>
      <c r="E19" s="18">
        <f t="shared" si="1"/>
        <v>-10</v>
      </c>
    </row>
    <row r="20" spans="1:5" x14ac:dyDescent="0.55000000000000004">
      <c r="A20" s="13">
        <v>43487</v>
      </c>
      <c r="B20" s="5">
        <v>1407</v>
      </c>
      <c r="C20" s="5">
        <f t="shared" si="0"/>
        <v>-15</v>
      </c>
      <c r="E20" s="18">
        <f t="shared" si="1"/>
        <v>-15</v>
      </c>
    </row>
    <row r="21" spans="1:5" x14ac:dyDescent="0.55000000000000004">
      <c r="A21" s="13">
        <v>43486</v>
      </c>
      <c r="B21" s="5">
        <v>1422</v>
      </c>
      <c r="C21" s="5">
        <f t="shared" si="0"/>
        <v>22</v>
      </c>
      <c r="E21" s="18">
        <f t="shared" si="1"/>
        <v>22</v>
      </c>
    </row>
    <row r="22" spans="1:5" x14ac:dyDescent="0.55000000000000004">
      <c r="A22" s="13">
        <v>43483</v>
      </c>
      <c r="B22" s="5">
        <v>1400</v>
      </c>
      <c r="C22" s="5">
        <f t="shared" si="0"/>
        <v>10</v>
      </c>
      <c r="E22" s="18">
        <f t="shared" si="1"/>
        <v>10</v>
      </c>
    </row>
    <row r="23" spans="1:5" x14ac:dyDescent="0.55000000000000004">
      <c r="A23" s="13">
        <v>43482</v>
      </c>
      <c r="B23" s="5">
        <v>1390</v>
      </c>
      <c r="C23" s="5">
        <f t="shared" si="0"/>
        <v>0</v>
      </c>
      <c r="E23" s="18">
        <f t="shared" si="1"/>
        <v>0</v>
      </c>
    </row>
    <row r="24" spans="1:5" x14ac:dyDescent="0.55000000000000004">
      <c r="A24" s="13">
        <v>43481</v>
      </c>
      <c r="B24" s="5">
        <v>1390</v>
      </c>
      <c r="C24" s="5">
        <f t="shared" si="0"/>
        <v>-16</v>
      </c>
      <c r="E24" s="18">
        <f t="shared" si="1"/>
        <v>-16</v>
      </c>
    </row>
    <row r="25" spans="1:5" x14ac:dyDescent="0.55000000000000004">
      <c r="A25" s="13">
        <v>43480</v>
      </c>
      <c r="B25" s="5">
        <v>1406</v>
      </c>
      <c r="C25" s="5">
        <f t="shared" si="0"/>
        <v>17</v>
      </c>
      <c r="E25" s="18">
        <f t="shared" si="1"/>
        <v>17</v>
      </c>
    </row>
    <row r="26" spans="1:5" x14ac:dyDescent="0.55000000000000004">
      <c r="A26" s="13">
        <v>43479</v>
      </c>
      <c r="B26" s="5">
        <v>1389</v>
      </c>
      <c r="C26" s="5">
        <f t="shared" si="0"/>
        <v>-15</v>
      </c>
      <c r="E26" s="18">
        <f t="shared" si="1"/>
        <v>-15</v>
      </c>
    </row>
    <row r="27" spans="1:5" x14ac:dyDescent="0.55000000000000004">
      <c r="A27" s="13">
        <v>43476</v>
      </c>
      <c r="B27" s="5">
        <v>1404</v>
      </c>
      <c r="C27" s="5"/>
      <c r="E27" s="5"/>
    </row>
    <row r="28" spans="1:5" x14ac:dyDescent="0.55000000000000004">
      <c r="A28" s="13"/>
      <c r="B28" s="5"/>
      <c r="C28" s="5"/>
      <c r="E28" s="5"/>
    </row>
    <row r="29" spans="1:5" x14ac:dyDescent="0.55000000000000004">
      <c r="A29" s="13"/>
      <c r="B29" s="5"/>
      <c r="C29" s="5"/>
      <c r="E29" s="5"/>
    </row>
    <row r="30" spans="1:5" x14ac:dyDescent="0.55000000000000004">
      <c r="A30" s="13"/>
      <c r="B30" s="5"/>
      <c r="C30" s="5"/>
      <c r="E30" s="5"/>
    </row>
    <row r="31" spans="1:5" x14ac:dyDescent="0.55000000000000004">
      <c r="A31" s="13"/>
      <c r="B31" s="5"/>
    </row>
  </sheetData>
  <conditionalFormatting sqref="E7:E26">
    <cfRule type="iconSet" priority="1">
      <iconSet iconSet="3Arrows" showValue="0">
        <cfvo type="percent" val="0"/>
        <cfvo type="num" val="0"/>
        <cfvo type="num" val="0" gte="0"/>
      </iconSet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00FF"/>
  </sheetPr>
  <dimension ref="A1:G106"/>
  <sheetViews>
    <sheetView zoomScale="90" zoomScaleNormal="90" workbookViewId="0">
      <selection activeCell="C11" sqref="C11"/>
    </sheetView>
  </sheetViews>
  <sheetFormatPr defaultRowHeight="14.4" x14ac:dyDescent="0.55000000000000004"/>
  <cols>
    <col min="1" max="1" width="49.41796875" customWidth="1"/>
    <col min="2" max="2" width="5.26171875" customWidth="1"/>
    <col min="3" max="3" width="44.15625" customWidth="1"/>
    <col min="4" max="4" width="2.15625" customWidth="1"/>
    <col min="5" max="5" width="48.734375" customWidth="1"/>
  </cols>
  <sheetData>
    <row r="1" spans="1:7" x14ac:dyDescent="0.55000000000000004">
      <c r="A1" s="1" t="s">
        <v>179</v>
      </c>
    </row>
    <row r="2" spans="1:7" x14ac:dyDescent="0.55000000000000004">
      <c r="C2" s="1" t="s">
        <v>67</v>
      </c>
    </row>
    <row r="3" spans="1:7" x14ac:dyDescent="0.55000000000000004">
      <c r="C3" s="1" t="s">
        <v>68</v>
      </c>
    </row>
    <row r="5" spans="1:7" x14ac:dyDescent="0.55000000000000004">
      <c r="A5" s="15" t="s">
        <v>69</v>
      </c>
      <c r="C5" s="15" t="s">
        <v>70</v>
      </c>
    </row>
    <row r="6" spans="1:7" x14ac:dyDescent="0.55000000000000004">
      <c r="A6" s="12" t="s">
        <v>71</v>
      </c>
      <c r="C6" s="12" t="s">
        <v>72</v>
      </c>
    </row>
    <row r="7" spans="1:7" x14ac:dyDescent="0.55000000000000004">
      <c r="A7" s="5" t="s">
        <v>73</v>
      </c>
      <c r="C7" s="5" t="s">
        <v>74</v>
      </c>
      <c r="E7" s="5" t="str">
        <f t="shared" ref="E7:E10" si="0">IF(ISNA(VLOOKUP(C7,$A$7:$A$99,1,FALSE)),"Missing","Available")</f>
        <v>Available</v>
      </c>
      <c r="G7" s="16"/>
    </row>
    <row r="8" spans="1:7" x14ac:dyDescent="0.55000000000000004">
      <c r="A8" s="5" t="s">
        <v>75</v>
      </c>
      <c r="C8" s="5" t="s">
        <v>76</v>
      </c>
      <c r="E8" s="5" t="str">
        <f t="shared" si="0"/>
        <v>Available</v>
      </c>
      <c r="G8" s="16"/>
    </row>
    <row r="9" spans="1:7" x14ac:dyDescent="0.55000000000000004">
      <c r="A9" s="5" t="s">
        <v>77</v>
      </c>
      <c r="C9" s="5" t="s">
        <v>73</v>
      </c>
      <c r="E9" s="5" t="str">
        <f t="shared" si="0"/>
        <v>Available</v>
      </c>
      <c r="G9" s="16"/>
    </row>
    <row r="10" spans="1:7" x14ac:dyDescent="0.55000000000000004">
      <c r="A10" s="5" t="s">
        <v>78</v>
      </c>
      <c r="C10" s="5" t="s">
        <v>79</v>
      </c>
      <c r="E10" s="5" t="str">
        <f t="shared" si="0"/>
        <v>Available</v>
      </c>
      <c r="G10" s="16"/>
    </row>
    <row r="11" spans="1:7" x14ac:dyDescent="0.55000000000000004">
      <c r="A11" s="5" t="s">
        <v>80</v>
      </c>
      <c r="C11" s="5" t="s">
        <v>81</v>
      </c>
      <c r="E11" s="5" t="str">
        <f>IF(ISNA(VLOOKUP(C11,$A$7:$A$99,1,FALSE)),"Missing","Available")</f>
        <v>Missing</v>
      </c>
    </row>
    <row r="12" spans="1:7" x14ac:dyDescent="0.55000000000000004">
      <c r="A12" s="5" t="s">
        <v>76</v>
      </c>
      <c r="C12" s="5" t="s">
        <v>82</v>
      </c>
      <c r="E12" s="5" t="str">
        <f t="shared" ref="E12:E75" si="1">IF(ISNA(VLOOKUP(C12,$A$7:$A$99,1,FALSE)),"Missing","Available")</f>
        <v>Available</v>
      </c>
    </row>
    <row r="13" spans="1:7" x14ac:dyDescent="0.55000000000000004">
      <c r="A13" s="5" t="s">
        <v>83</v>
      </c>
      <c r="C13" s="5" t="s">
        <v>84</v>
      </c>
      <c r="E13" s="5" t="str">
        <f t="shared" si="1"/>
        <v>Available</v>
      </c>
    </row>
    <row r="14" spans="1:7" x14ac:dyDescent="0.55000000000000004">
      <c r="A14" s="5" t="s">
        <v>85</v>
      </c>
      <c r="C14" s="5" t="s">
        <v>86</v>
      </c>
      <c r="E14" s="5" t="str">
        <f t="shared" si="1"/>
        <v>Available</v>
      </c>
    </row>
    <row r="15" spans="1:7" x14ac:dyDescent="0.55000000000000004">
      <c r="A15" s="5" t="s">
        <v>87</v>
      </c>
      <c r="C15" s="5" t="s">
        <v>88</v>
      </c>
      <c r="E15" s="5" t="str">
        <f t="shared" si="1"/>
        <v>Available</v>
      </c>
    </row>
    <row r="16" spans="1:7" x14ac:dyDescent="0.55000000000000004">
      <c r="A16" s="5" t="s">
        <v>89</v>
      </c>
      <c r="C16" s="5" t="s">
        <v>90</v>
      </c>
      <c r="E16" s="5" t="str">
        <f t="shared" si="1"/>
        <v>Available</v>
      </c>
    </row>
    <row r="17" spans="1:5" x14ac:dyDescent="0.55000000000000004">
      <c r="A17" s="5" t="s">
        <v>91</v>
      </c>
      <c r="C17" s="5" t="s">
        <v>92</v>
      </c>
      <c r="E17" s="5" t="str">
        <f t="shared" si="1"/>
        <v>Available</v>
      </c>
    </row>
    <row r="18" spans="1:5" x14ac:dyDescent="0.55000000000000004">
      <c r="A18" s="5" t="s">
        <v>93</v>
      </c>
      <c r="C18" s="5" t="s">
        <v>94</v>
      </c>
      <c r="E18" s="5" t="str">
        <f t="shared" si="1"/>
        <v>Available</v>
      </c>
    </row>
    <row r="19" spans="1:5" x14ac:dyDescent="0.55000000000000004">
      <c r="A19" s="5" t="s">
        <v>95</v>
      </c>
      <c r="C19" s="5" t="s">
        <v>96</v>
      </c>
      <c r="E19" s="5" t="str">
        <f t="shared" si="1"/>
        <v>Missing</v>
      </c>
    </row>
    <row r="20" spans="1:5" x14ac:dyDescent="0.55000000000000004">
      <c r="A20" s="5" t="s">
        <v>97</v>
      </c>
      <c r="C20" s="5" t="s">
        <v>98</v>
      </c>
      <c r="E20" s="5" t="str">
        <f t="shared" si="1"/>
        <v>Available</v>
      </c>
    </row>
    <row r="21" spans="1:5" x14ac:dyDescent="0.55000000000000004">
      <c r="A21" s="5" t="s">
        <v>99</v>
      </c>
      <c r="C21" s="5" t="s">
        <v>100</v>
      </c>
      <c r="E21" s="5" t="str">
        <f t="shared" si="1"/>
        <v>Missing</v>
      </c>
    </row>
    <row r="22" spans="1:5" x14ac:dyDescent="0.55000000000000004">
      <c r="A22" s="5" t="s">
        <v>101</v>
      </c>
      <c r="C22" s="5" t="s">
        <v>99</v>
      </c>
      <c r="E22" s="5" t="str">
        <f t="shared" si="1"/>
        <v>Available</v>
      </c>
    </row>
    <row r="23" spans="1:5" x14ac:dyDescent="0.55000000000000004">
      <c r="A23" s="5" t="s">
        <v>102</v>
      </c>
      <c r="C23" s="5" t="s">
        <v>103</v>
      </c>
      <c r="E23" s="5" t="str">
        <f t="shared" si="1"/>
        <v>Available</v>
      </c>
    </row>
    <row r="24" spans="1:5" x14ac:dyDescent="0.55000000000000004">
      <c r="A24" s="5" t="s">
        <v>104</v>
      </c>
      <c r="C24" s="5" t="s">
        <v>105</v>
      </c>
      <c r="E24" s="5" t="str">
        <f t="shared" si="1"/>
        <v>Available</v>
      </c>
    </row>
    <row r="25" spans="1:5" x14ac:dyDescent="0.55000000000000004">
      <c r="A25" s="5" t="s">
        <v>106</v>
      </c>
      <c r="C25" s="5" t="s">
        <v>107</v>
      </c>
      <c r="E25" s="5" t="str">
        <f t="shared" si="1"/>
        <v>Available</v>
      </c>
    </row>
    <row r="26" spans="1:5" x14ac:dyDescent="0.55000000000000004">
      <c r="A26" s="5" t="s">
        <v>108</v>
      </c>
      <c r="C26" s="5" t="s">
        <v>109</v>
      </c>
      <c r="E26" s="5" t="str">
        <f t="shared" si="1"/>
        <v>Available</v>
      </c>
    </row>
    <row r="27" spans="1:5" x14ac:dyDescent="0.55000000000000004">
      <c r="A27" s="5" t="s">
        <v>110</v>
      </c>
      <c r="C27" s="5" t="s">
        <v>111</v>
      </c>
      <c r="E27" s="5" t="str">
        <f t="shared" si="1"/>
        <v>Available</v>
      </c>
    </row>
    <row r="28" spans="1:5" x14ac:dyDescent="0.55000000000000004">
      <c r="A28" s="5" t="s">
        <v>111</v>
      </c>
      <c r="C28" s="5" t="s">
        <v>87</v>
      </c>
      <c r="E28" s="5" t="str">
        <f t="shared" si="1"/>
        <v>Available</v>
      </c>
    </row>
    <row r="29" spans="1:5" x14ac:dyDescent="0.55000000000000004">
      <c r="A29" s="5" t="s">
        <v>84</v>
      </c>
      <c r="C29" s="5" t="s">
        <v>112</v>
      </c>
      <c r="E29" s="5" t="str">
        <f t="shared" si="1"/>
        <v>Available</v>
      </c>
    </row>
    <row r="30" spans="1:5" x14ac:dyDescent="0.55000000000000004">
      <c r="A30" s="5" t="s">
        <v>113</v>
      </c>
      <c r="C30" s="5" t="s">
        <v>114</v>
      </c>
      <c r="E30" s="5" t="str">
        <f t="shared" si="1"/>
        <v>Available</v>
      </c>
    </row>
    <row r="31" spans="1:5" x14ac:dyDescent="0.55000000000000004">
      <c r="A31" s="5" t="s">
        <v>115</v>
      </c>
      <c r="C31" s="5" t="s">
        <v>78</v>
      </c>
      <c r="E31" s="5" t="str">
        <f t="shared" si="1"/>
        <v>Available</v>
      </c>
    </row>
    <row r="32" spans="1:5" x14ac:dyDescent="0.55000000000000004">
      <c r="A32" s="5" t="s">
        <v>114</v>
      </c>
      <c r="C32" s="5" t="s">
        <v>85</v>
      </c>
      <c r="E32" s="5" t="str">
        <f t="shared" si="1"/>
        <v>Available</v>
      </c>
    </row>
    <row r="33" spans="1:5" x14ac:dyDescent="0.55000000000000004">
      <c r="A33" s="5" t="s">
        <v>116</v>
      </c>
      <c r="C33" s="5" t="s">
        <v>117</v>
      </c>
      <c r="E33" s="5" t="str">
        <f t="shared" si="1"/>
        <v>Available</v>
      </c>
    </row>
    <row r="34" spans="1:5" x14ac:dyDescent="0.55000000000000004">
      <c r="A34" s="5" t="s">
        <v>118</v>
      </c>
      <c r="C34" s="5" t="s">
        <v>119</v>
      </c>
      <c r="E34" s="5" t="str">
        <f t="shared" si="1"/>
        <v>Available</v>
      </c>
    </row>
    <row r="35" spans="1:5" x14ac:dyDescent="0.55000000000000004">
      <c r="A35" s="5" t="s">
        <v>120</v>
      </c>
      <c r="C35" s="5" t="s">
        <v>121</v>
      </c>
      <c r="E35" s="5" t="str">
        <f t="shared" si="1"/>
        <v>Available</v>
      </c>
    </row>
    <row r="36" spans="1:5" x14ac:dyDescent="0.55000000000000004">
      <c r="A36" s="5" t="s">
        <v>122</v>
      </c>
      <c r="C36" s="5" t="s">
        <v>123</v>
      </c>
      <c r="E36" s="5" t="str">
        <f t="shared" si="1"/>
        <v>Available</v>
      </c>
    </row>
    <row r="37" spans="1:5" x14ac:dyDescent="0.55000000000000004">
      <c r="A37" s="5" t="s">
        <v>124</v>
      </c>
      <c r="C37" s="5" t="s">
        <v>125</v>
      </c>
      <c r="E37" s="5" t="str">
        <f t="shared" si="1"/>
        <v>Available</v>
      </c>
    </row>
    <row r="38" spans="1:5" x14ac:dyDescent="0.55000000000000004">
      <c r="A38" s="5" t="s">
        <v>126</v>
      </c>
      <c r="C38" s="5" t="s">
        <v>127</v>
      </c>
      <c r="E38" s="5" t="str">
        <f t="shared" si="1"/>
        <v>Available</v>
      </c>
    </row>
    <row r="39" spans="1:5" x14ac:dyDescent="0.55000000000000004">
      <c r="A39" s="5" t="s">
        <v>128</v>
      </c>
      <c r="C39" s="5" t="s">
        <v>115</v>
      </c>
      <c r="E39" s="5" t="str">
        <f t="shared" si="1"/>
        <v>Available</v>
      </c>
    </row>
    <row r="40" spans="1:5" x14ac:dyDescent="0.55000000000000004">
      <c r="A40" s="5" t="s">
        <v>103</v>
      </c>
      <c r="C40" s="5" t="s">
        <v>129</v>
      </c>
      <c r="E40" s="5" t="str">
        <f t="shared" si="1"/>
        <v>Available</v>
      </c>
    </row>
    <row r="41" spans="1:5" x14ac:dyDescent="0.55000000000000004">
      <c r="A41" s="5" t="s">
        <v>130</v>
      </c>
      <c r="C41" s="5" t="s">
        <v>131</v>
      </c>
      <c r="E41" s="5" t="str">
        <f t="shared" si="1"/>
        <v>Available</v>
      </c>
    </row>
    <row r="42" spans="1:5" x14ac:dyDescent="0.55000000000000004">
      <c r="A42" s="5" t="s">
        <v>112</v>
      </c>
      <c r="C42" s="5" t="s">
        <v>132</v>
      </c>
      <c r="E42" s="5" t="str">
        <f t="shared" si="1"/>
        <v>Available</v>
      </c>
    </row>
    <row r="43" spans="1:5" x14ac:dyDescent="0.55000000000000004">
      <c r="A43" s="5" t="s">
        <v>133</v>
      </c>
      <c r="C43" s="5" t="s">
        <v>134</v>
      </c>
      <c r="E43" s="5" t="str">
        <f t="shared" si="1"/>
        <v>Missing</v>
      </c>
    </row>
    <row r="44" spans="1:5" x14ac:dyDescent="0.55000000000000004">
      <c r="A44" s="5" t="s">
        <v>135</v>
      </c>
      <c r="C44" s="5" t="s">
        <v>136</v>
      </c>
      <c r="E44" s="5" t="str">
        <f t="shared" si="1"/>
        <v>Missing</v>
      </c>
    </row>
    <row r="45" spans="1:5" x14ac:dyDescent="0.55000000000000004">
      <c r="A45" s="5" t="s">
        <v>137</v>
      </c>
      <c r="C45" s="5" t="s">
        <v>91</v>
      </c>
      <c r="E45" s="5" t="str">
        <f t="shared" si="1"/>
        <v>Available</v>
      </c>
    </row>
    <row r="46" spans="1:5" x14ac:dyDescent="0.55000000000000004">
      <c r="A46" s="5" t="s">
        <v>131</v>
      </c>
      <c r="C46" s="5" t="s">
        <v>138</v>
      </c>
      <c r="E46" s="5" t="str">
        <f t="shared" si="1"/>
        <v>Available</v>
      </c>
    </row>
    <row r="47" spans="1:5" x14ac:dyDescent="0.55000000000000004">
      <c r="A47" s="5" t="s">
        <v>90</v>
      </c>
      <c r="C47" s="5" t="s">
        <v>139</v>
      </c>
      <c r="E47" s="5" t="str">
        <f t="shared" si="1"/>
        <v>Available</v>
      </c>
    </row>
    <row r="48" spans="1:5" x14ac:dyDescent="0.55000000000000004">
      <c r="A48" s="5" t="s">
        <v>140</v>
      </c>
      <c r="C48" s="5" t="s">
        <v>141</v>
      </c>
      <c r="E48" s="5" t="str">
        <f t="shared" si="1"/>
        <v>Available</v>
      </c>
    </row>
    <row r="49" spans="1:5" x14ac:dyDescent="0.55000000000000004">
      <c r="A49" s="5" t="s">
        <v>127</v>
      </c>
      <c r="C49" s="5" t="s">
        <v>89</v>
      </c>
      <c r="E49" s="5" t="str">
        <f t="shared" si="1"/>
        <v>Available</v>
      </c>
    </row>
    <row r="50" spans="1:5" x14ac:dyDescent="0.55000000000000004">
      <c r="A50" s="5" t="s">
        <v>82</v>
      </c>
      <c r="C50" s="5" t="s">
        <v>142</v>
      </c>
      <c r="E50" s="5" t="str">
        <f t="shared" si="1"/>
        <v>Available</v>
      </c>
    </row>
    <row r="51" spans="1:5" x14ac:dyDescent="0.55000000000000004">
      <c r="A51" s="5" t="s">
        <v>86</v>
      </c>
      <c r="C51" s="5" t="s">
        <v>80</v>
      </c>
      <c r="E51" s="5" t="str">
        <f t="shared" si="1"/>
        <v>Available</v>
      </c>
    </row>
    <row r="52" spans="1:5" x14ac:dyDescent="0.55000000000000004">
      <c r="A52" s="5" t="s">
        <v>141</v>
      </c>
      <c r="C52" s="5" t="s">
        <v>143</v>
      </c>
      <c r="E52" s="5" t="str">
        <f t="shared" si="1"/>
        <v>Available</v>
      </c>
    </row>
    <row r="53" spans="1:5" x14ac:dyDescent="0.55000000000000004">
      <c r="A53" s="5" t="s">
        <v>117</v>
      </c>
      <c r="C53" s="5" t="s">
        <v>113</v>
      </c>
      <c r="E53" s="5" t="str">
        <f t="shared" si="1"/>
        <v>Available</v>
      </c>
    </row>
    <row r="54" spans="1:5" x14ac:dyDescent="0.55000000000000004">
      <c r="A54" s="5" t="s">
        <v>144</v>
      </c>
      <c r="C54" s="5" t="s">
        <v>144</v>
      </c>
      <c r="E54" s="5" t="str">
        <f t="shared" si="1"/>
        <v>Available</v>
      </c>
    </row>
    <row r="55" spans="1:5" x14ac:dyDescent="0.55000000000000004">
      <c r="A55" s="5" t="s">
        <v>145</v>
      </c>
      <c r="C55" s="5" t="s">
        <v>95</v>
      </c>
      <c r="E55" s="5" t="str">
        <f t="shared" si="1"/>
        <v>Available</v>
      </c>
    </row>
    <row r="56" spans="1:5" x14ac:dyDescent="0.55000000000000004">
      <c r="A56" s="5" t="s">
        <v>146</v>
      </c>
      <c r="C56" s="5" t="s">
        <v>137</v>
      </c>
      <c r="E56" s="5" t="str">
        <f t="shared" si="1"/>
        <v>Available</v>
      </c>
    </row>
    <row r="57" spans="1:5" x14ac:dyDescent="0.55000000000000004">
      <c r="A57" s="5" t="s">
        <v>98</v>
      </c>
      <c r="C57" s="5" t="s">
        <v>147</v>
      </c>
      <c r="E57" s="5" t="str">
        <f t="shared" si="1"/>
        <v>Available</v>
      </c>
    </row>
    <row r="58" spans="1:5" x14ac:dyDescent="0.55000000000000004">
      <c r="A58" s="5" t="s">
        <v>148</v>
      </c>
      <c r="C58" s="5" t="s">
        <v>149</v>
      </c>
      <c r="E58" s="5" t="str">
        <f t="shared" si="1"/>
        <v>Available</v>
      </c>
    </row>
    <row r="59" spans="1:5" x14ac:dyDescent="0.55000000000000004">
      <c r="A59" s="5" t="s">
        <v>125</v>
      </c>
      <c r="C59" s="5" t="s">
        <v>124</v>
      </c>
      <c r="E59" s="5" t="str">
        <f t="shared" si="1"/>
        <v>Available</v>
      </c>
    </row>
    <row r="60" spans="1:5" x14ac:dyDescent="0.55000000000000004">
      <c r="A60" s="5" t="s">
        <v>150</v>
      </c>
      <c r="C60" s="5" t="s">
        <v>151</v>
      </c>
      <c r="E60" s="5" t="str">
        <f t="shared" si="1"/>
        <v>Available</v>
      </c>
    </row>
    <row r="61" spans="1:5" x14ac:dyDescent="0.55000000000000004">
      <c r="A61" s="5" t="s">
        <v>152</v>
      </c>
      <c r="C61" s="5" t="s">
        <v>145</v>
      </c>
      <c r="E61" s="5" t="str">
        <f t="shared" si="1"/>
        <v>Available</v>
      </c>
    </row>
    <row r="62" spans="1:5" x14ac:dyDescent="0.55000000000000004">
      <c r="A62" s="5" t="s">
        <v>153</v>
      </c>
      <c r="C62" s="5" t="s">
        <v>154</v>
      </c>
      <c r="E62" s="5" t="str">
        <f t="shared" si="1"/>
        <v>Available</v>
      </c>
    </row>
    <row r="63" spans="1:5" x14ac:dyDescent="0.55000000000000004">
      <c r="A63" s="5" t="s">
        <v>155</v>
      </c>
      <c r="C63" s="5" t="s">
        <v>101</v>
      </c>
      <c r="E63" s="5" t="str">
        <f t="shared" si="1"/>
        <v>Available</v>
      </c>
    </row>
    <row r="64" spans="1:5" x14ac:dyDescent="0.55000000000000004">
      <c r="A64" s="5" t="s">
        <v>156</v>
      </c>
      <c r="C64" s="5" t="s">
        <v>108</v>
      </c>
      <c r="E64" s="5" t="str">
        <f t="shared" si="1"/>
        <v>Available</v>
      </c>
    </row>
    <row r="65" spans="1:5" x14ac:dyDescent="0.55000000000000004">
      <c r="A65" s="5" t="s">
        <v>157</v>
      </c>
      <c r="C65" s="5" t="s">
        <v>75</v>
      </c>
      <c r="E65" s="5" t="str">
        <f t="shared" si="1"/>
        <v>Available</v>
      </c>
    </row>
    <row r="66" spans="1:5" x14ac:dyDescent="0.55000000000000004">
      <c r="A66" s="5" t="s">
        <v>158</v>
      </c>
      <c r="C66" s="5" t="s">
        <v>148</v>
      </c>
      <c r="E66" s="5" t="str">
        <f t="shared" si="1"/>
        <v>Available</v>
      </c>
    </row>
    <row r="67" spans="1:5" x14ac:dyDescent="0.55000000000000004">
      <c r="A67" s="5" t="s">
        <v>143</v>
      </c>
      <c r="C67" s="5" t="s">
        <v>146</v>
      </c>
      <c r="E67" s="5" t="str">
        <f t="shared" si="1"/>
        <v>Available</v>
      </c>
    </row>
    <row r="68" spans="1:5" x14ac:dyDescent="0.55000000000000004">
      <c r="A68" s="5" t="s">
        <v>149</v>
      </c>
      <c r="C68" s="5" t="s">
        <v>122</v>
      </c>
      <c r="E68" s="5" t="str">
        <f t="shared" si="1"/>
        <v>Available</v>
      </c>
    </row>
    <row r="69" spans="1:5" x14ac:dyDescent="0.55000000000000004">
      <c r="A69" s="5" t="s">
        <v>88</v>
      </c>
      <c r="C69" s="5" t="s">
        <v>110</v>
      </c>
      <c r="E69" s="5" t="str">
        <f t="shared" si="1"/>
        <v>Available</v>
      </c>
    </row>
    <row r="70" spans="1:5" x14ac:dyDescent="0.55000000000000004">
      <c r="A70" s="5" t="s">
        <v>132</v>
      </c>
      <c r="C70" s="5" t="s">
        <v>158</v>
      </c>
      <c r="E70" s="5" t="str">
        <f t="shared" si="1"/>
        <v>Available</v>
      </c>
    </row>
    <row r="71" spans="1:5" x14ac:dyDescent="0.55000000000000004">
      <c r="A71" s="5" t="s">
        <v>139</v>
      </c>
      <c r="C71" s="5" t="s">
        <v>152</v>
      </c>
      <c r="E71" s="5" t="str">
        <f t="shared" si="1"/>
        <v>Available</v>
      </c>
    </row>
    <row r="72" spans="1:5" x14ac:dyDescent="0.55000000000000004">
      <c r="A72" s="5" t="s">
        <v>159</v>
      </c>
      <c r="C72" s="5" t="s">
        <v>135</v>
      </c>
      <c r="E72" s="5" t="str">
        <f t="shared" si="1"/>
        <v>Available</v>
      </c>
    </row>
    <row r="73" spans="1:5" x14ac:dyDescent="0.55000000000000004">
      <c r="A73" s="5" t="s">
        <v>160</v>
      </c>
      <c r="C73" s="5" t="s">
        <v>161</v>
      </c>
      <c r="E73" s="5" t="str">
        <f t="shared" si="1"/>
        <v>Available</v>
      </c>
    </row>
    <row r="74" spans="1:5" x14ac:dyDescent="0.55000000000000004">
      <c r="A74" s="5" t="s">
        <v>161</v>
      </c>
      <c r="C74" s="5" t="s">
        <v>118</v>
      </c>
      <c r="E74" s="5" t="str">
        <f t="shared" si="1"/>
        <v>Available</v>
      </c>
    </row>
    <row r="75" spans="1:5" x14ac:dyDescent="0.55000000000000004">
      <c r="A75" s="5" t="s">
        <v>162</v>
      </c>
      <c r="C75" s="5" t="s">
        <v>160</v>
      </c>
      <c r="E75" s="5" t="str">
        <f t="shared" si="1"/>
        <v>Available</v>
      </c>
    </row>
    <row r="76" spans="1:5" x14ac:dyDescent="0.55000000000000004">
      <c r="A76" s="5" t="s">
        <v>92</v>
      </c>
      <c r="C76" s="5" t="s">
        <v>93</v>
      </c>
      <c r="E76" s="5" t="str">
        <f t="shared" ref="E76:E106" si="2">IF(ISNA(VLOOKUP(C76,$A$7:$A$99,1,FALSE)),"Missing","Available")</f>
        <v>Available</v>
      </c>
    </row>
    <row r="77" spans="1:5" x14ac:dyDescent="0.55000000000000004">
      <c r="A77" s="5" t="s">
        <v>163</v>
      </c>
      <c r="C77" s="5" t="s">
        <v>156</v>
      </c>
      <c r="E77" s="5" t="str">
        <f t="shared" si="2"/>
        <v>Available</v>
      </c>
    </row>
    <row r="78" spans="1:5" x14ac:dyDescent="0.55000000000000004">
      <c r="A78" s="5" t="s">
        <v>109</v>
      </c>
      <c r="C78" s="5" t="s">
        <v>164</v>
      </c>
      <c r="E78" s="5" t="str">
        <f t="shared" si="2"/>
        <v>Available</v>
      </c>
    </row>
    <row r="79" spans="1:5" x14ac:dyDescent="0.55000000000000004">
      <c r="A79" s="5" t="s">
        <v>105</v>
      </c>
      <c r="C79" s="5" t="s">
        <v>163</v>
      </c>
      <c r="E79" s="5" t="str">
        <f t="shared" si="2"/>
        <v>Available</v>
      </c>
    </row>
    <row r="80" spans="1:5" x14ac:dyDescent="0.55000000000000004">
      <c r="A80" s="5" t="s">
        <v>165</v>
      </c>
      <c r="C80" s="5" t="s">
        <v>140</v>
      </c>
      <c r="E80" s="5" t="str">
        <f t="shared" si="2"/>
        <v>Available</v>
      </c>
    </row>
    <row r="81" spans="1:5" x14ac:dyDescent="0.55000000000000004">
      <c r="A81" s="5" t="s">
        <v>107</v>
      </c>
      <c r="C81" s="5" t="s">
        <v>120</v>
      </c>
      <c r="E81" s="5" t="str">
        <f t="shared" si="2"/>
        <v>Available</v>
      </c>
    </row>
    <row r="82" spans="1:5" x14ac:dyDescent="0.55000000000000004">
      <c r="A82" s="5" t="s">
        <v>166</v>
      </c>
      <c r="C82" s="5" t="s">
        <v>153</v>
      </c>
      <c r="E82" s="5" t="str">
        <f t="shared" si="2"/>
        <v>Available</v>
      </c>
    </row>
    <row r="83" spans="1:5" x14ac:dyDescent="0.55000000000000004">
      <c r="A83" s="5" t="s">
        <v>147</v>
      </c>
      <c r="C83" s="5" t="s">
        <v>77</v>
      </c>
      <c r="E83" s="5" t="str">
        <f t="shared" si="2"/>
        <v>Available</v>
      </c>
    </row>
    <row r="84" spans="1:5" x14ac:dyDescent="0.55000000000000004">
      <c r="A84" s="5" t="s">
        <v>142</v>
      </c>
      <c r="C84" s="5" t="s">
        <v>106</v>
      </c>
      <c r="E84" s="5" t="str">
        <f t="shared" si="2"/>
        <v>Available</v>
      </c>
    </row>
    <row r="85" spans="1:5" x14ac:dyDescent="0.55000000000000004">
      <c r="A85" s="5" t="s">
        <v>167</v>
      </c>
      <c r="C85" s="5" t="s">
        <v>97</v>
      </c>
      <c r="E85" s="5" t="str">
        <f t="shared" si="2"/>
        <v>Available</v>
      </c>
    </row>
    <row r="86" spans="1:5" x14ac:dyDescent="0.55000000000000004">
      <c r="A86" s="5" t="s">
        <v>168</v>
      </c>
      <c r="C86" s="5" t="s">
        <v>83</v>
      </c>
      <c r="E86" s="5" t="str">
        <f t="shared" si="2"/>
        <v>Available</v>
      </c>
    </row>
    <row r="87" spans="1:5" x14ac:dyDescent="0.55000000000000004">
      <c r="A87" s="5" t="s">
        <v>154</v>
      </c>
      <c r="C87" s="5" t="s">
        <v>126</v>
      </c>
      <c r="E87" s="5" t="str">
        <f t="shared" si="2"/>
        <v>Available</v>
      </c>
    </row>
    <row r="88" spans="1:5" x14ac:dyDescent="0.55000000000000004">
      <c r="A88" s="5" t="s">
        <v>151</v>
      </c>
      <c r="C88" s="5" t="s">
        <v>169</v>
      </c>
      <c r="E88" s="5" t="str">
        <f t="shared" si="2"/>
        <v>Available</v>
      </c>
    </row>
    <row r="89" spans="1:5" x14ac:dyDescent="0.55000000000000004">
      <c r="A89" s="5" t="s">
        <v>74</v>
      </c>
      <c r="C89" s="5" t="s">
        <v>157</v>
      </c>
      <c r="E89" s="5" t="str">
        <f t="shared" si="2"/>
        <v>Available</v>
      </c>
    </row>
    <row r="90" spans="1:5" x14ac:dyDescent="0.55000000000000004">
      <c r="A90" s="5" t="s">
        <v>123</v>
      </c>
      <c r="C90" s="5" t="s">
        <v>170</v>
      </c>
      <c r="E90" s="5" t="str">
        <f t="shared" si="2"/>
        <v>Available</v>
      </c>
    </row>
    <row r="91" spans="1:5" x14ac:dyDescent="0.55000000000000004">
      <c r="A91" s="5" t="s">
        <v>121</v>
      </c>
      <c r="C91" s="5" t="s">
        <v>130</v>
      </c>
      <c r="E91" s="5" t="str">
        <f t="shared" si="2"/>
        <v>Available</v>
      </c>
    </row>
    <row r="92" spans="1:5" x14ac:dyDescent="0.55000000000000004">
      <c r="A92" s="5" t="s">
        <v>169</v>
      </c>
      <c r="C92" s="5" t="s">
        <v>128</v>
      </c>
      <c r="E92" s="5" t="str">
        <f t="shared" si="2"/>
        <v>Available</v>
      </c>
    </row>
    <row r="93" spans="1:5" x14ac:dyDescent="0.55000000000000004">
      <c r="A93" s="5" t="s">
        <v>164</v>
      </c>
      <c r="C93" s="5" t="s">
        <v>116</v>
      </c>
      <c r="E93" s="5" t="str">
        <f t="shared" si="2"/>
        <v>Available</v>
      </c>
    </row>
    <row r="94" spans="1:5" x14ac:dyDescent="0.55000000000000004">
      <c r="A94" s="5" t="s">
        <v>170</v>
      </c>
      <c r="C94" s="5" t="s">
        <v>155</v>
      </c>
      <c r="E94" s="5" t="str">
        <f t="shared" si="2"/>
        <v>Available</v>
      </c>
    </row>
    <row r="95" spans="1:5" x14ac:dyDescent="0.55000000000000004">
      <c r="A95" s="5" t="s">
        <v>119</v>
      </c>
      <c r="C95" s="5" t="s">
        <v>168</v>
      </c>
      <c r="E95" s="5" t="str">
        <f t="shared" si="2"/>
        <v>Available</v>
      </c>
    </row>
    <row r="96" spans="1:5" x14ac:dyDescent="0.55000000000000004">
      <c r="A96" s="5" t="s">
        <v>79</v>
      </c>
      <c r="C96" s="5" t="s">
        <v>150</v>
      </c>
      <c r="E96" s="5" t="str">
        <f t="shared" si="2"/>
        <v>Available</v>
      </c>
    </row>
    <row r="97" spans="1:5" x14ac:dyDescent="0.55000000000000004">
      <c r="A97" s="5" t="s">
        <v>129</v>
      </c>
      <c r="C97" s="5" t="s">
        <v>133</v>
      </c>
      <c r="E97" s="5" t="str">
        <f t="shared" si="2"/>
        <v>Available</v>
      </c>
    </row>
    <row r="98" spans="1:5" x14ac:dyDescent="0.55000000000000004">
      <c r="A98" s="5" t="s">
        <v>94</v>
      </c>
      <c r="C98" s="5" t="s">
        <v>159</v>
      </c>
      <c r="E98" s="5" t="str">
        <f t="shared" si="2"/>
        <v>Available</v>
      </c>
    </row>
    <row r="99" spans="1:5" x14ac:dyDescent="0.55000000000000004">
      <c r="A99" s="5" t="s">
        <v>138</v>
      </c>
      <c r="C99" s="5" t="s">
        <v>171</v>
      </c>
      <c r="E99" s="5" t="str">
        <f t="shared" si="2"/>
        <v>Missing</v>
      </c>
    </row>
    <row r="100" spans="1:5" x14ac:dyDescent="0.55000000000000004">
      <c r="C100" s="5" t="s">
        <v>104</v>
      </c>
      <c r="E100" s="5" t="str">
        <f t="shared" si="2"/>
        <v>Available</v>
      </c>
    </row>
    <row r="101" spans="1:5" x14ac:dyDescent="0.55000000000000004">
      <c r="C101" s="5" t="s">
        <v>102</v>
      </c>
      <c r="E101" s="5" t="str">
        <f t="shared" si="2"/>
        <v>Available</v>
      </c>
    </row>
    <row r="102" spans="1:5" x14ac:dyDescent="0.55000000000000004">
      <c r="C102" s="5" t="s">
        <v>166</v>
      </c>
      <c r="E102" s="5" t="str">
        <f t="shared" si="2"/>
        <v>Available</v>
      </c>
    </row>
    <row r="103" spans="1:5" x14ac:dyDescent="0.55000000000000004">
      <c r="C103" s="5" t="s">
        <v>167</v>
      </c>
      <c r="E103" s="5" t="str">
        <f t="shared" si="2"/>
        <v>Available</v>
      </c>
    </row>
    <row r="104" spans="1:5" x14ac:dyDescent="0.55000000000000004">
      <c r="C104" s="5" t="s">
        <v>172</v>
      </c>
      <c r="E104" s="5" t="str">
        <f t="shared" si="2"/>
        <v>Missing</v>
      </c>
    </row>
    <row r="105" spans="1:5" x14ac:dyDescent="0.55000000000000004">
      <c r="C105" s="5" t="s">
        <v>165</v>
      </c>
      <c r="E105" s="5" t="str">
        <f t="shared" si="2"/>
        <v>Available</v>
      </c>
    </row>
    <row r="106" spans="1:5" x14ac:dyDescent="0.55000000000000004">
      <c r="C106" s="5" t="s">
        <v>162</v>
      </c>
      <c r="E106" s="5" t="str">
        <f t="shared" si="2"/>
        <v>Available</v>
      </c>
    </row>
  </sheetData>
  <conditionalFormatting sqref="E7:E106">
    <cfRule type="containsText" dxfId="9" priority="2" operator="containsText" text="Missing">
      <formula>NOT(ISERROR(SEARCH("Missing",E7)))</formula>
    </cfRule>
  </conditionalFormatting>
  <conditionalFormatting sqref="C7:C106">
    <cfRule type="expression" dxfId="8" priority="1">
      <formula>ISNA(VLOOKUP(C7,$A$7:$A$99,1,FALSE))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00FF"/>
  </sheetPr>
  <dimension ref="A1:O17"/>
  <sheetViews>
    <sheetView zoomScale="115" zoomScaleNormal="115" workbookViewId="0">
      <selection activeCell="A17" sqref="A17"/>
    </sheetView>
  </sheetViews>
  <sheetFormatPr defaultRowHeight="14.4" x14ac:dyDescent="0.55000000000000004"/>
  <cols>
    <col min="1" max="1" width="15.41796875" customWidth="1"/>
    <col min="2" max="2" width="15.26171875" bestFit="1" customWidth="1"/>
  </cols>
  <sheetData>
    <row r="1" spans="1:15" x14ac:dyDescent="0.55000000000000004">
      <c r="A1" s="1" t="s">
        <v>65</v>
      </c>
    </row>
    <row r="3" spans="1:15" x14ac:dyDescent="0.55000000000000004">
      <c r="A3" s="3" t="s">
        <v>66</v>
      </c>
      <c r="B3" s="5" t="s">
        <v>45</v>
      </c>
      <c r="D3" t="s">
        <v>173</v>
      </c>
      <c r="E3" t="s">
        <v>53</v>
      </c>
    </row>
    <row r="5" spans="1:15" x14ac:dyDescent="0.55000000000000004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45</v>
      </c>
      <c r="K5" s="2" t="s">
        <v>46</v>
      </c>
      <c r="L5" s="2" t="s">
        <v>47</v>
      </c>
      <c r="M5" s="2" t="s">
        <v>48</v>
      </c>
    </row>
    <row r="6" spans="1:15" x14ac:dyDescent="0.55000000000000004">
      <c r="A6" s="5" t="s">
        <v>49</v>
      </c>
      <c r="B6" s="14">
        <v>4.5499999999999999E-2</v>
      </c>
      <c r="C6" s="14">
        <v>5.8299999999999998E-2</v>
      </c>
      <c r="D6" s="14">
        <v>8.8900000000000007E-2</v>
      </c>
      <c r="E6" s="14">
        <v>9.9100000000000008E-2</v>
      </c>
      <c r="F6" s="14">
        <v>5.7800000000000004E-2</v>
      </c>
      <c r="G6" s="14">
        <v>7.400000000000001E-2</v>
      </c>
      <c r="H6" s="14">
        <v>8.3100000000000007E-2</v>
      </c>
      <c r="I6" s="14">
        <v>4.9200000000000001E-2</v>
      </c>
      <c r="J6" s="14">
        <v>9.4500000000000001E-2</v>
      </c>
      <c r="K6" s="14">
        <v>3.3799999999999997E-2</v>
      </c>
      <c r="L6" s="14">
        <v>6.4399999999999999E-2</v>
      </c>
      <c r="M6" s="14">
        <v>0.1011</v>
      </c>
      <c r="O6" t="b">
        <f>$A6=$E$3</f>
        <v>0</v>
      </c>
    </row>
    <row r="7" spans="1:15" x14ac:dyDescent="0.55000000000000004">
      <c r="A7" s="5" t="s">
        <v>50</v>
      </c>
      <c r="B7" s="14">
        <v>-0.10959999999999999</v>
      </c>
      <c r="C7" s="14">
        <v>-0.1137</v>
      </c>
      <c r="D7" s="14">
        <v>-0.11800000000000001</v>
      </c>
      <c r="E7" s="14">
        <v>-0.10799999999999998</v>
      </c>
      <c r="F7" s="14">
        <v>-0.12920000000000001</v>
      </c>
      <c r="G7" s="14">
        <v>-0.1203</v>
      </c>
      <c r="H7" s="14">
        <v>-0.10879999999999999</v>
      </c>
      <c r="I7" s="14">
        <v>-9.8699999999999996E-2</v>
      </c>
      <c r="J7" s="14">
        <v>-0.128</v>
      </c>
      <c r="K7" s="14">
        <v>-0.1196</v>
      </c>
      <c r="L7" s="14">
        <v>-0.13949999999999999</v>
      </c>
      <c r="M7" s="14">
        <v>-0.1288</v>
      </c>
      <c r="O7" t="b">
        <f t="shared" ref="O7:O15" si="0">$A7=$E$3</f>
        <v>0</v>
      </c>
    </row>
    <row r="8" spans="1:15" x14ac:dyDescent="0.55000000000000004">
      <c r="A8" s="5" t="s">
        <v>51</v>
      </c>
      <c r="B8" s="14">
        <v>0.19109999999999999</v>
      </c>
      <c r="C8" s="14">
        <v>0.15600000000000003</v>
      </c>
      <c r="D8" s="14">
        <v>0.17030000000000001</v>
      </c>
      <c r="E8" s="14">
        <v>0.1691</v>
      </c>
      <c r="F8" s="14">
        <v>0.14660000000000001</v>
      </c>
      <c r="G8" s="14">
        <v>0.14219999999999999</v>
      </c>
      <c r="H8" s="14">
        <v>0.1239</v>
      </c>
      <c r="I8" s="14">
        <v>0.14080000000000001</v>
      </c>
      <c r="J8" s="14">
        <v>0.16350000000000001</v>
      </c>
      <c r="K8" s="14">
        <v>0.12690000000000001</v>
      </c>
      <c r="L8" s="14">
        <v>0.16209999999999999</v>
      </c>
      <c r="M8" s="14">
        <v>0.1249</v>
      </c>
      <c r="O8" t="b">
        <f t="shared" si="0"/>
        <v>0</v>
      </c>
    </row>
    <row r="9" spans="1:15" x14ac:dyDescent="0.55000000000000004">
      <c r="A9" s="5" t="s">
        <v>52</v>
      </c>
      <c r="B9" s="14">
        <v>4.5199999999999997E-2</v>
      </c>
      <c r="C9" s="14">
        <v>0.15720000000000001</v>
      </c>
      <c r="D9" s="14">
        <v>9.0000000000000011E-3</v>
      </c>
      <c r="E9" s="14">
        <v>0.12720000000000001</v>
      </c>
      <c r="F9" s="14">
        <v>0.14100000000000001</v>
      </c>
      <c r="G9" s="14">
        <v>8.8300000000000003E-2</v>
      </c>
      <c r="H9" s="14">
        <v>4.3999999999999994E-3</v>
      </c>
      <c r="I9" s="14">
        <v>0.1074</v>
      </c>
      <c r="J9" s="14">
        <v>0.11860000000000001</v>
      </c>
      <c r="K9" s="14">
        <v>6.54E-2</v>
      </c>
      <c r="L9" s="14">
        <v>4.7099999999999996E-2</v>
      </c>
      <c r="M9" s="14">
        <v>5.1699999999999996E-2</v>
      </c>
      <c r="O9" t="b">
        <f t="shared" si="0"/>
        <v>0</v>
      </c>
    </row>
    <row r="10" spans="1:15" x14ac:dyDescent="0.55000000000000004">
      <c r="A10" s="5" t="s">
        <v>53</v>
      </c>
      <c r="B10" s="14">
        <v>-2.3399999999999997E-2</v>
      </c>
      <c r="C10" s="14">
        <v>-2.6100000000000005E-2</v>
      </c>
      <c r="D10" s="14">
        <v>-2.3900000000000001E-2</v>
      </c>
      <c r="E10" s="14">
        <v>-4.3200000000000002E-2</v>
      </c>
      <c r="F10" s="14">
        <v>-5.9200000000000003E-2</v>
      </c>
      <c r="G10" s="14">
        <v>-2.3599999999999999E-2</v>
      </c>
      <c r="H10" s="14">
        <v>-4.7499999999999994E-2</v>
      </c>
      <c r="I10" s="14">
        <v>-2.1799999999999996E-2</v>
      </c>
      <c r="J10" s="14">
        <v>-2.0599999999999997E-2</v>
      </c>
      <c r="K10" s="14">
        <v>-4.4900000000000002E-2</v>
      </c>
      <c r="L10" s="14">
        <v>-6.6100000000000006E-2</v>
      </c>
      <c r="M10" s="14">
        <v>-5.000000000000001E-3</v>
      </c>
      <c r="O10" t="b">
        <f t="shared" si="0"/>
        <v>1</v>
      </c>
    </row>
    <row r="11" spans="1:15" x14ac:dyDescent="0.55000000000000004">
      <c r="A11" s="5" t="s">
        <v>54</v>
      </c>
      <c r="B11" s="14">
        <v>2.9000000000000001E-2</v>
      </c>
      <c r="C11" s="14">
        <v>2.3700000000000002E-2</v>
      </c>
      <c r="D11" s="14">
        <v>2.76E-2</v>
      </c>
      <c r="E11" s="14">
        <v>6.3E-3</v>
      </c>
      <c r="F11" s="14">
        <v>-1.6499999999999997E-2</v>
      </c>
      <c r="G11" s="14">
        <v>2.9000000000000001E-2</v>
      </c>
      <c r="H11" s="14">
        <v>7.010000000000001E-2</v>
      </c>
      <c r="I11" s="14">
        <v>9.1999999999999998E-3</v>
      </c>
      <c r="J11" s="14">
        <v>6.8400000000000002E-2</v>
      </c>
      <c r="K11" s="14">
        <v>7.9000000000000008E-3</v>
      </c>
      <c r="L11" s="14">
        <v>4.4900000000000002E-2</v>
      </c>
      <c r="M11" s="14">
        <v>6.1200000000000004E-2</v>
      </c>
      <c r="O11" t="b">
        <f t="shared" si="0"/>
        <v>0</v>
      </c>
    </row>
    <row r="12" spans="1:15" x14ac:dyDescent="0.55000000000000004">
      <c r="A12" s="5" t="s">
        <v>55</v>
      </c>
      <c r="B12" s="14">
        <v>6.5500000000000003E-2</v>
      </c>
      <c r="C12" s="14">
        <v>6.7299999999999999E-2</v>
      </c>
      <c r="D12" s="14">
        <v>3.4700000000000002E-2</v>
      </c>
      <c r="E12" s="14">
        <v>5.1999999999999998E-3</v>
      </c>
      <c r="F12" s="14">
        <v>0.1</v>
      </c>
      <c r="G12" s="14">
        <v>6.4600000000000005E-2</v>
      </c>
      <c r="H12" s="14">
        <v>1.2699999999999999E-2</v>
      </c>
      <c r="I12" s="14">
        <v>6.4600000000000005E-2</v>
      </c>
      <c r="J12" s="14">
        <v>4.5999999999999999E-2</v>
      </c>
      <c r="K12" s="14">
        <v>2.7799999999999998E-2</v>
      </c>
      <c r="L12" s="14">
        <v>3.4000000000000002E-2</v>
      </c>
      <c r="M12" s="14">
        <v>7.0900000000000005E-2</v>
      </c>
      <c r="O12" t="b">
        <f t="shared" si="0"/>
        <v>0</v>
      </c>
    </row>
    <row r="13" spans="1:15" x14ac:dyDescent="0.55000000000000004">
      <c r="A13" s="5" t="s">
        <v>56</v>
      </c>
      <c r="B13" s="14">
        <v>4.3999999999999994E-3</v>
      </c>
      <c r="C13" s="14">
        <v>-5.5899999999999998E-2</v>
      </c>
      <c r="D13" s="14">
        <v>-5.899999999999999E-3</v>
      </c>
      <c r="E13" s="14">
        <v>4.7600000000000003E-2</v>
      </c>
      <c r="F13" s="14">
        <v>4.5899999999999996E-2</v>
      </c>
      <c r="G13" s="14">
        <v>2.8000000000000001E-2</v>
      </c>
      <c r="H13" s="14">
        <v>3.7499999999999999E-2</v>
      </c>
      <c r="I13" s="14">
        <v>4.5399999999999996E-2</v>
      </c>
      <c r="J13" s="14">
        <v>5.4100000000000002E-2</v>
      </c>
      <c r="K13" s="14">
        <v>6.0000000000000005E-2</v>
      </c>
      <c r="L13" s="14">
        <v>3.8199999999999998E-2</v>
      </c>
      <c r="M13" s="14">
        <v>3.2100000000000004E-2</v>
      </c>
      <c r="O13" t="b">
        <f t="shared" si="0"/>
        <v>0</v>
      </c>
    </row>
    <row r="14" spans="1:15" x14ac:dyDescent="0.55000000000000004">
      <c r="A14" s="5" t="s">
        <v>57</v>
      </c>
      <c r="B14" s="14">
        <v>0.1003</v>
      </c>
      <c r="C14" s="14">
        <v>-3.49E-2</v>
      </c>
      <c r="D14" s="14">
        <v>6.9999999999999902E-4</v>
      </c>
      <c r="E14" s="14">
        <v>8.9600000000000013E-2</v>
      </c>
      <c r="F14" s="14">
        <v>2.8299999999999999E-2</v>
      </c>
      <c r="G14" s="14">
        <v>8.610000000000001E-2</v>
      </c>
      <c r="H14" s="14">
        <v>5.2299999999999999E-2</v>
      </c>
      <c r="I14" s="14">
        <v>4.5600000000000002E-2</v>
      </c>
      <c r="J14" s="14">
        <v>0.1234</v>
      </c>
      <c r="K14" s="14">
        <v>-1.1400000000000002E-2</v>
      </c>
      <c r="L14" s="14">
        <v>5.3099999999999994E-2</v>
      </c>
      <c r="M14" s="14">
        <v>7.1799999999999989E-2</v>
      </c>
      <c r="O14" t="b">
        <f t="shared" si="0"/>
        <v>0</v>
      </c>
    </row>
    <row r="15" spans="1:15" x14ac:dyDescent="0.55000000000000004">
      <c r="A15" s="5" t="s">
        <v>58</v>
      </c>
      <c r="B15" s="14">
        <v>0.13319999999999999</v>
      </c>
      <c r="C15" s="14">
        <v>0.1726</v>
      </c>
      <c r="D15" s="14">
        <v>0.17400000000000002</v>
      </c>
      <c r="E15" s="14">
        <v>0.16470000000000001</v>
      </c>
      <c r="F15" s="14">
        <v>0.1565</v>
      </c>
      <c r="G15" s="14">
        <v>0.16370000000000001</v>
      </c>
      <c r="H15" s="14">
        <v>0.1681</v>
      </c>
      <c r="I15" s="14">
        <v>0.14580000000000001</v>
      </c>
      <c r="J15" s="14">
        <v>0.14400000000000002</v>
      </c>
      <c r="K15" s="14">
        <v>0.16350000000000001</v>
      </c>
      <c r="L15" s="14">
        <v>0.17</v>
      </c>
      <c r="M15" s="14">
        <v>0.16590000000000002</v>
      </c>
      <c r="O15" t="b">
        <f t="shared" si="0"/>
        <v>0</v>
      </c>
    </row>
    <row r="17" spans="2:13" x14ac:dyDescent="0.55000000000000004">
      <c r="B17" t="b">
        <f>B$5=$B$3</f>
        <v>0</v>
      </c>
      <c r="C17" t="b">
        <f>C$5=$B$3</f>
        <v>0</v>
      </c>
      <c r="D17" t="b">
        <f t="shared" ref="D17:M17" si="1">D$5=$B$3</f>
        <v>0</v>
      </c>
      <c r="E17" t="b">
        <f t="shared" si="1"/>
        <v>0</v>
      </c>
      <c r="F17" t="b">
        <f t="shared" si="1"/>
        <v>0</v>
      </c>
      <c r="G17" t="b">
        <f t="shared" si="1"/>
        <v>0</v>
      </c>
      <c r="H17" t="b">
        <f t="shared" si="1"/>
        <v>0</v>
      </c>
      <c r="I17" t="b">
        <f t="shared" si="1"/>
        <v>0</v>
      </c>
      <c r="J17" t="b">
        <f t="shared" si="1"/>
        <v>1</v>
      </c>
      <c r="K17" t="b">
        <f t="shared" si="1"/>
        <v>0</v>
      </c>
      <c r="L17" t="b">
        <f t="shared" si="1"/>
        <v>0</v>
      </c>
      <c r="M17" t="b">
        <f t="shared" si="1"/>
        <v>0</v>
      </c>
    </row>
  </sheetData>
  <conditionalFormatting sqref="B6:M15">
    <cfRule type="expression" dxfId="5" priority="5">
      <formula>B$17</formula>
    </cfRule>
    <cfRule type="expression" dxfId="4" priority="1">
      <formula>AND($O6,B$17)</formula>
    </cfRule>
  </conditionalFormatting>
  <conditionalFormatting sqref="A6:M15">
    <cfRule type="expression" dxfId="3" priority="6">
      <formula>$O6</formula>
    </cfRule>
  </conditionalFormatting>
  <dataValidations count="2">
    <dataValidation type="list" allowBlank="1" showInputMessage="1" showErrorMessage="1" sqref="B3" xr:uid="{00000000-0002-0000-0700-000000000000}">
      <formula1>$B$5:$M$5</formula1>
    </dataValidation>
    <dataValidation type="list" allowBlank="1" showInputMessage="1" showErrorMessage="1" sqref="E3" xr:uid="{00000000-0002-0000-0700-000001000000}">
      <formula1>$A$6:$A$15</formula1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FF"/>
  </sheetPr>
  <dimension ref="A1:J21"/>
  <sheetViews>
    <sheetView tabSelected="1" zoomScaleNormal="100" workbookViewId="0">
      <selection activeCell="A22" sqref="A22:XFD1048576"/>
    </sheetView>
  </sheetViews>
  <sheetFormatPr defaultRowHeight="14.4" x14ac:dyDescent="0.55000000000000004"/>
  <sheetData>
    <row r="1" spans="1:10" x14ac:dyDescent="0.55000000000000004">
      <c r="A1" t="s">
        <v>177</v>
      </c>
    </row>
    <row r="2" spans="1:10" x14ac:dyDescent="0.55000000000000004">
      <c r="A2" t="s">
        <v>178</v>
      </c>
    </row>
    <row r="4" spans="1:10" x14ac:dyDescent="0.55000000000000004">
      <c r="A4" s="2" t="s">
        <v>4</v>
      </c>
      <c r="B4" s="2" t="s">
        <v>5</v>
      </c>
      <c r="C4" s="2" t="s">
        <v>6</v>
      </c>
      <c r="E4" s="3" t="s">
        <v>4</v>
      </c>
      <c r="F4" s="3" t="s">
        <v>5</v>
      </c>
    </row>
    <row r="5" spans="1:10" x14ac:dyDescent="0.55000000000000004">
      <c r="A5" s="5" t="s">
        <v>175</v>
      </c>
      <c r="B5" s="4" t="s">
        <v>7</v>
      </c>
      <c r="C5" s="5">
        <v>9428</v>
      </c>
      <c r="E5" s="5" t="s">
        <v>174</v>
      </c>
      <c r="F5" s="5" t="s">
        <v>8</v>
      </c>
      <c r="H5" s="5"/>
      <c r="I5" s="5"/>
      <c r="J5" s="5"/>
    </row>
    <row r="6" spans="1:10" x14ac:dyDescent="0.55000000000000004">
      <c r="A6" s="5" t="s">
        <v>174</v>
      </c>
      <c r="B6" s="5" t="s">
        <v>8</v>
      </c>
      <c r="C6" s="5">
        <v>1987</v>
      </c>
      <c r="H6" s="5"/>
      <c r="I6" s="5"/>
      <c r="J6" s="5"/>
    </row>
    <row r="7" spans="1:10" x14ac:dyDescent="0.55000000000000004">
      <c r="A7" s="5" t="s">
        <v>174</v>
      </c>
      <c r="B7" s="5" t="s">
        <v>9</v>
      </c>
      <c r="C7" s="5">
        <v>7417</v>
      </c>
      <c r="H7" s="5"/>
      <c r="I7" s="5"/>
      <c r="J7" s="5"/>
    </row>
    <row r="8" spans="1:10" x14ac:dyDescent="0.55000000000000004">
      <c r="A8" s="5" t="s">
        <v>175</v>
      </c>
      <c r="B8" s="5" t="s">
        <v>10</v>
      </c>
      <c r="C8" s="5">
        <v>6270</v>
      </c>
      <c r="H8" s="5"/>
      <c r="I8" s="5"/>
      <c r="J8" s="5"/>
    </row>
    <row r="9" spans="1:10" x14ac:dyDescent="0.55000000000000004">
      <c r="A9" s="5" t="s">
        <v>176</v>
      </c>
      <c r="B9" s="5" t="s">
        <v>9</v>
      </c>
      <c r="C9" s="5">
        <v>5610</v>
      </c>
      <c r="H9" s="5"/>
      <c r="I9" s="5"/>
      <c r="J9" s="5"/>
    </row>
    <row r="10" spans="1:10" x14ac:dyDescent="0.55000000000000004">
      <c r="A10" s="5" t="s">
        <v>175</v>
      </c>
      <c r="B10" s="5" t="s">
        <v>11</v>
      </c>
      <c r="C10" s="5">
        <v>2546</v>
      </c>
      <c r="H10" s="5"/>
      <c r="I10" s="5"/>
      <c r="J10" s="5"/>
    </row>
    <row r="11" spans="1:10" x14ac:dyDescent="0.55000000000000004">
      <c r="A11" s="5" t="s">
        <v>174</v>
      </c>
      <c r="B11" s="5" t="s">
        <v>9</v>
      </c>
      <c r="C11" s="4">
        <v>6279</v>
      </c>
      <c r="H11" s="5"/>
      <c r="I11" s="5"/>
      <c r="J11" s="5"/>
    </row>
    <row r="14" spans="1:10" x14ac:dyDescent="0.55000000000000004">
      <c r="A14" s="2" t="s">
        <v>4</v>
      </c>
      <c r="B14" s="2" t="s">
        <v>5</v>
      </c>
      <c r="C14" s="2" t="s">
        <v>6</v>
      </c>
      <c r="E14" s="3" t="s">
        <v>5</v>
      </c>
    </row>
    <row r="15" spans="1:10" x14ac:dyDescent="0.55000000000000004">
      <c r="A15" s="5" t="s">
        <v>175</v>
      </c>
      <c r="B15" s="4" t="s">
        <v>7</v>
      </c>
      <c r="C15" s="5">
        <v>9428</v>
      </c>
      <c r="E15" s="5" t="s">
        <v>8</v>
      </c>
      <c r="H15" s="5"/>
      <c r="I15" s="5"/>
      <c r="J15" s="5"/>
    </row>
    <row r="16" spans="1:10" x14ac:dyDescent="0.55000000000000004">
      <c r="A16" s="5" t="s">
        <v>174</v>
      </c>
      <c r="B16" s="5" t="s">
        <v>8</v>
      </c>
      <c r="C16" s="5">
        <v>1987</v>
      </c>
      <c r="E16" s="5" t="s">
        <v>11</v>
      </c>
      <c r="H16" s="5"/>
      <c r="I16" s="5"/>
      <c r="J16" s="5"/>
    </row>
    <row r="17" spans="1:10" x14ac:dyDescent="0.55000000000000004">
      <c r="A17" s="5" t="s">
        <v>174</v>
      </c>
      <c r="B17" s="5" t="s">
        <v>9</v>
      </c>
      <c r="C17" s="5">
        <v>7417</v>
      </c>
      <c r="E17" s="5"/>
      <c r="H17" s="5"/>
      <c r="I17" s="5"/>
      <c r="J17" s="5"/>
    </row>
    <row r="18" spans="1:10" x14ac:dyDescent="0.55000000000000004">
      <c r="A18" s="5" t="s">
        <v>175</v>
      </c>
      <c r="B18" s="5" t="s">
        <v>10</v>
      </c>
      <c r="C18" s="5">
        <v>6270</v>
      </c>
      <c r="H18" s="5"/>
      <c r="I18" s="5"/>
      <c r="J18" s="5"/>
    </row>
    <row r="19" spans="1:10" x14ac:dyDescent="0.55000000000000004">
      <c r="A19" s="5" t="s">
        <v>176</v>
      </c>
      <c r="B19" s="5" t="s">
        <v>9</v>
      </c>
      <c r="C19" s="5">
        <v>5610</v>
      </c>
      <c r="H19" s="5"/>
      <c r="I19" s="5"/>
      <c r="J19" s="5"/>
    </row>
    <row r="20" spans="1:10" x14ac:dyDescent="0.55000000000000004">
      <c r="A20" s="5" t="s">
        <v>175</v>
      </c>
      <c r="B20" s="5" t="s">
        <v>11</v>
      </c>
      <c r="C20" s="5">
        <v>2546</v>
      </c>
      <c r="H20" s="5"/>
      <c r="I20" s="5"/>
      <c r="J20" s="5"/>
    </row>
    <row r="21" spans="1:10" x14ac:dyDescent="0.55000000000000004">
      <c r="A21" s="5" t="s">
        <v>174</v>
      </c>
      <c r="B21" s="5" t="s">
        <v>9</v>
      </c>
      <c r="C21" s="4">
        <v>6279</v>
      </c>
      <c r="H21" s="5"/>
      <c r="I21" s="5"/>
      <c r="J21" s="5"/>
    </row>
  </sheetData>
  <dataValidations count="2">
    <dataValidation type="list" allowBlank="1" showInputMessage="1" showErrorMessage="1" sqref="F5 E15:E17" xr:uid="{00000000-0002-0000-0800-000000000000}">
      <formula1>Customer</formula1>
    </dataValidation>
    <dataValidation type="list" allowBlank="1" showInputMessage="1" showErrorMessage="1" sqref="E5" xr:uid="{00000000-0002-0000-0800-000001000000}">
      <formula1>SalesRep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Data</vt:lpstr>
      <vt:lpstr>Cell Contains</vt:lpstr>
      <vt:lpstr>BelowAve</vt:lpstr>
      <vt:lpstr>Top3</vt:lpstr>
      <vt:lpstr>Data Bars</vt:lpstr>
      <vt:lpstr>Color Scales</vt:lpstr>
      <vt:lpstr>Icons</vt:lpstr>
      <vt:lpstr>NOT in List</vt:lpstr>
      <vt:lpstr>Whole Column</vt:lpstr>
      <vt:lpstr>AND OR</vt:lpstr>
      <vt:lpstr>Customer</vt:lpstr>
      <vt:lpstr>SalesRep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Shalu Kalra</dc:creator>
  <cp:lastModifiedBy>Kabir Kanha</cp:lastModifiedBy>
  <dcterms:created xsi:type="dcterms:W3CDTF">2016-12-12T14:35:27Z</dcterms:created>
  <dcterms:modified xsi:type="dcterms:W3CDTF">2019-02-22T05:41:20Z</dcterms:modified>
</cp:coreProperties>
</file>