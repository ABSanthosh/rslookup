
<file path=[Content_Types].xml><?xml version="1.0" encoding="utf-8"?>
<Types xmlns="http://schemas.openxmlformats.org/package/2006/content-types">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1231"/>
  <workbookPr filterPrivacy="1" defaultThemeVersion="124226"/>
  <xr:revisionPtr revIDLastSave="0" documentId="13_ncr:1_{7BF56087-4C6B-44C9-B516-F10C2DCAD3E5}" xr6:coauthVersionLast="40" xr6:coauthVersionMax="40" xr10:uidLastSave="{00000000-0000-0000-0000-000000000000}"/>
  <bookViews>
    <workbookView xWindow="-96" yWindow="-96" windowWidth="23232" windowHeight="12552" activeTab="7" xr2:uid="{00000000-000D-0000-FFFF-FFFF00000000}"/>
  </bookViews>
  <sheets>
    <sheet name="Errors" sheetId="15" r:id="rId1"/>
    <sheet name="1" sheetId="4" r:id="rId2"/>
    <sheet name="2" sheetId="16" r:id="rId3"/>
    <sheet name="3" sheetId="17" r:id="rId4"/>
    <sheet name="4" sheetId="13" r:id="rId5"/>
    <sheet name="Cheat Sheet" sheetId="1" r:id="rId6"/>
    <sheet name="Paste Data from Web" sheetId="2" r:id="rId7"/>
    <sheet name="Text to Col" sheetId="3" r:id="rId8"/>
  </sheets>
  <externalReferences>
    <externalReference r:id="rId9"/>
  </externalReferences>
  <definedNames>
    <definedName name="TypeANSWER">'[1]DV (an)'!$G$58:$J$58</definedName>
  </definedNames>
  <calcPr calcId="191029"/>
  <extLst>
    <ext xmlns:xcalcf="http://schemas.microsoft.com/office/spreadsheetml/2018/calcfeatures" uri="{B58B0392-4F1F-4190-BB64-5DF3571DCE5F}">
      <xcalcf:calcFeatures>
        <xcalcf:feature name="microsoft.com:RD"/>
        <xcalcf:feature name="microsoft.com:FV"/>
      </xcalcf:calcFeatures>
    </ext>
  </extLst>
</workbook>
</file>

<file path=xl/calcChain.xml><?xml version="1.0" encoding="utf-8"?>
<calcChain xmlns="http://schemas.openxmlformats.org/spreadsheetml/2006/main">
  <c r="E5" i="13" l="1"/>
  <c r="E4" i="13"/>
  <c r="D4" i="13"/>
  <c r="F2" i="17"/>
  <c r="F1" i="17"/>
  <c r="I14" i="4"/>
  <c r="I15" i="4"/>
  <c r="I16" i="4"/>
  <c r="I17" i="4"/>
  <c r="I13" i="4"/>
  <c r="B15" i="4"/>
  <c r="B14" i="4"/>
  <c r="B16" i="4"/>
  <c r="B17" i="4"/>
  <c r="B13" i="4"/>
  <c r="E6" i="17" l="1"/>
  <c r="F6" i="17" l="1"/>
  <c r="E7" i="17" s="1"/>
  <c r="G6" i="17" l="1"/>
  <c r="F7" i="17"/>
  <c r="E8" i="17" s="1"/>
  <c r="G7" i="17" l="1"/>
  <c r="F8" i="17"/>
  <c r="E9" i="17" s="1"/>
  <c r="G8" i="17" l="1"/>
  <c r="F9" i="17"/>
  <c r="E10" i="17" s="1"/>
  <c r="G9" i="17" l="1"/>
  <c r="F10" i="17"/>
  <c r="E11" i="17" s="1"/>
  <c r="G10" i="17" l="1"/>
  <c r="F11" i="17"/>
  <c r="G11" i="17" s="1"/>
  <c r="E11" i="13" l="1"/>
  <c r="E10" i="13"/>
  <c r="D10" i="13"/>
  <c r="E9" i="13"/>
  <c r="D9" i="13"/>
  <c r="E8" i="13"/>
  <c r="D8" i="13"/>
  <c r="E7" i="13"/>
  <c r="D7" i="13"/>
  <c r="E6" i="13"/>
  <c r="D6" i="13"/>
  <c r="E3" i="13"/>
  <c r="D3" i="13"/>
  <c r="F13" i="4"/>
  <c r="D5" i="13"/>
  <c r="G2" i="16" l="1"/>
  <c r="G6" i="16"/>
  <c r="G5" i="16"/>
  <c r="G4" i="16"/>
  <c r="G3" i="16"/>
</calcChain>
</file>

<file path=xl/sharedStrings.xml><?xml version="1.0" encoding="utf-8"?>
<sst xmlns="http://schemas.openxmlformats.org/spreadsheetml/2006/main" count="2362" uniqueCount="327">
  <si>
    <t>Error Message</t>
  </si>
  <si>
    <t>Description of Error</t>
  </si>
  <si>
    <t>Formula errors:</t>
  </si>
  <si>
    <t>wrong answer</t>
  </si>
  <si>
    <t>1) F2 (Edit Mode) and look at formula, look at Range Finder
2) Run Evaluate Formula or use F9 key on a formula element while in Edit Mode to see what part of the formula is causing error, then examine that part of the formula
3) Look at formula input cells
4) Look at raw data</t>
  </si>
  <si>
    <t>Cell Reference is black</t>
  </si>
  <si>
    <t>When building formulas, if cell references is black, the formula is not working (Sheet and Workbook references are always black)</t>
  </si>
  <si>
    <t>Error messages:</t>
  </si>
  <si>
    <t>Divide by zero</t>
  </si>
  <si>
    <t>Formula is using cell reference that has been deleted, or other invalid cell reference</t>
  </si>
  <si>
    <t>Excel built-in function misspelled, Defined Name misspelled, or "text" (word data) in formula is not in double quotes.</t>
  </si>
  <si>
    <t>Not Available/ No Answer</t>
  </si>
  <si>
    <t>Invalid operand or argument type (argument in a function), or Array Formula was entered without Ctrl + Shift + Enter</t>
  </si>
  <si>
    <t>No Intersection</t>
  </si>
  <si>
    <t>Invalid numeric values in a formula or function, or an iterative function like IRR cannot find an answer, or the number is too big or small (number must be between -1*10^307 and 1*10^307)</t>
  </si>
  <si>
    <t>Other errors</t>
  </si>
  <si>
    <t>#######</t>
  </si>
  <si>
    <t>Column width not wide enough to display data (values), or negative date or time</t>
  </si>
  <si>
    <t>Circular Cell Reference</t>
  </si>
  <si>
    <t>Cell reference in formula refers to the formulas result (itself). You see a dialog message about this error</t>
  </si>
  <si>
    <t>Region/Product</t>
  </si>
  <si>
    <t>Bellen</t>
  </si>
  <si>
    <t>Carlota</t>
  </si>
  <si>
    <t>Sunshine</t>
  </si>
  <si>
    <t>Sunset</t>
  </si>
  <si>
    <t>Yanaki</t>
  </si>
  <si>
    <t>Flattop</t>
  </si>
  <si>
    <t>Eagle Boom</t>
  </si>
  <si>
    <t>Majestic B</t>
  </si>
  <si>
    <t>West</t>
  </si>
  <si>
    <t>East</t>
  </si>
  <si>
    <t>South</t>
  </si>
  <si>
    <t>Midwest</t>
  </si>
  <si>
    <t>Northwest</t>
  </si>
  <si>
    <t>Southwest</t>
  </si>
  <si>
    <t>Lookup whole column</t>
  </si>
  <si>
    <t>Two Way Lookup</t>
  </si>
  <si>
    <t>Total</t>
  </si>
  <si>
    <t>Region</t>
  </si>
  <si>
    <t>Product</t>
  </si>
  <si>
    <t>2 way lookup</t>
  </si>
  <si>
    <t>Quad</t>
  </si>
  <si>
    <t>Dates</t>
  </si>
  <si>
    <t>Sales Reps</t>
  </si>
  <si>
    <t>Sales</t>
  </si>
  <si>
    <t>Sioux Rad</t>
  </si>
  <si>
    <t>Phil Cool</t>
  </si>
  <si>
    <t>Gigi Sup</t>
  </si>
  <si>
    <t>Battalion Calm</t>
  </si>
  <si>
    <t>Gardenia Pretty</t>
  </si>
  <si>
    <t>Battalion Pretty</t>
  </si>
  <si>
    <t>Gigi Rad</t>
  </si>
  <si>
    <t>Gigi Pretty</t>
  </si>
  <si>
    <t>Phil Sup</t>
  </si>
  <si>
    <t>Gigi Calm</t>
  </si>
  <si>
    <t>Phil Rad</t>
  </si>
  <si>
    <t>Sioux Cool</t>
  </si>
  <si>
    <t>Sioux Calm</t>
  </si>
  <si>
    <t>Battalion Rad</t>
  </si>
  <si>
    <t>Gardenia Sup</t>
  </si>
  <si>
    <t>Battalion Sup</t>
  </si>
  <si>
    <t>Gardenia Cool</t>
  </si>
  <si>
    <t>Battalion Cool</t>
  </si>
  <si>
    <t>Phil Calm</t>
  </si>
  <si>
    <t>Phil Pretty</t>
  </si>
  <si>
    <t>Gardenia Rad</t>
  </si>
  <si>
    <t>Gigi Cool</t>
  </si>
  <si>
    <t>Sioux Sup</t>
  </si>
  <si>
    <t>Sioux Pretty</t>
  </si>
  <si>
    <t>Gardenia Calm</t>
  </si>
  <si>
    <t>Min</t>
  </si>
  <si>
    <t>11/18/2013</t>
  </si>
  <si>
    <t>Max</t>
  </si>
  <si>
    <t>12/27/2013</t>
  </si>
  <si>
    <t>Start Date</t>
  </si>
  <si>
    <t>End Date</t>
  </si>
  <si>
    <t>12/25/2013</t>
  </si>
  <si>
    <t>11/26/2013</t>
  </si>
  <si>
    <t>08/28/2013</t>
  </si>
  <si>
    <t>08/22/2013</t>
  </si>
  <si>
    <t>11/24/2013</t>
  </si>
  <si>
    <t>08/30/2013</t>
  </si>
  <si>
    <t>10/26/2013</t>
  </si>
  <si>
    <t>09/14/2013</t>
  </si>
  <si>
    <t>12/15/2013</t>
  </si>
  <si>
    <t>10/22/2013</t>
  </si>
  <si>
    <t>12/29/2013</t>
  </si>
  <si>
    <t>11/25/2013</t>
  </si>
  <si>
    <t>11/20/2013</t>
  </si>
  <si>
    <t>11/28/2013</t>
  </si>
  <si>
    <t>11/17/2013</t>
  </si>
  <si>
    <t>11/22/2013</t>
  </si>
  <si>
    <t>12/14/2013</t>
  </si>
  <si>
    <t>12/20/2013</t>
  </si>
  <si>
    <t>08/21/2013</t>
  </si>
  <si>
    <t>10/21/2013</t>
  </si>
  <si>
    <t>12/30/2013</t>
  </si>
  <si>
    <t>08/24/2013</t>
  </si>
  <si>
    <t>12/13/2013</t>
  </si>
  <si>
    <t>12/26/2013</t>
  </si>
  <si>
    <t>10/25/2013</t>
  </si>
  <si>
    <t>08/15/2013</t>
  </si>
  <si>
    <t>09/24/2013</t>
  </si>
  <si>
    <t>08/17/2013</t>
  </si>
  <si>
    <t>11/15/2013</t>
  </si>
  <si>
    <t>11/14/2013</t>
  </si>
  <si>
    <t>09/15/2013</t>
  </si>
  <si>
    <t>12/22/2013</t>
  </si>
  <si>
    <t>10/24/2013</t>
  </si>
  <si>
    <t>08/27/2013</t>
  </si>
  <si>
    <t>09/13/2013</t>
  </si>
  <si>
    <t>10/23/2013</t>
  </si>
  <si>
    <t>09/23/2013</t>
  </si>
  <si>
    <t>09/30/2013</t>
  </si>
  <si>
    <t>09/21/2013</t>
  </si>
  <si>
    <t>09/19/2013</t>
  </si>
  <si>
    <t>11/19/2013</t>
  </si>
  <si>
    <t>09/17/2013</t>
  </si>
  <si>
    <t>09/25/2013</t>
  </si>
  <si>
    <t>12/16/2013</t>
  </si>
  <si>
    <t>12/17/2013</t>
  </si>
  <si>
    <t>10/13/2013</t>
  </si>
  <si>
    <t>10/20/2013</t>
  </si>
  <si>
    <t>10/29/2013</t>
  </si>
  <si>
    <t>10/14/2013</t>
  </si>
  <si>
    <t>08/16/2013</t>
  </si>
  <si>
    <t>08/14/2013</t>
  </si>
  <si>
    <t>09/27/2013</t>
  </si>
  <si>
    <t>11/16/2013</t>
  </si>
  <si>
    <t>08/31/2013</t>
  </si>
  <si>
    <t>10/28/2013</t>
  </si>
  <si>
    <t>10/18/2013</t>
  </si>
  <si>
    <t>10/17/2013</t>
  </si>
  <si>
    <t>11/13/2013</t>
  </si>
  <si>
    <t>09/28/2013</t>
  </si>
  <si>
    <t>08/19/2013</t>
  </si>
  <si>
    <t>10/30/2013</t>
  </si>
  <si>
    <t>09/20/2013</t>
  </si>
  <si>
    <t>12/19/2013</t>
  </si>
  <si>
    <t>12/21/2013</t>
  </si>
  <si>
    <t>10/16/2013</t>
  </si>
  <si>
    <t>09/26/2013</t>
  </si>
  <si>
    <t>11/23/2013</t>
  </si>
  <si>
    <t>09/22/2013</t>
  </si>
  <si>
    <t>10/27/2013</t>
  </si>
  <si>
    <t>08/26/2013</t>
  </si>
  <si>
    <t>08/20/2013</t>
  </si>
  <si>
    <t>12/28/2013</t>
  </si>
  <si>
    <t>08/29/2013</t>
  </si>
  <si>
    <t>08/23/2013</t>
  </si>
  <si>
    <t>10/15/2013</t>
  </si>
  <si>
    <t>11/27/2013</t>
  </si>
  <si>
    <t>11/21/2013</t>
  </si>
  <si>
    <t>10/31/2013</t>
  </si>
  <si>
    <t>08/18/2013</t>
  </si>
  <si>
    <t>12/24/2013</t>
  </si>
  <si>
    <t>12/23/2013</t>
  </si>
  <si>
    <t>08/25/2013</t>
  </si>
  <si>
    <t>09/16/2013</t>
  </si>
  <si>
    <t>10/19/2013</t>
  </si>
  <si>
    <t>09/29/2013</t>
  </si>
  <si>
    <t>11/30/2013</t>
  </si>
  <si>
    <t>12/31/2013</t>
  </si>
  <si>
    <t>11/29/2013</t>
  </si>
  <si>
    <t>12/18/2013</t>
  </si>
  <si>
    <t>09/18/2013</t>
  </si>
  <si>
    <t>Message</t>
  </si>
  <si>
    <t>What it is</t>
  </si>
  <si>
    <t>Example</t>
  </si>
  <si>
    <t>Jan</t>
  </si>
  <si>
    <t>Feb</t>
  </si>
  <si>
    <t>Mar</t>
  </si>
  <si>
    <t>P1</t>
  </si>
  <si>
    <t>P2</t>
  </si>
  <si>
    <t>P3</t>
  </si>
  <si>
    <t>P4</t>
  </si>
  <si>
    <t>P5</t>
  </si>
  <si>
    <t>End Time</t>
  </si>
  <si>
    <t>Begin Time</t>
  </si>
  <si>
    <t xml:space="preserve"> =SUM(H3:H7,d11)</t>
  </si>
  <si>
    <t>Number:</t>
  </si>
  <si>
    <t>https://finance.yahoo.com/gainers</t>
  </si>
  <si>
    <t>Bombardier Inc.</t>
  </si>
  <si>
    <t>4.552B</t>
  </si>
  <si>
    <t>N/A</t>
  </si>
  <si>
    <t>BDRAF</t>
  </si>
  <si>
    <t>4.406B</t>
  </si>
  <si>
    <t>CYBR</t>
  </si>
  <si>
    <t>CyberArk Software Ltd.</t>
  </si>
  <si>
    <t>5.521M</t>
  </si>
  <si>
    <t>3.753B</t>
  </si>
  <si>
    <t>MFGP</t>
  </si>
  <si>
    <t>Micro Focus International plc</t>
  </si>
  <si>
    <t>1.102M</t>
  </si>
  <si>
    <t>10.521B</t>
  </si>
  <si>
    <t>GH</t>
  </si>
  <si>
    <t>Guardant Health, Inc.</t>
  </si>
  <si>
    <t>1.217M</t>
  </si>
  <si>
    <t>4.191B</t>
  </si>
  <si>
    <t>MDGL</t>
  </si>
  <si>
    <t>Madrigal Pharmaceuticals, Inc.</t>
  </si>
  <si>
    <t>378.888k</t>
  </si>
  <si>
    <t>2.062B</t>
  </si>
  <si>
    <t>NGVT</t>
  </si>
  <si>
    <t>Ingevity Corporation</t>
  </si>
  <si>
    <t>1.132M</t>
  </si>
  <si>
    <t>4.527B</t>
  </si>
  <si>
    <t>SBFFF</t>
  </si>
  <si>
    <t>SBM Offshore N.V.</t>
  </si>
  <si>
    <t>3.896B</t>
  </si>
  <si>
    <t>AZN</t>
  </si>
  <si>
    <t>AstraZeneca PLC</t>
  </si>
  <si>
    <t>12.341M</t>
  </si>
  <si>
    <t>4.88M</t>
  </si>
  <si>
    <t>111.511B</t>
  </si>
  <si>
    <t>NGCRF</t>
  </si>
  <si>
    <t>NagaCorp Ltd.</t>
  </si>
  <si>
    <t>6.505B</t>
  </si>
  <si>
    <t>MRO</t>
  </si>
  <si>
    <t>Marathon Oil Corporation</t>
  </si>
  <si>
    <t>35.970M</t>
  </si>
  <si>
    <t>12.897M</t>
  </si>
  <si>
    <t>14.057B</t>
  </si>
  <si>
    <t>DIOD</t>
  </si>
  <si>
    <t>Diodes Incorporated</t>
  </si>
  <si>
    <t>1.666M</t>
  </si>
  <si>
    <t>2.04B</t>
  </si>
  <si>
    <t>Commission</t>
  </si>
  <si>
    <t>Elain</t>
  </si>
  <si>
    <t>Carol</t>
  </si>
  <si>
    <t>Gianna</t>
  </si>
  <si>
    <t>Jason</t>
  </si>
  <si>
    <t>Michelle</t>
  </si>
  <si>
    <t>Shari</t>
  </si>
  <si>
    <t>Denise</t>
  </si>
  <si>
    <t>Daniel</t>
  </si>
  <si>
    <t>Sarah</t>
  </si>
  <si>
    <t>Christina</t>
  </si>
  <si>
    <t>Janita</t>
  </si>
  <si>
    <t>Debra</t>
  </si>
  <si>
    <t>Nelia</t>
  </si>
  <si>
    <t>Manavbir</t>
  </si>
  <si>
    <t>Richard</t>
  </si>
  <si>
    <t>Yla-Katrina</t>
  </si>
  <si>
    <t>Kaur</t>
  </si>
  <si>
    <t>Mansa</t>
  </si>
  <si>
    <t>Mitchell</t>
  </si>
  <si>
    <t>Craig</t>
  </si>
  <si>
    <t>Sykes</t>
  </si>
  <si>
    <t>Ewelina</t>
  </si>
  <si>
    <t>Michael</t>
  </si>
  <si>
    <t>Nakyunhan</t>
  </si>
  <si>
    <t>Thongtara</t>
  </si>
  <si>
    <t>Text to columns</t>
  </si>
  <si>
    <t>Sales Rep</t>
  </si>
  <si>
    <t># of customers served</t>
  </si>
  <si>
    <t>Symbol</t>
  </si>
  <si>
    <t>Name</t>
  </si>
  <si>
    <t>Price (Intraday)</t>
  </si>
  <si>
    <t>Change</t>
  </si>
  <si>
    <t>% Change</t>
  </si>
  <si>
    <t>Volume</t>
  </si>
  <si>
    <t>Avg Vol (3 month)</t>
  </si>
  <si>
    <t>Market Cap</t>
  </si>
  <si>
    <t>PE Ratio (TTM)</t>
  </si>
  <si>
    <t>52 Week Range</t>
  </si>
  <si>
    <t>BDRBF</t>
  </si>
  <si>
    <t>RDSMY</t>
  </si>
  <si>
    <t>Koninklijke DSM N.V.</t>
  </si>
  <si>
    <t>19.633B</t>
  </si>
  <si>
    <t>EQIX</t>
  </si>
  <si>
    <t>Equinix, Inc. (REIT)</t>
  </si>
  <si>
    <t>1.552M</t>
  </si>
  <si>
    <t>33.811B</t>
  </si>
  <si>
    <t>BKRKF</t>
  </si>
  <si>
    <t>PT Bank Rakyat Indonesia (Persero) Tbk</t>
  </si>
  <si>
    <t>35.022B</t>
  </si>
  <si>
    <t>WMMVY</t>
  </si>
  <si>
    <t>Wal-Mart de México, S.A.B. de C.V.</t>
  </si>
  <si>
    <t>47.426B</t>
  </si>
  <si>
    <t>IQV</t>
  </si>
  <si>
    <t>IQVIA Holdings Inc.</t>
  </si>
  <si>
    <t>3.220M</t>
  </si>
  <si>
    <t>1.36M</t>
  </si>
  <si>
    <t>27.95B</t>
  </si>
  <si>
    <t>TME</t>
  </si>
  <si>
    <t>Tencent Music Entertainment Group</t>
  </si>
  <si>
    <t>10.954M</t>
  </si>
  <si>
    <t>7.733M</t>
  </si>
  <si>
    <t>27.786B</t>
  </si>
  <si>
    <t>ZBRA</t>
  </si>
  <si>
    <t>Zebra Technologies Corporation</t>
  </si>
  <si>
    <t>2.750M</t>
  </si>
  <si>
    <t>10.571B</t>
  </si>
  <si>
    <t>AAN</t>
  </si>
  <si>
    <t>Aaron's, Inc.</t>
  </si>
  <si>
    <t>1.524M</t>
  </si>
  <si>
    <t>3.69B</t>
  </si>
  <si>
    <t>TNDM</t>
  </si>
  <si>
    <t>Tandem Diabetes Care, Inc.</t>
  </si>
  <si>
    <t>2.709M</t>
  </si>
  <si>
    <t>1.436M</t>
  </si>
  <si>
    <t>2.827B</t>
  </si>
  <si>
    <t>VMC</t>
  </si>
  <si>
    <t>Vulcan Materials Company</t>
  </si>
  <si>
    <t>4.241M</t>
  </si>
  <si>
    <t>1.201M</t>
  </si>
  <si>
    <t>14.88B</t>
  </si>
  <si>
    <t>CWEN-A</t>
  </si>
  <si>
    <t>Clearway Energy, Inc.</t>
  </si>
  <si>
    <t>2.196M</t>
  </si>
  <si>
    <t>2.648B</t>
  </si>
  <si>
    <t>ZUO</t>
  </si>
  <si>
    <t>Zuora, Inc.</t>
  </si>
  <si>
    <t>2.648M</t>
  </si>
  <si>
    <t>1.295M</t>
  </si>
  <si>
    <t>2.442B</t>
  </si>
  <si>
    <t>AGIO</t>
  </si>
  <si>
    <t>Agios Pharmaceuticals, Inc.</t>
  </si>
  <si>
    <t>862.234k</t>
  </si>
  <si>
    <t>3.341B</t>
  </si>
  <si>
    <t>Sort and filter -&gt; Go to special -&gt; Objects -&gt; Delete</t>
  </si>
  <si>
    <t>(Removes all checkboxes, etc.)</t>
  </si>
  <si>
    <t>Clear -&gt; Clear hyperlinks</t>
  </si>
  <si>
    <t>Names on both sides should match</t>
  </si>
  <si>
    <t>No extra spaces</t>
  </si>
  <si>
    <t>=TRIM()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</si>
</sst>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8" formatCode="&quot;$&quot;#,##0.00_);[Red]\(&quot;$&quot;#,##0.00\)"/>
    <numFmt numFmtId="164" formatCode="[$-F800]dddd\,\ mmmm\ dd\,\ yyyy"/>
  </numFmts>
  <fonts count="15" x14ac:knownFonts="1">
    <font>
      <sz val="11"/>
      <color theme="1"/>
      <name val="Calibri"/>
      <family val="2"/>
      <scheme val="minor"/>
    </font>
    <font>
      <b/>
      <sz val="11"/>
      <color theme="0"/>
      <name val="Calibri"/>
      <family val="2"/>
      <scheme val="minor"/>
    </font>
    <font>
      <b/>
      <sz val="11"/>
      <color theme="1"/>
      <name val="Calibri"/>
      <family val="2"/>
      <scheme val="minor"/>
    </font>
    <font>
      <sz val="11"/>
      <color theme="0"/>
      <name val="Calibri"/>
      <family val="2"/>
      <scheme val="minor"/>
    </font>
    <font>
      <sz val="10"/>
      <color theme="0"/>
      <name val="Arial"/>
      <family val="2"/>
    </font>
    <font>
      <sz val="10"/>
      <name val="Arial"/>
      <family val="2"/>
    </font>
    <font>
      <u/>
      <sz val="12.65"/>
      <color theme="10"/>
      <name val="Calibri"/>
      <family val="2"/>
    </font>
    <font>
      <u/>
      <sz val="11"/>
      <color theme="10"/>
      <name val="Calibri"/>
      <family val="2"/>
      <scheme val="minor"/>
    </font>
    <font>
      <i/>
      <sz val="11"/>
      <color rgb="FF7F7F7F"/>
      <name val="Calibri"/>
      <family val="2"/>
      <scheme val="minor"/>
    </font>
    <font>
      <sz val="9"/>
      <color rgb="FF464E56"/>
      <name val="Arial"/>
      <family val="2"/>
    </font>
    <font>
      <sz val="9"/>
      <color rgb="FF000000"/>
      <name val="Arial"/>
      <family val="2"/>
    </font>
    <font>
      <u/>
      <sz val="9"/>
      <color theme="10"/>
      <name val="Calibri"/>
      <family val="2"/>
      <scheme val="minor"/>
    </font>
    <font>
      <sz val="9"/>
      <color rgb="FF000000"/>
      <name val="Arial"/>
      <family val="2"/>
    </font>
    <font>
      <sz val="9"/>
      <color rgb="FF000000"/>
      <name val="Arial"/>
      <family val="2"/>
    </font>
    <font>
      <sz val="9"/>
      <color rgb="FF009933"/>
      <name val="Arial"/>
      <family val="2"/>
    </font>
  </fonts>
  <fills count="9">
    <fill>
      <patternFill patternType="none"/>
    </fill>
    <fill>
      <patternFill patternType="gray125"/>
    </fill>
    <fill>
      <patternFill patternType="solid">
        <fgColor rgb="FF002060"/>
        <bgColor indexed="64"/>
      </patternFill>
    </fill>
    <fill>
      <patternFill patternType="solid">
        <fgColor rgb="FF0000FF"/>
        <bgColor indexed="64"/>
      </patternFill>
    </fill>
    <fill>
      <patternFill patternType="solid">
        <fgColor theme="1"/>
        <bgColor indexed="64"/>
      </patternFill>
    </fill>
    <fill>
      <patternFill patternType="solid">
        <fgColor rgb="FF0070C0"/>
        <bgColor indexed="64"/>
      </patternFill>
    </fill>
    <fill>
      <patternFill patternType="solid">
        <fgColor rgb="FFCCFFCC"/>
        <bgColor indexed="64"/>
      </patternFill>
    </fill>
    <fill>
      <patternFill patternType="solid">
        <fgColor rgb="FFFFFFFF"/>
        <bgColor indexed="64"/>
      </patternFill>
    </fill>
    <fill>
      <patternFill patternType="solid">
        <fgColor rgb="FFF5F5F7"/>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top/>
      <bottom/>
      <diagonal/>
    </border>
  </borders>
  <cellStyleXfs count="6">
    <xf numFmtId="0" fontId="0" fillId="0" borderId="0"/>
    <xf numFmtId="0" fontId="4" fillId="2" borderId="1">
      <alignment wrapText="1"/>
    </xf>
    <xf numFmtId="0" fontId="5" fillId="0" borderId="0"/>
    <xf numFmtId="0" fontId="6" fillId="0" borderId="0" applyNumberFormat="0" applyFill="0" applyBorder="0" applyAlignment="0" applyProtection="0">
      <alignment vertical="top"/>
      <protection locked="0"/>
    </xf>
    <xf numFmtId="0" fontId="7" fillId="0" borderId="0" applyNumberFormat="0" applyFill="0" applyBorder="0" applyAlignment="0" applyProtection="0"/>
    <xf numFmtId="0" fontId="8" fillId="0" borderId="0" applyNumberFormat="0" applyFill="0" applyBorder="0" applyAlignment="0" applyProtection="0"/>
  </cellStyleXfs>
  <cellXfs count="47">
    <xf numFmtId="0" fontId="0" fillId="0" borderId="0" xfId="0"/>
    <xf numFmtId="0" fontId="4" fillId="3" borderId="1" xfId="1" applyFill="1">
      <alignment wrapText="1"/>
    </xf>
    <xf numFmtId="0" fontId="3" fillId="4" borderId="0" xfId="0" applyFont="1" applyFill="1"/>
    <xf numFmtId="0" fontId="5" fillId="0" borderId="1" xfId="2" applyBorder="1"/>
    <xf numFmtId="0" fontId="5" fillId="0" borderId="1" xfId="2" applyBorder="1" applyAlignment="1">
      <alignment wrapText="1"/>
    </xf>
    <xf numFmtId="0" fontId="5" fillId="0" borderId="2" xfId="2" applyBorder="1"/>
    <xf numFmtId="0" fontId="5" fillId="0" borderId="3" xfId="2" applyBorder="1" applyAlignment="1">
      <alignment wrapText="1"/>
    </xf>
    <xf numFmtId="0" fontId="2" fillId="0" borderId="0" xfId="0" applyFont="1"/>
    <xf numFmtId="0" fontId="2" fillId="0" borderId="1" xfId="0" applyFont="1" applyBorder="1"/>
    <xf numFmtId="0" fontId="3" fillId="5" borderId="1" xfId="0" applyFont="1" applyFill="1" applyBorder="1"/>
    <xf numFmtId="8" fontId="0" fillId="0" borderId="0" xfId="0" applyNumberFormat="1"/>
    <xf numFmtId="8" fontId="2" fillId="0" borderId="0" xfId="0" applyNumberFormat="1" applyFont="1"/>
    <xf numFmtId="0" fontId="3" fillId="2" borderId="1" xfId="0" applyFont="1" applyFill="1" applyBorder="1"/>
    <xf numFmtId="0" fontId="3" fillId="5" borderId="0" xfId="0" applyFont="1" applyFill="1"/>
    <xf numFmtId="0" fontId="0" fillId="6" borderId="1" xfId="0" applyFill="1" applyBorder="1"/>
    <xf numFmtId="0" fontId="0" fillId="0" borderId="1" xfId="0" applyBorder="1"/>
    <xf numFmtId="0" fontId="1" fillId="2" borderId="1" xfId="0" applyFont="1" applyFill="1" applyBorder="1"/>
    <xf numFmtId="0" fontId="4" fillId="2" borderId="1" xfId="1">
      <alignment wrapText="1"/>
    </xf>
    <xf numFmtId="14" fontId="0" fillId="0" borderId="1" xfId="0" applyNumberFormat="1" applyBorder="1"/>
    <xf numFmtId="0" fontId="4" fillId="2" borderId="4" xfId="1" applyBorder="1">
      <alignment wrapText="1"/>
    </xf>
    <xf numFmtId="14" fontId="0" fillId="0" borderId="0" xfId="0" applyNumberFormat="1"/>
    <xf numFmtId="8" fontId="0" fillId="6" borderId="1" xfId="0" applyNumberFormat="1" applyFill="1" applyBorder="1"/>
    <xf numFmtId="18" fontId="0" fillId="6" borderId="1" xfId="0" applyNumberFormat="1" applyFill="1" applyBorder="1"/>
    <xf numFmtId="18" fontId="0" fillId="0" borderId="1" xfId="0" applyNumberFormat="1" applyBorder="1"/>
    <xf numFmtId="2" fontId="0" fillId="0" borderId="1" xfId="0" applyNumberFormat="1" applyBorder="1"/>
    <xf numFmtId="0" fontId="7" fillId="0" borderId="0" xfId="4"/>
    <xf numFmtId="0" fontId="8" fillId="0" borderId="0" xfId="5"/>
    <xf numFmtId="0" fontId="9" fillId="7" borderId="0" xfId="0" applyFont="1" applyFill="1" applyAlignment="1">
      <alignment horizontal="left" vertical="center" wrapText="1"/>
    </xf>
    <xf numFmtId="0" fontId="9" fillId="7" borderId="0" xfId="0" applyFont="1" applyFill="1" applyAlignment="1">
      <alignment horizontal="right" vertical="center" wrapText="1"/>
    </xf>
    <xf numFmtId="0" fontId="10" fillId="7" borderId="0" xfId="0" applyFont="1" applyFill="1" applyAlignment="1">
      <alignment horizontal="right" vertical="center" wrapText="1"/>
    </xf>
    <xf numFmtId="0" fontId="11" fillId="7" borderId="0" xfId="4" applyFont="1" applyFill="1" applyAlignment="1">
      <alignment horizontal="left" vertical="center" wrapText="1"/>
    </xf>
    <xf numFmtId="0" fontId="12" fillId="7" borderId="0" xfId="0" applyFont="1" applyFill="1" applyAlignment="1">
      <alignment horizontal="left" vertical="center" wrapText="1"/>
    </xf>
    <xf numFmtId="0" fontId="13" fillId="7" borderId="0" xfId="0" applyFont="1" applyFill="1" applyAlignment="1">
      <alignment horizontal="right" vertical="center" wrapText="1"/>
    </xf>
    <xf numFmtId="0" fontId="14" fillId="7" borderId="0" xfId="0" applyFont="1" applyFill="1" applyAlignment="1">
      <alignment horizontal="right" vertical="center" wrapText="1"/>
    </xf>
    <xf numFmtId="10" fontId="14" fillId="7" borderId="0" xfId="0" applyNumberFormat="1" applyFont="1" applyFill="1" applyAlignment="1">
      <alignment horizontal="right" vertical="center" wrapText="1"/>
    </xf>
    <xf numFmtId="0" fontId="12" fillId="7" borderId="0" xfId="0" applyFont="1" applyFill="1" applyAlignment="1">
      <alignment horizontal="right" vertical="center" wrapText="1"/>
    </xf>
    <xf numFmtId="3" fontId="12" fillId="7" borderId="0" xfId="0" applyNumberFormat="1" applyFont="1" applyFill="1" applyAlignment="1">
      <alignment horizontal="right" vertical="center" wrapText="1"/>
    </xf>
    <xf numFmtId="0" fontId="12" fillId="8" borderId="0" xfId="0" applyFont="1" applyFill="1" applyAlignment="1">
      <alignment horizontal="left" vertical="center" wrapText="1"/>
    </xf>
    <xf numFmtId="0" fontId="13" fillId="8" borderId="0" xfId="0" applyFont="1" applyFill="1" applyAlignment="1">
      <alignment horizontal="right" vertical="center" wrapText="1"/>
    </xf>
    <xf numFmtId="0" fontId="14" fillId="8" borderId="0" xfId="0" applyFont="1" applyFill="1" applyAlignment="1">
      <alignment horizontal="right" vertical="center" wrapText="1"/>
    </xf>
    <xf numFmtId="10" fontId="14" fillId="8" borderId="0" xfId="0" applyNumberFormat="1" applyFont="1" applyFill="1" applyAlignment="1">
      <alignment horizontal="right" vertical="center" wrapText="1"/>
    </xf>
    <xf numFmtId="0" fontId="12" fillId="8" borderId="0" xfId="0" applyFont="1" applyFill="1" applyAlignment="1">
      <alignment horizontal="right" vertical="center" wrapText="1"/>
    </xf>
    <xf numFmtId="3" fontId="12" fillId="8" borderId="0" xfId="0" applyNumberFormat="1" applyFont="1" applyFill="1" applyAlignment="1">
      <alignment horizontal="right" vertical="center" wrapText="1"/>
    </xf>
    <xf numFmtId="0" fontId="0" fillId="0" borderId="0" xfId="0" quotePrefix="1"/>
    <xf numFmtId="0" fontId="8" fillId="0" borderId="0" xfId="5" quotePrefix="1"/>
    <xf numFmtId="164" fontId="0" fillId="0" borderId="1" xfId="0" applyNumberFormat="1" applyBorder="1"/>
    <xf numFmtId="18" fontId="0" fillId="0" borderId="0" xfId="0" applyNumberFormat="1"/>
  </cellXfs>
  <cellStyles count="6">
    <cellStyle name="blue" xfId="1" xr:uid="{00000000-0005-0000-0000-000000000000}"/>
    <cellStyle name="Explanatory Text" xfId="5" builtinId="53"/>
    <cellStyle name="Hyperlink" xfId="4" builtinId="8"/>
    <cellStyle name="Hyperlink 2" xfId="3" xr:uid="{00000000-0005-0000-0000-000002000000}"/>
    <cellStyle name="Normal" xfId="0" builtinId="0"/>
    <cellStyle name="Normal 2" xfId="2" xr:uid="{00000000-0005-0000-0000-00000400000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1.vml.rels><?xml version="1.0" encoding="UTF-8" standalone="yes"?>
<Relationships xmlns="http://schemas.openxmlformats.org/package/2006/relationships"><Relationship Id="rId1" Type="http://schemas.openxmlformats.org/officeDocument/2006/relationships/image" Target="../media/image2.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18</xdr:row>
          <xdr:rowOff>38100</xdr:rowOff>
        </xdr:from>
        <xdr:to>
          <xdr:col>4</xdr:col>
          <xdr:colOff>675564</xdr:colOff>
          <xdr:row>22</xdr:row>
          <xdr:rowOff>43787</xdr:rowOff>
        </xdr:to>
        <xdr:pic>
          <xdr:nvPicPr>
            <xdr:cNvPr id="2" name="Picture 1">
              <a:extLst>
                <a:ext uri="{FF2B5EF4-FFF2-40B4-BE49-F238E27FC236}">
                  <a16:creationId xmlns:a16="http://schemas.microsoft.com/office/drawing/2014/main" id="{00000000-0008-0000-0100-000002000000}"/>
                </a:ext>
              </a:extLst>
            </xdr:cNvPr>
            <xdr:cNvPicPr>
              <a:picLocks noChangeAspect="1" noChangeArrowheads="1"/>
              <a:extLst>
                <a:ext uri="{84589F7E-364E-4C9E-8A38-B11213B215E9}">
                  <a14:cameraTool cellRange="'[1]E(1an)'!$P$1:$P$4" spid="_x0000_s1041"/>
                </a:ext>
              </a:extLst>
            </xdr:cNvPicPr>
          </xdr:nvPicPr>
          <xdr:blipFill>
            <a:blip xmlns:r="http://schemas.openxmlformats.org/officeDocument/2006/relationships" r:embed="rId1"/>
            <a:srcRect/>
            <a:stretch>
              <a:fillRect/>
            </a:stretch>
          </xdr:blipFill>
          <xdr:spPr bwMode="auto">
            <a:xfrm>
              <a:off x="0" y="3467100"/>
              <a:ext cx="3952164" cy="767687"/>
            </a:xfrm>
            <a:prstGeom prst="rect">
              <a:avLst/>
            </a:prstGeom>
            <a:solidFill>
              <a:schemeClr val="bg1"/>
            </a:solidFill>
          </xdr:spPr>
        </xdr:pic>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Courses/Spreadsheet%20Modelling/Resources/Highline%20excel/2013/Busn214-Week05.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opics"/>
      <sheetName val="Errors"/>
      <sheetName val="E(1)"/>
      <sheetName val="E(1an)"/>
      <sheetName val="E(2)"/>
      <sheetName val="E(2an)"/>
      <sheetName val="E(3)"/>
      <sheetName val="E(3an)"/>
      <sheetName val="E(4)"/>
      <sheetName val="E(4an)"/>
      <sheetName val="E(5 )"/>
      <sheetName val="E(5an)"/>
      <sheetName val="DV"/>
      <sheetName val="DV (an)"/>
      <sheetName val="Flash Fill"/>
      <sheetName val="Flash Fill (an)"/>
      <sheetName val="CNF-Notes"/>
      <sheetName val="CNF"/>
      <sheetName val="CNF (an)"/>
      <sheetName val="Text Formulas"/>
      <sheetName val="Text Formulas (an)"/>
      <sheetName val="Date Functions"/>
      <sheetName val="Date Functions (an)"/>
      <sheetName val="Array Formulas"/>
      <sheetName val="Array Formulas (an)"/>
      <sheetName val="Array Functions"/>
      <sheetName val="Array Functions (an)"/>
      <sheetName val="Homework ==&gt;&gt;"/>
      <sheetName val="HW(1)"/>
      <sheetName val="HW(1an)"/>
      <sheetName val="HW(2)"/>
      <sheetName val="HW(2an)"/>
      <sheetName val="HW(3)"/>
      <sheetName val="HW(3an)"/>
      <sheetName val="HW(4)"/>
      <sheetName val="HW(4an)"/>
      <sheetName val="HW(5)"/>
      <sheetName val="HW(5an)"/>
      <sheetName val="HW(6)"/>
      <sheetName val="HW(6an)"/>
      <sheetName val="HW(7)"/>
      <sheetName val="HW(7an)"/>
      <sheetName val="HW(8)"/>
      <sheetName val="HW(8an)"/>
      <sheetName val="HW(9)"/>
      <sheetName val="HW(9an)"/>
      <sheetName val="HW(10)"/>
      <sheetName val="HW(10an)"/>
      <sheetName val="HW(11)"/>
      <sheetName val="HW(11an)"/>
      <sheetName val="HW(12)"/>
      <sheetName val="HW(12an)"/>
      <sheetName val="HW(13)"/>
      <sheetName val="HW(13an)"/>
      <sheetName val="HW(14)"/>
      <sheetName val="HW(14an)"/>
      <sheetName val="HW(15)"/>
      <sheetName val="HW(15an)"/>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ow r="58">
          <cell r="G58" t="str">
            <v>FreestyleANSWER</v>
          </cell>
          <cell r="H58" t="str">
            <v>FastANSWER</v>
          </cell>
          <cell r="I58" t="str">
            <v>AussieANSWER</v>
          </cell>
          <cell r="J58" t="str">
            <v>WindANSWER</v>
          </cell>
        </row>
      </sheetData>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000FF"/>
  </sheetPr>
  <dimension ref="A2:B16"/>
  <sheetViews>
    <sheetView zoomScale="85" zoomScaleNormal="85" workbookViewId="0">
      <selection activeCell="B24" sqref="B24"/>
    </sheetView>
  </sheetViews>
  <sheetFormatPr defaultRowHeight="14.4" x14ac:dyDescent="0.55000000000000004"/>
  <cols>
    <col min="1" max="1" width="13.41796875" customWidth="1"/>
    <col min="2" max="2" width="81.68359375" customWidth="1"/>
  </cols>
  <sheetData>
    <row r="2" spans="1:2" x14ac:dyDescent="0.55000000000000004">
      <c r="A2" s="1" t="s">
        <v>0</v>
      </c>
      <c r="B2" s="1" t="s">
        <v>1</v>
      </c>
    </row>
    <row r="3" spans="1:2" x14ac:dyDescent="0.55000000000000004">
      <c r="A3" s="2" t="s">
        <v>2</v>
      </c>
      <c r="B3" s="2"/>
    </row>
    <row r="4" spans="1:2" ht="62.4" x14ac:dyDescent="0.55000000000000004">
      <c r="A4" s="3" t="s">
        <v>3</v>
      </c>
      <c r="B4" s="4" t="s">
        <v>4</v>
      </c>
    </row>
    <row r="5" spans="1:2" ht="25.5" x14ac:dyDescent="0.55000000000000004">
      <c r="A5" s="4" t="s">
        <v>5</v>
      </c>
      <c r="B5" s="4" t="s">
        <v>6</v>
      </c>
    </row>
    <row r="6" spans="1:2" x14ac:dyDescent="0.55000000000000004">
      <c r="A6" s="2" t="s">
        <v>7</v>
      </c>
      <c r="B6" s="2"/>
    </row>
    <row r="7" spans="1:2" x14ac:dyDescent="0.55000000000000004">
      <c r="A7" s="5" t="e">
        <v>#DIV/0!</v>
      </c>
      <c r="B7" s="6" t="s">
        <v>8</v>
      </c>
    </row>
    <row r="8" spans="1:2" x14ac:dyDescent="0.55000000000000004">
      <c r="A8" s="3" t="e">
        <v>#REF!</v>
      </c>
      <c r="B8" s="4" t="s">
        <v>9</v>
      </c>
    </row>
    <row r="9" spans="1:2" ht="25.5" x14ac:dyDescent="0.55000000000000004">
      <c r="A9" s="3" t="e">
        <v>#NAME?</v>
      </c>
      <c r="B9" s="4" t="s">
        <v>10</v>
      </c>
    </row>
    <row r="10" spans="1:2" x14ac:dyDescent="0.55000000000000004">
      <c r="A10" s="3" t="e">
        <v>#N/A</v>
      </c>
      <c r="B10" s="4" t="s">
        <v>11</v>
      </c>
    </row>
    <row r="11" spans="1:2" ht="25.5" x14ac:dyDescent="0.55000000000000004">
      <c r="A11" s="3" t="e">
        <v>#VALUE!</v>
      </c>
      <c r="B11" s="4" t="s">
        <v>12</v>
      </c>
    </row>
    <row r="12" spans="1:2" x14ac:dyDescent="0.55000000000000004">
      <c r="A12" s="4" t="e">
        <v>#NULL!</v>
      </c>
      <c r="B12" s="4" t="s">
        <v>13</v>
      </c>
    </row>
    <row r="13" spans="1:2" ht="25.5" x14ac:dyDescent="0.55000000000000004">
      <c r="A13" s="3" t="e">
        <v>#NUM!</v>
      </c>
      <c r="B13" s="4" t="s">
        <v>14</v>
      </c>
    </row>
    <row r="14" spans="1:2" x14ac:dyDescent="0.55000000000000004">
      <c r="A14" s="2" t="s">
        <v>15</v>
      </c>
      <c r="B14" s="2"/>
    </row>
    <row r="15" spans="1:2" x14ac:dyDescent="0.55000000000000004">
      <c r="A15" s="3" t="s">
        <v>16</v>
      </c>
      <c r="B15" s="4" t="s">
        <v>17</v>
      </c>
    </row>
    <row r="16" spans="1:2" ht="25.5" x14ac:dyDescent="0.55000000000000004">
      <c r="A16" s="4" t="s">
        <v>18</v>
      </c>
      <c r="B16" s="4" t="s">
        <v>19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000FF"/>
  </sheetPr>
  <dimension ref="A1:J22"/>
  <sheetViews>
    <sheetView workbookViewId="0">
      <selection activeCell="G17" sqref="G17"/>
    </sheetView>
  </sheetViews>
  <sheetFormatPr defaultRowHeight="14.4" x14ac:dyDescent="0.55000000000000004"/>
  <cols>
    <col min="1" max="1" width="16.15625" customWidth="1"/>
    <col min="2" max="4" width="11" customWidth="1"/>
    <col min="5" max="5" width="14.68359375" customWidth="1"/>
    <col min="6" max="6" width="12.26171875" customWidth="1"/>
    <col min="7" max="7" width="11" customWidth="1"/>
    <col min="8" max="8" width="13.26171875" customWidth="1"/>
    <col min="9" max="10" width="11" customWidth="1"/>
    <col min="16" max="16" width="40.41796875" bestFit="1" customWidth="1"/>
  </cols>
  <sheetData>
    <row r="1" spans="1:10" x14ac:dyDescent="0.55000000000000004">
      <c r="A1" s="7"/>
    </row>
    <row r="3" spans="1:10" x14ac:dyDescent="0.55000000000000004">
      <c r="A3" s="8" t="s">
        <v>20</v>
      </c>
      <c r="B3" s="9" t="s">
        <v>21</v>
      </c>
      <c r="C3" s="9" t="s">
        <v>22</v>
      </c>
      <c r="D3" s="9" t="s">
        <v>23</v>
      </c>
      <c r="E3" s="9" t="s">
        <v>24</v>
      </c>
      <c r="F3" s="9" t="s">
        <v>25</v>
      </c>
      <c r="G3" s="9" t="s">
        <v>26</v>
      </c>
      <c r="H3" s="9" t="s">
        <v>41</v>
      </c>
      <c r="I3" s="9" t="s">
        <v>27</v>
      </c>
      <c r="J3" s="9" t="s">
        <v>28</v>
      </c>
    </row>
    <row r="4" spans="1:10" x14ac:dyDescent="0.55000000000000004">
      <c r="A4" s="9" t="s">
        <v>29</v>
      </c>
      <c r="B4" s="24">
        <v>10153</v>
      </c>
      <c r="C4" s="24">
        <v>15952</v>
      </c>
      <c r="D4" s="24">
        <v>13740</v>
      </c>
      <c r="E4" s="24">
        <v>9119</v>
      </c>
      <c r="F4" s="24">
        <v>12162</v>
      </c>
      <c r="G4" s="24">
        <v>11767</v>
      </c>
      <c r="H4" s="24">
        <v>13483</v>
      </c>
      <c r="I4" s="24">
        <v>7043</v>
      </c>
      <c r="J4" s="24">
        <v>5107</v>
      </c>
    </row>
    <row r="5" spans="1:10" x14ac:dyDescent="0.55000000000000004">
      <c r="A5" s="9" t="s">
        <v>30</v>
      </c>
      <c r="B5" s="24">
        <v>17765</v>
      </c>
      <c r="C5" s="24">
        <v>8996</v>
      </c>
      <c r="D5" s="24">
        <v>17998</v>
      </c>
      <c r="E5" s="24">
        <v>17300</v>
      </c>
      <c r="F5" s="24">
        <v>12791</v>
      </c>
      <c r="G5" s="24">
        <v>12034</v>
      </c>
      <c r="H5" s="24">
        <v>8897</v>
      </c>
      <c r="I5" s="24">
        <v>12608</v>
      </c>
      <c r="J5" s="24">
        <v>11512</v>
      </c>
    </row>
    <row r="6" spans="1:10" x14ac:dyDescent="0.55000000000000004">
      <c r="A6" s="9" t="s">
        <v>31</v>
      </c>
      <c r="B6" s="24">
        <v>19227</v>
      </c>
      <c r="C6" s="24">
        <v>14636</v>
      </c>
      <c r="D6" s="24">
        <v>13571</v>
      </c>
      <c r="E6" s="24">
        <v>9918</v>
      </c>
      <c r="F6" s="24">
        <v>5297</v>
      </c>
      <c r="G6" s="24">
        <v>9478</v>
      </c>
      <c r="H6" s="24">
        <v>11352</v>
      </c>
      <c r="I6" s="24">
        <v>11753</v>
      </c>
      <c r="J6" s="24">
        <v>9956</v>
      </c>
    </row>
    <row r="7" spans="1:10" x14ac:dyDescent="0.55000000000000004">
      <c r="A7" s="9" t="s">
        <v>32</v>
      </c>
      <c r="B7" s="24">
        <v>15107</v>
      </c>
      <c r="C7" s="24">
        <v>8110</v>
      </c>
      <c r="D7" s="24">
        <v>11065</v>
      </c>
      <c r="E7" s="24">
        <v>12905</v>
      </c>
      <c r="F7" s="24">
        <v>12393</v>
      </c>
      <c r="G7" s="24">
        <v>12607</v>
      </c>
      <c r="H7" s="24">
        <v>7517</v>
      </c>
      <c r="I7" s="24">
        <v>7820</v>
      </c>
      <c r="J7" s="24">
        <v>11081</v>
      </c>
    </row>
    <row r="8" spans="1:10" x14ac:dyDescent="0.55000000000000004">
      <c r="A8" s="9" t="s">
        <v>33</v>
      </c>
      <c r="B8" s="24">
        <v>13694</v>
      </c>
      <c r="C8" s="24">
        <v>12942</v>
      </c>
      <c r="D8" s="24">
        <v>12896</v>
      </c>
      <c r="E8" s="24">
        <v>5898</v>
      </c>
      <c r="F8" s="24">
        <v>10353</v>
      </c>
      <c r="G8" s="24">
        <v>19741</v>
      </c>
      <c r="H8" s="24">
        <v>18423</v>
      </c>
      <c r="I8" s="24">
        <v>19701</v>
      </c>
      <c r="J8" s="24">
        <v>11726</v>
      </c>
    </row>
    <row r="9" spans="1:10" x14ac:dyDescent="0.55000000000000004">
      <c r="A9" s="9" t="s">
        <v>34</v>
      </c>
      <c r="B9" s="24">
        <v>10382</v>
      </c>
      <c r="C9" s="24">
        <v>11342</v>
      </c>
      <c r="D9" s="24">
        <v>5898</v>
      </c>
      <c r="E9" s="24">
        <v>7992</v>
      </c>
      <c r="F9" s="24">
        <v>12060</v>
      </c>
      <c r="G9" s="24">
        <v>12499</v>
      </c>
      <c r="H9" s="24">
        <v>18686</v>
      </c>
      <c r="I9" s="24">
        <v>15468</v>
      </c>
      <c r="J9" s="24">
        <v>9052</v>
      </c>
    </row>
    <row r="10" spans="1:10" x14ac:dyDescent="0.55000000000000004">
      <c r="B10" s="10"/>
      <c r="C10" s="10"/>
      <c r="D10" s="10"/>
      <c r="E10" s="10"/>
      <c r="F10" s="10"/>
    </row>
    <row r="11" spans="1:10" x14ac:dyDescent="0.55000000000000004">
      <c r="A11" s="7" t="s">
        <v>35</v>
      </c>
      <c r="B11" s="10"/>
      <c r="C11" s="10"/>
      <c r="D11" s="11" t="s">
        <v>36</v>
      </c>
      <c r="E11" s="10"/>
      <c r="F11" s="10"/>
      <c r="H11" s="7" t="s">
        <v>35</v>
      </c>
      <c r="I11" s="10"/>
    </row>
    <row r="12" spans="1:10" x14ac:dyDescent="0.55000000000000004">
      <c r="B12" s="12" t="s">
        <v>37</v>
      </c>
      <c r="D12" s="13" t="s">
        <v>38</v>
      </c>
      <c r="E12" s="9" t="s">
        <v>39</v>
      </c>
      <c r="F12" s="12" t="s">
        <v>40</v>
      </c>
      <c r="I12" s="12" t="s">
        <v>37</v>
      </c>
    </row>
    <row r="13" spans="1:10" x14ac:dyDescent="0.55000000000000004">
      <c r="A13" s="9" t="s">
        <v>21</v>
      </c>
      <c r="B13" s="14">
        <f>SUM(INDEX($B$4:$J$9,0,MATCH(A13,$B$3:$J$3,0)))</f>
        <v>86328</v>
      </c>
      <c r="D13" s="15" t="s">
        <v>29</v>
      </c>
      <c r="E13" s="15" t="s">
        <v>28</v>
      </c>
      <c r="F13" s="14">
        <f>INDEX(B4:J9,MATCH(D13,A4:A9,0),MATCH(E13,B3:J3,0))</f>
        <v>5107</v>
      </c>
      <c r="H13" s="9" t="s">
        <v>21</v>
      </c>
      <c r="I13" s="14">
        <f>SUM(INDEX($B$4:$J$9,0,MATCH(H13,$B$3:$J$3,0)))</f>
        <v>86328</v>
      </c>
    </row>
    <row r="14" spans="1:10" x14ac:dyDescent="0.55000000000000004">
      <c r="A14" s="9" t="s">
        <v>22</v>
      </c>
      <c r="B14" s="14">
        <f t="shared" ref="B14:B17" si="0">SUM(INDEX($B$4:$J$9,0,MATCH(A14,$B$3:$J$3,0)))</f>
        <v>71978</v>
      </c>
      <c r="H14" s="9" t="s">
        <v>22</v>
      </c>
      <c r="I14" s="14">
        <f t="shared" ref="I14:I17" si="1">SUM(INDEX($B$4:$J$9,0,MATCH(H14,$B$3:$J$3,0)))</f>
        <v>71978</v>
      </c>
    </row>
    <row r="15" spans="1:10" x14ac:dyDescent="0.55000000000000004">
      <c r="A15" s="9" t="s">
        <v>41</v>
      </c>
      <c r="B15" s="14">
        <f>SUM(INDEX($B$4:$J$9,0,MATCH(A15,$B$3:$J$3,0)))</f>
        <v>78358</v>
      </c>
      <c r="H15" s="9" t="s">
        <v>41</v>
      </c>
      <c r="I15" s="14">
        <f t="shared" si="1"/>
        <v>78358</v>
      </c>
    </row>
    <row r="16" spans="1:10" x14ac:dyDescent="0.55000000000000004">
      <c r="A16" s="9" t="s">
        <v>27</v>
      </c>
      <c r="B16" s="14">
        <f t="shared" si="0"/>
        <v>74393</v>
      </c>
      <c r="H16" s="9" t="s">
        <v>27</v>
      </c>
      <c r="I16" s="14">
        <f t="shared" si="1"/>
        <v>74393</v>
      </c>
    </row>
    <row r="17" spans="1:9" x14ac:dyDescent="0.55000000000000004">
      <c r="A17" s="9" t="s">
        <v>28</v>
      </c>
      <c r="B17" s="14">
        <f t="shared" si="0"/>
        <v>58434</v>
      </c>
      <c r="H17" s="9" t="s">
        <v>28</v>
      </c>
      <c r="I17" s="14">
        <f t="shared" si="1"/>
        <v>58434</v>
      </c>
    </row>
    <row r="21" spans="1:9" x14ac:dyDescent="0.55000000000000004">
      <c r="H21" s="26" t="s">
        <v>324</v>
      </c>
    </row>
    <row r="22" spans="1:9" x14ac:dyDescent="0.55000000000000004">
      <c r="H22" s="26" t="s">
        <v>325</v>
      </c>
    </row>
  </sheetData>
  <pageMargins left="0.7" right="0.7" top="0.75" bottom="0.75" header="0.3" footer="0.3"/>
  <drawing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0000FF"/>
  </sheetPr>
  <dimension ref="A1:G802"/>
  <sheetViews>
    <sheetView zoomScaleNormal="100" workbookViewId="0">
      <selection activeCell="J11" sqref="J11"/>
    </sheetView>
  </sheetViews>
  <sheetFormatPr defaultRowHeight="14.4" x14ac:dyDescent="0.55000000000000004"/>
  <cols>
    <col min="1" max="1" width="12.41796875" customWidth="1"/>
    <col min="2" max="2" width="19.83984375" customWidth="1"/>
    <col min="3" max="3" width="11" customWidth="1"/>
    <col min="6" max="6" width="15" bestFit="1" customWidth="1"/>
    <col min="10" max="10" width="10.26171875" customWidth="1"/>
    <col min="11" max="11" width="17.26171875" customWidth="1"/>
    <col min="17" max="17" width="15" bestFit="1" customWidth="1"/>
  </cols>
  <sheetData>
    <row r="1" spans="1:7" x14ac:dyDescent="0.55000000000000004">
      <c r="A1" s="16" t="s">
        <v>42</v>
      </c>
      <c r="B1" s="16" t="s">
        <v>43</v>
      </c>
      <c r="C1" s="16" t="s">
        <v>44</v>
      </c>
      <c r="F1" s="17" t="s">
        <v>43</v>
      </c>
      <c r="G1" s="17" t="s">
        <v>37</v>
      </c>
    </row>
    <row r="2" spans="1:7" x14ac:dyDescent="0.55000000000000004">
      <c r="A2" s="18">
        <v>41517</v>
      </c>
      <c r="B2" s="15" t="s">
        <v>50</v>
      </c>
      <c r="C2" s="15">
        <v>33</v>
      </c>
      <c r="F2" s="15" t="s">
        <v>45</v>
      </c>
      <c r="G2" s="14">
        <f>SUMIFS($C$2:$C$802,$B$2:$B$802,F2)</f>
        <v>990</v>
      </c>
    </row>
    <row r="3" spans="1:7" x14ac:dyDescent="0.55000000000000004">
      <c r="A3" s="18">
        <v>41645</v>
      </c>
      <c r="B3" s="15" t="s">
        <v>51</v>
      </c>
      <c r="C3" s="15">
        <v>51</v>
      </c>
      <c r="F3" s="15" t="s">
        <v>46</v>
      </c>
      <c r="G3" s="14">
        <f>SUMIFS($C$2:$C$802,$B$2:$B$802,F3)</f>
        <v>1255</v>
      </c>
    </row>
    <row r="4" spans="1:7" x14ac:dyDescent="0.55000000000000004">
      <c r="A4" s="18">
        <v>41531</v>
      </c>
      <c r="B4" s="15" t="s">
        <v>52</v>
      </c>
      <c r="C4" s="15">
        <v>49</v>
      </c>
      <c r="F4" s="15" t="s">
        <v>47</v>
      </c>
      <c r="G4" s="14">
        <f>SUMIFS($C$2:$C$802,$B$2:$B$802,F4)</f>
        <v>733</v>
      </c>
    </row>
    <row r="5" spans="1:7" x14ac:dyDescent="0.55000000000000004">
      <c r="A5" s="18">
        <v>41643</v>
      </c>
      <c r="B5" s="15" t="s">
        <v>52</v>
      </c>
      <c r="C5" s="15">
        <v>39</v>
      </c>
      <c r="F5" s="15" t="s">
        <v>48</v>
      </c>
      <c r="G5" s="14">
        <f>SUMIFS($C$2:$C$802,$B$2:$B$802,F5)</f>
        <v>1094</v>
      </c>
    </row>
    <row r="6" spans="1:7" x14ac:dyDescent="0.55000000000000004">
      <c r="A6" s="18">
        <v>41575</v>
      </c>
      <c r="B6" s="15" t="s">
        <v>53</v>
      </c>
      <c r="C6" s="15">
        <v>53</v>
      </c>
      <c r="F6" s="15" t="s">
        <v>49</v>
      </c>
      <c r="G6" s="14">
        <f>SUMIFS($C$2:$C$802,$B$2:$B$802,F6)</f>
        <v>1098</v>
      </c>
    </row>
    <row r="7" spans="1:7" x14ac:dyDescent="0.55000000000000004">
      <c r="A7" s="18">
        <v>41535</v>
      </c>
      <c r="B7" s="15" t="s">
        <v>50</v>
      </c>
      <c r="C7" s="15">
        <v>31</v>
      </c>
    </row>
    <row r="8" spans="1:7" x14ac:dyDescent="0.55000000000000004">
      <c r="A8" s="18">
        <v>41590</v>
      </c>
      <c r="B8" s="15" t="s">
        <v>54</v>
      </c>
      <c r="C8" s="15">
        <v>26</v>
      </c>
    </row>
    <row r="9" spans="1:7" x14ac:dyDescent="0.55000000000000004">
      <c r="A9" s="18">
        <v>41573</v>
      </c>
      <c r="B9" s="15" t="s">
        <v>47</v>
      </c>
      <c r="C9" s="15">
        <v>25</v>
      </c>
    </row>
    <row r="10" spans="1:7" x14ac:dyDescent="0.55000000000000004">
      <c r="A10" s="18">
        <v>41580</v>
      </c>
      <c r="B10" s="15" t="s">
        <v>45</v>
      </c>
      <c r="C10" s="15">
        <v>57</v>
      </c>
    </row>
    <row r="11" spans="1:7" x14ac:dyDescent="0.55000000000000004">
      <c r="A11" s="18">
        <v>41602</v>
      </c>
      <c r="B11" s="15" t="s">
        <v>49</v>
      </c>
      <c r="C11" s="15">
        <v>28</v>
      </c>
    </row>
    <row r="12" spans="1:7" x14ac:dyDescent="0.55000000000000004">
      <c r="A12" s="18">
        <v>41545</v>
      </c>
      <c r="B12" s="15" t="s">
        <v>52</v>
      </c>
      <c r="C12" s="15">
        <v>44</v>
      </c>
    </row>
    <row r="13" spans="1:7" x14ac:dyDescent="0.55000000000000004">
      <c r="A13" s="18">
        <v>41565</v>
      </c>
      <c r="B13" s="15" t="s">
        <v>52</v>
      </c>
      <c r="C13" s="15">
        <v>10</v>
      </c>
    </row>
    <row r="14" spans="1:7" x14ac:dyDescent="0.55000000000000004">
      <c r="A14" s="18">
        <v>41627</v>
      </c>
      <c r="B14" s="15" t="s">
        <v>49</v>
      </c>
      <c r="C14" s="15">
        <v>24</v>
      </c>
    </row>
    <row r="15" spans="1:7" x14ac:dyDescent="0.55000000000000004">
      <c r="A15" s="18">
        <v>41528</v>
      </c>
      <c r="B15" s="15" t="s">
        <v>55</v>
      </c>
      <c r="C15" s="15">
        <v>34</v>
      </c>
      <c r="F15" s="44" t="s">
        <v>326</v>
      </c>
    </row>
    <row r="16" spans="1:7" x14ac:dyDescent="0.55000000000000004">
      <c r="A16" s="18">
        <v>41644</v>
      </c>
      <c r="B16" s="15" t="s">
        <v>51</v>
      </c>
      <c r="C16" s="15">
        <v>28</v>
      </c>
    </row>
    <row r="17" spans="1:3" x14ac:dyDescent="0.55000000000000004">
      <c r="A17" s="18">
        <v>41539</v>
      </c>
      <c r="B17" s="15" t="s">
        <v>48</v>
      </c>
      <c r="C17" s="15">
        <v>15</v>
      </c>
    </row>
    <row r="18" spans="1:3" x14ac:dyDescent="0.55000000000000004">
      <c r="A18" s="18">
        <v>41539</v>
      </c>
      <c r="B18" s="15" t="s">
        <v>50</v>
      </c>
      <c r="C18" s="15">
        <v>19</v>
      </c>
    </row>
    <row r="19" spans="1:3" x14ac:dyDescent="0.55000000000000004">
      <c r="A19" s="18">
        <v>41513</v>
      </c>
      <c r="B19" s="15" t="s">
        <v>56</v>
      </c>
      <c r="C19" s="15">
        <v>57</v>
      </c>
    </row>
    <row r="20" spans="1:3" x14ac:dyDescent="0.55000000000000004">
      <c r="A20" s="18">
        <v>41626</v>
      </c>
      <c r="B20" s="15" t="s">
        <v>53</v>
      </c>
      <c r="C20" s="15">
        <v>11</v>
      </c>
    </row>
    <row r="21" spans="1:3" x14ac:dyDescent="0.55000000000000004">
      <c r="A21" s="18">
        <v>41520</v>
      </c>
      <c r="B21" s="15" t="s">
        <v>57</v>
      </c>
      <c r="C21" s="15">
        <v>22</v>
      </c>
    </row>
    <row r="22" spans="1:3" x14ac:dyDescent="0.55000000000000004">
      <c r="A22" s="18">
        <v>41555</v>
      </c>
      <c r="B22" s="15" t="s">
        <v>58</v>
      </c>
      <c r="C22" s="15">
        <v>56</v>
      </c>
    </row>
    <row r="23" spans="1:3" x14ac:dyDescent="0.55000000000000004">
      <c r="A23" s="18">
        <v>41623</v>
      </c>
      <c r="B23" s="15" t="s">
        <v>56</v>
      </c>
      <c r="C23" s="15">
        <v>39</v>
      </c>
    </row>
    <row r="24" spans="1:3" x14ac:dyDescent="0.55000000000000004">
      <c r="A24" s="18">
        <v>41572</v>
      </c>
      <c r="B24" s="15" t="s">
        <v>59</v>
      </c>
      <c r="C24" s="15">
        <v>53</v>
      </c>
    </row>
    <row r="25" spans="1:3" x14ac:dyDescent="0.55000000000000004">
      <c r="A25" s="18">
        <v>41565</v>
      </c>
      <c r="B25" s="15" t="s">
        <v>60</v>
      </c>
      <c r="C25" s="15">
        <v>46</v>
      </c>
    </row>
    <row r="26" spans="1:3" x14ac:dyDescent="0.55000000000000004">
      <c r="A26" s="18">
        <v>41609</v>
      </c>
      <c r="B26" s="15" t="s">
        <v>51</v>
      </c>
      <c r="C26" s="15">
        <v>44</v>
      </c>
    </row>
    <row r="27" spans="1:3" x14ac:dyDescent="0.55000000000000004">
      <c r="A27" s="18">
        <v>41559</v>
      </c>
      <c r="B27" s="15" t="s">
        <v>56</v>
      </c>
      <c r="C27" s="15">
        <v>54</v>
      </c>
    </row>
    <row r="28" spans="1:3" x14ac:dyDescent="0.55000000000000004">
      <c r="A28" s="18">
        <v>41576</v>
      </c>
      <c r="B28" s="15" t="s">
        <v>61</v>
      </c>
      <c r="C28" s="15">
        <v>30</v>
      </c>
    </row>
    <row r="29" spans="1:3" x14ac:dyDescent="0.55000000000000004">
      <c r="A29" s="18">
        <v>41547</v>
      </c>
      <c r="B29" s="15" t="s">
        <v>52</v>
      </c>
      <c r="C29" s="15">
        <v>33</v>
      </c>
    </row>
    <row r="30" spans="1:3" x14ac:dyDescent="0.55000000000000004">
      <c r="A30" s="18">
        <v>41571</v>
      </c>
      <c r="B30" s="15" t="s">
        <v>62</v>
      </c>
      <c r="C30" s="15">
        <v>13</v>
      </c>
    </row>
    <row r="31" spans="1:3" x14ac:dyDescent="0.55000000000000004">
      <c r="A31" s="18">
        <v>41647</v>
      </c>
      <c r="B31" s="15" t="s">
        <v>57</v>
      </c>
      <c r="C31" s="15">
        <v>16</v>
      </c>
    </row>
    <row r="32" spans="1:3" x14ac:dyDescent="0.55000000000000004">
      <c r="A32" s="18">
        <v>41627</v>
      </c>
      <c r="B32" s="15" t="s">
        <v>61</v>
      </c>
      <c r="C32" s="15">
        <v>46</v>
      </c>
    </row>
    <row r="33" spans="1:3" x14ac:dyDescent="0.55000000000000004">
      <c r="A33" s="18">
        <v>41641</v>
      </c>
      <c r="B33" s="15" t="s">
        <v>63</v>
      </c>
      <c r="C33" s="15">
        <v>10</v>
      </c>
    </row>
    <row r="34" spans="1:3" x14ac:dyDescent="0.55000000000000004">
      <c r="A34" s="18">
        <v>41591</v>
      </c>
      <c r="B34" s="15" t="s">
        <v>64</v>
      </c>
      <c r="C34" s="15">
        <v>56</v>
      </c>
    </row>
    <row r="35" spans="1:3" x14ac:dyDescent="0.55000000000000004">
      <c r="A35" s="18">
        <v>41610</v>
      </c>
      <c r="B35" s="15" t="s">
        <v>65</v>
      </c>
      <c r="C35" s="15">
        <v>11</v>
      </c>
    </row>
    <row r="36" spans="1:3" x14ac:dyDescent="0.55000000000000004">
      <c r="A36" s="18">
        <v>41506</v>
      </c>
      <c r="B36" s="15" t="s">
        <v>50</v>
      </c>
      <c r="C36" s="15">
        <v>25</v>
      </c>
    </row>
    <row r="37" spans="1:3" x14ac:dyDescent="0.55000000000000004">
      <c r="A37" s="18">
        <v>41610</v>
      </c>
      <c r="B37" s="15" t="s">
        <v>54</v>
      </c>
      <c r="C37" s="15">
        <v>22</v>
      </c>
    </row>
    <row r="38" spans="1:3" x14ac:dyDescent="0.55000000000000004">
      <c r="A38" s="18">
        <v>41570</v>
      </c>
      <c r="B38" s="15" t="s">
        <v>66</v>
      </c>
      <c r="C38" s="15">
        <v>14</v>
      </c>
    </row>
    <row r="39" spans="1:3" x14ac:dyDescent="0.55000000000000004">
      <c r="A39" s="18">
        <v>41611</v>
      </c>
      <c r="B39" s="15" t="s">
        <v>63</v>
      </c>
      <c r="C39" s="15">
        <v>19</v>
      </c>
    </row>
    <row r="40" spans="1:3" x14ac:dyDescent="0.55000000000000004">
      <c r="A40" s="18">
        <v>41587</v>
      </c>
      <c r="B40" s="15" t="s">
        <v>66</v>
      </c>
      <c r="C40" s="15">
        <v>53</v>
      </c>
    </row>
    <row r="41" spans="1:3" x14ac:dyDescent="0.55000000000000004">
      <c r="A41" s="18">
        <v>41613</v>
      </c>
      <c r="B41" s="15" t="s">
        <v>54</v>
      </c>
      <c r="C41" s="15">
        <v>37</v>
      </c>
    </row>
    <row r="42" spans="1:3" x14ac:dyDescent="0.55000000000000004">
      <c r="A42" s="18">
        <v>41622</v>
      </c>
      <c r="B42" s="15" t="s">
        <v>64</v>
      </c>
      <c r="C42" s="15">
        <v>50</v>
      </c>
    </row>
    <row r="43" spans="1:3" x14ac:dyDescent="0.55000000000000004">
      <c r="A43" s="18">
        <v>41544</v>
      </c>
      <c r="B43" s="15" t="s">
        <v>67</v>
      </c>
      <c r="C43" s="15">
        <v>36</v>
      </c>
    </row>
    <row r="44" spans="1:3" x14ac:dyDescent="0.55000000000000004">
      <c r="A44" s="18">
        <v>41569</v>
      </c>
      <c r="B44" s="15" t="s">
        <v>53</v>
      </c>
      <c r="C44" s="15">
        <v>36</v>
      </c>
    </row>
    <row r="45" spans="1:3" x14ac:dyDescent="0.55000000000000004">
      <c r="A45" s="18">
        <v>41572</v>
      </c>
      <c r="B45" s="15" t="s">
        <v>61</v>
      </c>
      <c r="C45" s="15">
        <v>17</v>
      </c>
    </row>
    <row r="46" spans="1:3" x14ac:dyDescent="0.55000000000000004">
      <c r="A46" s="18">
        <v>41610</v>
      </c>
      <c r="B46" s="15" t="s">
        <v>51</v>
      </c>
      <c r="C46" s="15">
        <v>42</v>
      </c>
    </row>
    <row r="47" spans="1:3" x14ac:dyDescent="0.55000000000000004">
      <c r="A47" s="18">
        <v>41533</v>
      </c>
      <c r="B47" s="15" t="s">
        <v>54</v>
      </c>
      <c r="C47" s="15">
        <v>25</v>
      </c>
    </row>
    <row r="48" spans="1:3" x14ac:dyDescent="0.55000000000000004">
      <c r="A48" s="18">
        <v>41538</v>
      </c>
      <c r="B48" s="15" t="s">
        <v>49</v>
      </c>
      <c r="C48" s="15">
        <v>58</v>
      </c>
    </row>
    <row r="49" spans="1:3" x14ac:dyDescent="0.55000000000000004">
      <c r="A49" s="18">
        <v>41599</v>
      </c>
      <c r="B49" s="15" t="s">
        <v>49</v>
      </c>
      <c r="C49" s="15">
        <v>57</v>
      </c>
    </row>
    <row r="50" spans="1:3" x14ac:dyDescent="0.55000000000000004">
      <c r="A50" s="18">
        <v>41540</v>
      </c>
      <c r="B50" s="15" t="s">
        <v>48</v>
      </c>
      <c r="C50" s="15">
        <v>42</v>
      </c>
    </row>
    <row r="51" spans="1:3" x14ac:dyDescent="0.55000000000000004">
      <c r="A51" s="18">
        <v>41642</v>
      </c>
      <c r="B51" s="15" t="s">
        <v>60</v>
      </c>
      <c r="C51" s="15">
        <v>50</v>
      </c>
    </row>
    <row r="52" spans="1:3" x14ac:dyDescent="0.55000000000000004">
      <c r="A52" s="18">
        <v>41548</v>
      </c>
      <c r="B52" s="15" t="s">
        <v>55</v>
      </c>
      <c r="C52" s="15">
        <v>25</v>
      </c>
    </row>
    <row r="53" spans="1:3" x14ac:dyDescent="0.55000000000000004">
      <c r="A53" s="18">
        <v>41594</v>
      </c>
      <c r="B53" s="15" t="s">
        <v>54</v>
      </c>
      <c r="C53" s="15">
        <v>28</v>
      </c>
    </row>
    <row r="54" spans="1:3" x14ac:dyDescent="0.55000000000000004">
      <c r="A54" s="18">
        <v>41545</v>
      </c>
      <c r="B54" s="15" t="s">
        <v>59</v>
      </c>
      <c r="C54" s="15">
        <v>33</v>
      </c>
    </row>
    <row r="55" spans="1:3" x14ac:dyDescent="0.55000000000000004">
      <c r="A55" s="18">
        <v>41584</v>
      </c>
      <c r="B55" s="15" t="s">
        <v>46</v>
      </c>
      <c r="C55" s="15">
        <v>11</v>
      </c>
    </row>
    <row r="56" spans="1:3" x14ac:dyDescent="0.55000000000000004">
      <c r="A56" s="18">
        <v>41548</v>
      </c>
      <c r="B56" s="15" t="s">
        <v>61</v>
      </c>
      <c r="C56" s="15">
        <v>49</v>
      </c>
    </row>
    <row r="57" spans="1:3" x14ac:dyDescent="0.55000000000000004">
      <c r="A57" s="18">
        <v>41503</v>
      </c>
      <c r="B57" s="15" t="s">
        <v>67</v>
      </c>
      <c r="C57" s="15">
        <v>58</v>
      </c>
    </row>
    <row r="58" spans="1:3" x14ac:dyDescent="0.55000000000000004">
      <c r="A58" s="18">
        <v>41537</v>
      </c>
      <c r="B58" s="15" t="s">
        <v>46</v>
      </c>
      <c r="C58" s="15">
        <v>52</v>
      </c>
    </row>
    <row r="59" spans="1:3" x14ac:dyDescent="0.55000000000000004">
      <c r="A59" s="18">
        <v>41542</v>
      </c>
      <c r="B59" s="15" t="s">
        <v>59</v>
      </c>
      <c r="C59" s="15">
        <v>30</v>
      </c>
    </row>
    <row r="60" spans="1:3" x14ac:dyDescent="0.55000000000000004">
      <c r="A60" s="18">
        <v>41621</v>
      </c>
      <c r="B60" s="15" t="s">
        <v>68</v>
      </c>
      <c r="C60" s="15">
        <v>16</v>
      </c>
    </row>
    <row r="61" spans="1:3" x14ac:dyDescent="0.55000000000000004">
      <c r="A61" s="18">
        <v>41633</v>
      </c>
      <c r="B61" s="15" t="s">
        <v>69</v>
      </c>
      <c r="C61" s="15">
        <v>54</v>
      </c>
    </row>
    <row r="62" spans="1:3" x14ac:dyDescent="0.55000000000000004">
      <c r="A62" s="18">
        <v>41577</v>
      </c>
      <c r="B62" s="15" t="s">
        <v>63</v>
      </c>
      <c r="C62" s="15">
        <v>34</v>
      </c>
    </row>
    <row r="63" spans="1:3" x14ac:dyDescent="0.55000000000000004">
      <c r="A63" s="18">
        <v>41611</v>
      </c>
      <c r="B63" s="15" t="s">
        <v>60</v>
      </c>
      <c r="C63" s="15">
        <v>56</v>
      </c>
    </row>
    <row r="64" spans="1:3" x14ac:dyDescent="0.55000000000000004">
      <c r="A64" s="18">
        <v>41535</v>
      </c>
      <c r="B64" s="15" t="s">
        <v>45</v>
      </c>
      <c r="C64" s="15">
        <v>33</v>
      </c>
    </row>
    <row r="65" spans="1:3" x14ac:dyDescent="0.55000000000000004">
      <c r="A65" s="18">
        <v>41520</v>
      </c>
      <c r="B65" s="15" t="s">
        <v>66</v>
      </c>
      <c r="C65" s="15">
        <v>59</v>
      </c>
    </row>
    <row r="66" spans="1:3" x14ac:dyDescent="0.55000000000000004">
      <c r="A66" s="18">
        <v>41638</v>
      </c>
      <c r="B66" s="15" t="s">
        <v>69</v>
      </c>
      <c r="C66" s="15">
        <v>37</v>
      </c>
    </row>
    <row r="67" spans="1:3" x14ac:dyDescent="0.55000000000000004">
      <c r="A67" s="18">
        <v>41550</v>
      </c>
      <c r="B67" s="15" t="s">
        <v>65</v>
      </c>
      <c r="C67" s="15">
        <v>46</v>
      </c>
    </row>
    <row r="68" spans="1:3" x14ac:dyDescent="0.55000000000000004">
      <c r="A68" s="18">
        <v>41584</v>
      </c>
      <c r="B68" s="15" t="s">
        <v>51</v>
      </c>
      <c r="C68" s="15">
        <v>21</v>
      </c>
    </row>
    <row r="69" spans="1:3" x14ac:dyDescent="0.55000000000000004">
      <c r="A69" s="18">
        <v>41524</v>
      </c>
      <c r="B69" s="15" t="s">
        <v>67</v>
      </c>
      <c r="C69" s="15">
        <v>38</v>
      </c>
    </row>
    <row r="70" spans="1:3" x14ac:dyDescent="0.55000000000000004">
      <c r="A70" s="18">
        <v>41548</v>
      </c>
      <c r="B70" s="15" t="s">
        <v>45</v>
      </c>
      <c r="C70" s="15">
        <v>16</v>
      </c>
    </row>
    <row r="71" spans="1:3" x14ac:dyDescent="0.55000000000000004">
      <c r="A71" s="18">
        <v>41535</v>
      </c>
      <c r="B71" s="15" t="s">
        <v>45</v>
      </c>
      <c r="C71" s="15">
        <v>54</v>
      </c>
    </row>
    <row r="72" spans="1:3" x14ac:dyDescent="0.55000000000000004">
      <c r="A72" s="18">
        <v>41638</v>
      </c>
      <c r="B72" s="15" t="s">
        <v>48</v>
      </c>
      <c r="C72" s="15">
        <v>37</v>
      </c>
    </row>
    <row r="73" spans="1:3" x14ac:dyDescent="0.55000000000000004">
      <c r="A73" s="18">
        <v>41596</v>
      </c>
      <c r="B73" s="15" t="s">
        <v>69</v>
      </c>
      <c r="C73" s="15">
        <v>16</v>
      </c>
    </row>
    <row r="74" spans="1:3" x14ac:dyDescent="0.55000000000000004">
      <c r="A74" s="18">
        <v>41559</v>
      </c>
      <c r="B74" s="15" t="s">
        <v>48</v>
      </c>
      <c r="C74" s="15">
        <v>42</v>
      </c>
    </row>
    <row r="75" spans="1:3" x14ac:dyDescent="0.55000000000000004">
      <c r="A75" s="18">
        <v>41611</v>
      </c>
      <c r="B75" s="15" t="s">
        <v>57</v>
      </c>
      <c r="C75" s="15">
        <v>44</v>
      </c>
    </row>
    <row r="76" spans="1:3" x14ac:dyDescent="0.55000000000000004">
      <c r="A76" s="18">
        <v>41510</v>
      </c>
      <c r="B76" s="15" t="s">
        <v>69</v>
      </c>
      <c r="C76" s="15">
        <v>13</v>
      </c>
    </row>
    <row r="77" spans="1:3" x14ac:dyDescent="0.55000000000000004">
      <c r="A77" s="18">
        <v>41548</v>
      </c>
      <c r="B77" s="15" t="s">
        <v>61</v>
      </c>
      <c r="C77" s="15">
        <v>24</v>
      </c>
    </row>
    <row r="78" spans="1:3" x14ac:dyDescent="0.55000000000000004">
      <c r="A78" s="18">
        <v>41581</v>
      </c>
      <c r="B78" s="15" t="s">
        <v>61</v>
      </c>
      <c r="C78" s="15">
        <v>14</v>
      </c>
    </row>
    <row r="79" spans="1:3" x14ac:dyDescent="0.55000000000000004">
      <c r="A79" s="18">
        <v>41527</v>
      </c>
      <c r="B79" s="15" t="s">
        <v>55</v>
      </c>
      <c r="C79" s="15">
        <v>41</v>
      </c>
    </row>
    <row r="80" spans="1:3" x14ac:dyDescent="0.55000000000000004">
      <c r="A80" s="18">
        <v>41532</v>
      </c>
      <c r="B80" s="15" t="s">
        <v>65</v>
      </c>
      <c r="C80" s="15">
        <v>45</v>
      </c>
    </row>
    <row r="81" spans="1:3" x14ac:dyDescent="0.55000000000000004">
      <c r="A81" s="18">
        <v>41605</v>
      </c>
      <c r="B81" s="15" t="s">
        <v>55</v>
      </c>
      <c r="C81" s="15">
        <v>45</v>
      </c>
    </row>
    <row r="82" spans="1:3" x14ac:dyDescent="0.55000000000000004">
      <c r="A82" s="18">
        <v>41605</v>
      </c>
      <c r="B82" s="15" t="s">
        <v>50</v>
      </c>
      <c r="C82" s="15">
        <v>30</v>
      </c>
    </row>
    <row r="83" spans="1:3" x14ac:dyDescent="0.55000000000000004">
      <c r="A83" s="18">
        <v>41567</v>
      </c>
      <c r="B83" s="15" t="s">
        <v>51</v>
      </c>
      <c r="C83" s="15">
        <v>31</v>
      </c>
    </row>
    <row r="84" spans="1:3" x14ac:dyDescent="0.55000000000000004">
      <c r="A84" s="18">
        <v>41563</v>
      </c>
      <c r="B84" s="15" t="s">
        <v>46</v>
      </c>
      <c r="C84" s="15">
        <v>13</v>
      </c>
    </row>
    <row r="85" spans="1:3" x14ac:dyDescent="0.55000000000000004">
      <c r="A85" s="18">
        <v>41614</v>
      </c>
      <c r="B85" s="15" t="s">
        <v>49</v>
      </c>
      <c r="C85" s="15">
        <v>21</v>
      </c>
    </row>
    <row r="86" spans="1:3" x14ac:dyDescent="0.55000000000000004">
      <c r="A86" s="18">
        <v>41584</v>
      </c>
      <c r="B86" s="15" t="s">
        <v>59</v>
      </c>
      <c r="C86" s="15">
        <v>53</v>
      </c>
    </row>
    <row r="87" spans="1:3" x14ac:dyDescent="0.55000000000000004">
      <c r="A87" s="18">
        <v>41511</v>
      </c>
      <c r="B87" s="15" t="s">
        <v>47</v>
      </c>
      <c r="C87" s="15">
        <v>30</v>
      </c>
    </row>
    <row r="88" spans="1:3" x14ac:dyDescent="0.55000000000000004">
      <c r="A88" s="18">
        <v>41541</v>
      </c>
      <c r="B88" s="15" t="s">
        <v>54</v>
      </c>
      <c r="C88" s="15">
        <v>24</v>
      </c>
    </row>
    <row r="89" spans="1:3" x14ac:dyDescent="0.55000000000000004">
      <c r="A89" s="18">
        <v>41585</v>
      </c>
      <c r="B89" s="15" t="s">
        <v>68</v>
      </c>
      <c r="C89" s="15">
        <v>15</v>
      </c>
    </row>
    <row r="90" spans="1:3" x14ac:dyDescent="0.55000000000000004">
      <c r="A90" s="18">
        <v>41647</v>
      </c>
      <c r="B90" s="15" t="s">
        <v>47</v>
      </c>
      <c r="C90" s="15">
        <v>56</v>
      </c>
    </row>
    <row r="91" spans="1:3" x14ac:dyDescent="0.55000000000000004">
      <c r="A91" s="18">
        <v>41529</v>
      </c>
      <c r="B91" s="15" t="s">
        <v>56</v>
      </c>
      <c r="C91" s="15">
        <v>25</v>
      </c>
    </row>
    <row r="92" spans="1:3" x14ac:dyDescent="0.55000000000000004">
      <c r="A92" s="18">
        <v>41621</v>
      </c>
      <c r="B92" s="15" t="s">
        <v>55</v>
      </c>
      <c r="C92" s="15">
        <v>19</v>
      </c>
    </row>
    <row r="93" spans="1:3" x14ac:dyDescent="0.55000000000000004">
      <c r="A93" s="18">
        <v>41622</v>
      </c>
      <c r="B93" s="15" t="s">
        <v>51</v>
      </c>
      <c r="C93" s="15">
        <v>22</v>
      </c>
    </row>
    <row r="94" spans="1:3" x14ac:dyDescent="0.55000000000000004">
      <c r="A94" s="18">
        <v>41554</v>
      </c>
      <c r="B94" s="15" t="s">
        <v>65</v>
      </c>
      <c r="C94" s="15">
        <v>19</v>
      </c>
    </row>
    <row r="95" spans="1:3" x14ac:dyDescent="0.55000000000000004">
      <c r="A95" s="18">
        <v>41558</v>
      </c>
      <c r="B95" s="15" t="s">
        <v>63</v>
      </c>
      <c r="C95" s="15">
        <v>57</v>
      </c>
    </row>
    <row r="96" spans="1:3" x14ac:dyDescent="0.55000000000000004">
      <c r="A96" s="18">
        <v>41516</v>
      </c>
      <c r="B96" s="15" t="s">
        <v>65</v>
      </c>
      <c r="C96" s="15">
        <v>23</v>
      </c>
    </row>
    <row r="97" spans="1:3" x14ac:dyDescent="0.55000000000000004">
      <c r="A97" s="18">
        <v>41521</v>
      </c>
      <c r="B97" s="15" t="s">
        <v>68</v>
      </c>
      <c r="C97" s="15">
        <v>14</v>
      </c>
    </row>
    <row r="98" spans="1:3" x14ac:dyDescent="0.55000000000000004">
      <c r="A98" s="18">
        <v>41514</v>
      </c>
      <c r="B98" s="15" t="s">
        <v>52</v>
      </c>
      <c r="C98" s="15">
        <v>52</v>
      </c>
    </row>
    <row r="99" spans="1:3" x14ac:dyDescent="0.55000000000000004">
      <c r="A99" s="18">
        <v>41592</v>
      </c>
      <c r="B99" s="15" t="s">
        <v>60</v>
      </c>
      <c r="C99" s="15">
        <v>49</v>
      </c>
    </row>
    <row r="100" spans="1:3" x14ac:dyDescent="0.55000000000000004">
      <c r="A100" s="18">
        <v>41626</v>
      </c>
      <c r="B100" s="15" t="s">
        <v>52</v>
      </c>
      <c r="C100" s="15">
        <v>27</v>
      </c>
    </row>
    <row r="101" spans="1:3" x14ac:dyDescent="0.55000000000000004">
      <c r="A101" s="18">
        <v>41625</v>
      </c>
      <c r="B101" s="15" t="s">
        <v>56</v>
      </c>
      <c r="C101" s="15">
        <v>21</v>
      </c>
    </row>
    <row r="102" spans="1:3" x14ac:dyDescent="0.55000000000000004">
      <c r="A102" s="18">
        <v>41574</v>
      </c>
      <c r="B102" s="15" t="s">
        <v>61</v>
      </c>
      <c r="C102" s="15">
        <v>35</v>
      </c>
    </row>
    <row r="103" spans="1:3" x14ac:dyDescent="0.55000000000000004">
      <c r="A103" s="18">
        <v>41588</v>
      </c>
      <c r="B103" s="15" t="s">
        <v>57</v>
      </c>
      <c r="C103" s="15">
        <v>33</v>
      </c>
    </row>
    <row r="104" spans="1:3" x14ac:dyDescent="0.55000000000000004">
      <c r="A104" s="18">
        <v>41585</v>
      </c>
      <c r="B104" s="15" t="s">
        <v>51</v>
      </c>
      <c r="C104" s="15">
        <v>23</v>
      </c>
    </row>
    <row r="105" spans="1:3" x14ac:dyDescent="0.55000000000000004">
      <c r="A105" s="18">
        <v>41509</v>
      </c>
      <c r="B105" s="15" t="s">
        <v>61</v>
      </c>
      <c r="C105" s="15">
        <v>35</v>
      </c>
    </row>
    <row r="106" spans="1:3" x14ac:dyDescent="0.55000000000000004">
      <c r="A106" s="18">
        <v>41615</v>
      </c>
      <c r="B106" s="15" t="s">
        <v>52</v>
      </c>
      <c r="C106" s="15">
        <v>12</v>
      </c>
    </row>
    <row r="107" spans="1:3" x14ac:dyDescent="0.55000000000000004">
      <c r="A107" s="18">
        <v>41510</v>
      </c>
      <c r="B107" s="15" t="s">
        <v>51</v>
      </c>
      <c r="C107" s="15">
        <v>31</v>
      </c>
    </row>
    <row r="108" spans="1:3" x14ac:dyDescent="0.55000000000000004">
      <c r="A108" s="18">
        <v>41534</v>
      </c>
      <c r="B108" s="15" t="s">
        <v>47</v>
      </c>
      <c r="C108" s="15">
        <v>23</v>
      </c>
    </row>
    <row r="109" spans="1:3" x14ac:dyDescent="0.55000000000000004">
      <c r="A109" s="18">
        <v>41634</v>
      </c>
      <c r="B109" s="15" t="s">
        <v>48</v>
      </c>
      <c r="C109" s="15">
        <v>57</v>
      </c>
    </row>
    <row r="110" spans="1:3" x14ac:dyDescent="0.55000000000000004">
      <c r="A110" s="18">
        <v>41618</v>
      </c>
      <c r="B110" s="15" t="s">
        <v>60</v>
      </c>
      <c r="C110" s="15">
        <v>50</v>
      </c>
    </row>
    <row r="111" spans="1:3" x14ac:dyDescent="0.55000000000000004">
      <c r="A111" s="18">
        <v>41649</v>
      </c>
      <c r="B111" s="15" t="s">
        <v>54</v>
      </c>
      <c r="C111" s="15">
        <v>58</v>
      </c>
    </row>
    <row r="112" spans="1:3" x14ac:dyDescent="0.55000000000000004">
      <c r="A112" s="18">
        <v>41616</v>
      </c>
      <c r="B112" s="15" t="s">
        <v>48</v>
      </c>
      <c r="C112" s="15">
        <v>30</v>
      </c>
    </row>
    <row r="113" spans="1:3" x14ac:dyDescent="0.55000000000000004">
      <c r="A113" s="18">
        <v>41578</v>
      </c>
      <c r="B113" s="15" t="s">
        <v>52</v>
      </c>
      <c r="C113" s="15">
        <v>15</v>
      </c>
    </row>
    <row r="114" spans="1:3" x14ac:dyDescent="0.55000000000000004">
      <c r="A114" s="18">
        <v>41632</v>
      </c>
      <c r="B114" s="15" t="s">
        <v>69</v>
      </c>
      <c r="C114" s="15">
        <v>12</v>
      </c>
    </row>
    <row r="115" spans="1:3" x14ac:dyDescent="0.55000000000000004">
      <c r="A115" s="18">
        <v>41632</v>
      </c>
      <c r="B115" s="15" t="s">
        <v>48</v>
      </c>
      <c r="C115" s="15">
        <v>22</v>
      </c>
    </row>
    <row r="116" spans="1:3" x14ac:dyDescent="0.55000000000000004">
      <c r="A116" s="18">
        <v>41537</v>
      </c>
      <c r="B116" s="15" t="s">
        <v>47</v>
      </c>
      <c r="C116" s="15">
        <v>26</v>
      </c>
    </row>
    <row r="117" spans="1:3" x14ac:dyDescent="0.55000000000000004">
      <c r="A117" s="18">
        <v>41558</v>
      </c>
      <c r="B117" s="15" t="s">
        <v>63</v>
      </c>
      <c r="C117" s="15">
        <v>27</v>
      </c>
    </row>
    <row r="118" spans="1:3" x14ac:dyDescent="0.55000000000000004">
      <c r="A118" s="18">
        <v>41504</v>
      </c>
      <c r="B118" s="15" t="s">
        <v>61</v>
      </c>
      <c r="C118" s="15">
        <v>50</v>
      </c>
    </row>
    <row r="119" spans="1:3" x14ac:dyDescent="0.55000000000000004">
      <c r="A119" s="18">
        <v>41643</v>
      </c>
      <c r="B119" s="15" t="s">
        <v>63</v>
      </c>
      <c r="C119" s="15">
        <v>37</v>
      </c>
    </row>
    <row r="120" spans="1:3" x14ac:dyDescent="0.55000000000000004">
      <c r="A120" s="18">
        <v>41601</v>
      </c>
      <c r="B120" s="15" t="s">
        <v>61</v>
      </c>
      <c r="C120" s="15">
        <v>44</v>
      </c>
    </row>
    <row r="121" spans="1:3" x14ac:dyDescent="0.55000000000000004">
      <c r="A121" s="18">
        <v>41566</v>
      </c>
      <c r="B121" s="15" t="s">
        <v>69</v>
      </c>
      <c r="C121" s="15">
        <v>57</v>
      </c>
    </row>
    <row r="122" spans="1:3" x14ac:dyDescent="0.55000000000000004">
      <c r="A122" s="18">
        <v>41630</v>
      </c>
      <c r="B122" s="15" t="s">
        <v>54</v>
      </c>
      <c r="C122" s="15">
        <v>19</v>
      </c>
    </row>
    <row r="123" spans="1:3" x14ac:dyDescent="0.55000000000000004">
      <c r="A123" s="18">
        <v>41564</v>
      </c>
      <c r="B123" s="15" t="s">
        <v>59</v>
      </c>
      <c r="C123" s="15">
        <v>44</v>
      </c>
    </row>
    <row r="124" spans="1:3" x14ac:dyDescent="0.55000000000000004">
      <c r="A124" s="18">
        <v>41566</v>
      </c>
      <c r="B124" s="15" t="s">
        <v>50</v>
      </c>
      <c r="C124" s="15">
        <v>21</v>
      </c>
    </row>
    <row r="125" spans="1:3" x14ac:dyDescent="0.55000000000000004">
      <c r="A125" s="18">
        <v>41572</v>
      </c>
      <c r="B125" s="15" t="s">
        <v>62</v>
      </c>
      <c r="C125" s="15">
        <v>51</v>
      </c>
    </row>
    <row r="126" spans="1:3" x14ac:dyDescent="0.55000000000000004">
      <c r="A126" s="18">
        <v>41588</v>
      </c>
      <c r="B126" s="15" t="s">
        <v>54</v>
      </c>
      <c r="C126" s="15">
        <v>20</v>
      </c>
    </row>
    <row r="127" spans="1:3" x14ac:dyDescent="0.55000000000000004">
      <c r="A127" s="18">
        <v>41592</v>
      </c>
      <c r="B127" s="15" t="s">
        <v>46</v>
      </c>
      <c r="C127" s="15">
        <v>31</v>
      </c>
    </row>
    <row r="128" spans="1:3" x14ac:dyDescent="0.55000000000000004">
      <c r="A128" s="18">
        <v>41594</v>
      </c>
      <c r="B128" s="15" t="s">
        <v>48</v>
      </c>
      <c r="C128" s="15">
        <v>29</v>
      </c>
    </row>
    <row r="129" spans="1:3" x14ac:dyDescent="0.55000000000000004">
      <c r="A129" s="18">
        <v>41629</v>
      </c>
      <c r="B129" s="15" t="s">
        <v>49</v>
      </c>
      <c r="C129" s="15">
        <v>54</v>
      </c>
    </row>
    <row r="130" spans="1:3" x14ac:dyDescent="0.55000000000000004">
      <c r="A130" s="18">
        <v>41539</v>
      </c>
      <c r="B130" s="15" t="s">
        <v>53</v>
      </c>
      <c r="C130" s="15">
        <v>54</v>
      </c>
    </row>
    <row r="131" spans="1:3" x14ac:dyDescent="0.55000000000000004">
      <c r="A131" s="18">
        <v>41552</v>
      </c>
      <c r="B131" s="15" t="s">
        <v>46</v>
      </c>
      <c r="C131" s="15">
        <v>26</v>
      </c>
    </row>
    <row r="132" spans="1:3" x14ac:dyDescent="0.55000000000000004">
      <c r="A132" s="18">
        <v>41508</v>
      </c>
      <c r="B132" s="15" t="s">
        <v>61</v>
      </c>
      <c r="C132" s="15">
        <v>42</v>
      </c>
    </row>
    <row r="133" spans="1:3" x14ac:dyDescent="0.55000000000000004">
      <c r="A133" s="18">
        <v>41512</v>
      </c>
      <c r="B133" s="15" t="s">
        <v>49</v>
      </c>
      <c r="C133" s="15">
        <v>32</v>
      </c>
    </row>
    <row r="134" spans="1:3" x14ac:dyDescent="0.55000000000000004">
      <c r="A134" s="18">
        <v>41634</v>
      </c>
      <c r="B134" s="15" t="s">
        <v>53</v>
      </c>
      <c r="C134" s="15">
        <v>26</v>
      </c>
    </row>
    <row r="135" spans="1:3" x14ac:dyDescent="0.55000000000000004">
      <c r="A135" s="18">
        <v>41511</v>
      </c>
      <c r="B135" s="15" t="s">
        <v>50</v>
      </c>
      <c r="C135" s="15">
        <v>43</v>
      </c>
    </row>
    <row r="136" spans="1:3" x14ac:dyDescent="0.55000000000000004">
      <c r="A136" s="18">
        <v>41638</v>
      </c>
      <c r="B136" s="15" t="s">
        <v>69</v>
      </c>
      <c r="C136" s="15">
        <v>40</v>
      </c>
    </row>
    <row r="137" spans="1:3" x14ac:dyDescent="0.55000000000000004">
      <c r="A137" s="18">
        <v>41558</v>
      </c>
      <c r="B137" s="15" t="s">
        <v>59</v>
      </c>
      <c r="C137" s="15">
        <v>14</v>
      </c>
    </row>
    <row r="138" spans="1:3" x14ac:dyDescent="0.55000000000000004">
      <c r="A138" s="18">
        <v>41630</v>
      </c>
      <c r="B138" s="15" t="s">
        <v>46</v>
      </c>
      <c r="C138" s="15">
        <v>46</v>
      </c>
    </row>
    <row r="139" spans="1:3" x14ac:dyDescent="0.55000000000000004">
      <c r="A139" s="18">
        <v>41506</v>
      </c>
      <c r="B139" s="15" t="s">
        <v>45</v>
      </c>
      <c r="C139" s="15">
        <v>10</v>
      </c>
    </row>
    <row r="140" spans="1:3" x14ac:dyDescent="0.55000000000000004">
      <c r="A140" s="18">
        <v>41650</v>
      </c>
      <c r="B140" s="15" t="s">
        <v>69</v>
      </c>
      <c r="C140" s="15">
        <v>18</v>
      </c>
    </row>
    <row r="141" spans="1:3" x14ac:dyDescent="0.55000000000000004">
      <c r="A141" s="18">
        <v>41649</v>
      </c>
      <c r="B141" s="15" t="s">
        <v>67</v>
      </c>
      <c r="C141" s="15">
        <v>28</v>
      </c>
    </row>
    <row r="142" spans="1:3" x14ac:dyDescent="0.55000000000000004">
      <c r="A142" s="18">
        <v>41560</v>
      </c>
      <c r="B142" s="15" t="s">
        <v>47</v>
      </c>
      <c r="C142" s="15">
        <v>13</v>
      </c>
    </row>
    <row r="143" spans="1:3" x14ac:dyDescent="0.55000000000000004">
      <c r="A143" s="18">
        <v>41612</v>
      </c>
      <c r="B143" s="15" t="s">
        <v>49</v>
      </c>
      <c r="C143" s="15">
        <v>18</v>
      </c>
    </row>
    <row r="144" spans="1:3" x14ac:dyDescent="0.55000000000000004">
      <c r="A144" s="18">
        <v>41605</v>
      </c>
      <c r="B144" s="15" t="s">
        <v>60</v>
      </c>
      <c r="C144" s="15">
        <v>37</v>
      </c>
    </row>
    <row r="145" spans="1:3" x14ac:dyDescent="0.55000000000000004">
      <c r="A145" s="18">
        <v>41601</v>
      </c>
      <c r="B145" s="15" t="s">
        <v>63</v>
      </c>
      <c r="C145" s="15">
        <v>14</v>
      </c>
    </row>
    <row r="146" spans="1:3" x14ac:dyDescent="0.55000000000000004">
      <c r="A146" s="18">
        <v>41568</v>
      </c>
      <c r="B146" s="15" t="s">
        <v>47</v>
      </c>
      <c r="C146" s="15">
        <v>45</v>
      </c>
    </row>
    <row r="147" spans="1:3" x14ac:dyDescent="0.55000000000000004">
      <c r="A147" s="18">
        <v>41590</v>
      </c>
      <c r="B147" s="15" t="s">
        <v>61</v>
      </c>
      <c r="C147" s="15">
        <v>38</v>
      </c>
    </row>
    <row r="148" spans="1:3" x14ac:dyDescent="0.55000000000000004">
      <c r="A148" s="18">
        <v>41598</v>
      </c>
      <c r="B148" s="15" t="s">
        <v>67</v>
      </c>
      <c r="C148" s="15">
        <v>14</v>
      </c>
    </row>
    <row r="149" spans="1:3" x14ac:dyDescent="0.55000000000000004">
      <c r="A149" s="18">
        <v>41632</v>
      </c>
      <c r="B149" s="15" t="s">
        <v>58</v>
      </c>
      <c r="C149" s="15">
        <v>30</v>
      </c>
    </row>
    <row r="150" spans="1:3" x14ac:dyDescent="0.55000000000000004">
      <c r="A150" s="18">
        <v>41582</v>
      </c>
      <c r="B150" s="15" t="s">
        <v>50</v>
      </c>
      <c r="C150" s="15">
        <v>41</v>
      </c>
    </row>
    <row r="151" spans="1:3" x14ac:dyDescent="0.55000000000000004">
      <c r="A151" s="18">
        <v>41597</v>
      </c>
      <c r="B151" s="15" t="s">
        <v>61</v>
      </c>
      <c r="C151" s="15">
        <v>38</v>
      </c>
    </row>
    <row r="152" spans="1:3" x14ac:dyDescent="0.55000000000000004">
      <c r="A152" s="18">
        <v>41518</v>
      </c>
      <c r="B152" s="15" t="s">
        <v>47</v>
      </c>
      <c r="C152" s="15">
        <v>41</v>
      </c>
    </row>
    <row r="153" spans="1:3" x14ac:dyDescent="0.55000000000000004">
      <c r="A153" s="18">
        <v>41621</v>
      </c>
      <c r="B153" s="15" t="s">
        <v>50</v>
      </c>
      <c r="C153" s="15">
        <v>46</v>
      </c>
    </row>
    <row r="154" spans="1:3" x14ac:dyDescent="0.55000000000000004">
      <c r="A154" s="18">
        <v>41518</v>
      </c>
      <c r="B154" s="15" t="s">
        <v>47</v>
      </c>
      <c r="C154" s="15">
        <v>48</v>
      </c>
    </row>
    <row r="155" spans="1:3" x14ac:dyDescent="0.55000000000000004">
      <c r="A155" s="18">
        <v>41532</v>
      </c>
      <c r="B155" s="15" t="s">
        <v>63</v>
      </c>
      <c r="C155" s="15">
        <v>39</v>
      </c>
    </row>
    <row r="156" spans="1:3" x14ac:dyDescent="0.55000000000000004">
      <c r="A156" s="18">
        <v>41544</v>
      </c>
      <c r="B156" s="15" t="s">
        <v>49</v>
      </c>
      <c r="C156" s="15">
        <v>30</v>
      </c>
    </row>
    <row r="157" spans="1:3" x14ac:dyDescent="0.55000000000000004">
      <c r="A157" s="18">
        <v>41532</v>
      </c>
      <c r="B157" s="15" t="s">
        <v>56</v>
      </c>
      <c r="C157" s="15">
        <v>30</v>
      </c>
    </row>
    <row r="158" spans="1:3" x14ac:dyDescent="0.55000000000000004">
      <c r="A158" s="18">
        <v>41505</v>
      </c>
      <c r="B158" s="15" t="s">
        <v>67</v>
      </c>
      <c r="C158" s="15">
        <v>57</v>
      </c>
    </row>
    <row r="159" spans="1:3" x14ac:dyDescent="0.55000000000000004">
      <c r="A159" s="18">
        <v>41613</v>
      </c>
      <c r="B159" s="15" t="s">
        <v>49</v>
      </c>
      <c r="C159" s="15">
        <v>43</v>
      </c>
    </row>
    <row r="160" spans="1:3" x14ac:dyDescent="0.55000000000000004">
      <c r="A160" s="18">
        <v>41518</v>
      </c>
      <c r="B160" s="15" t="s">
        <v>61</v>
      </c>
      <c r="C160" s="15">
        <v>14</v>
      </c>
    </row>
    <row r="161" spans="1:3" x14ac:dyDescent="0.55000000000000004">
      <c r="A161" s="18">
        <v>41598</v>
      </c>
      <c r="B161" s="15" t="s">
        <v>56</v>
      </c>
      <c r="C161" s="15">
        <v>20</v>
      </c>
    </row>
    <row r="162" spans="1:3" x14ac:dyDescent="0.55000000000000004">
      <c r="A162" s="18">
        <v>41558</v>
      </c>
      <c r="B162" s="15" t="s">
        <v>52</v>
      </c>
      <c r="C162" s="15">
        <v>26</v>
      </c>
    </row>
    <row r="163" spans="1:3" x14ac:dyDescent="0.55000000000000004">
      <c r="A163" s="18">
        <v>41550</v>
      </c>
      <c r="B163" s="15" t="s">
        <v>66</v>
      </c>
      <c r="C163" s="15">
        <v>32</v>
      </c>
    </row>
    <row r="164" spans="1:3" x14ac:dyDescent="0.55000000000000004">
      <c r="A164" s="18">
        <v>41503</v>
      </c>
      <c r="B164" s="15" t="s">
        <v>50</v>
      </c>
      <c r="C164" s="15">
        <v>48</v>
      </c>
    </row>
    <row r="165" spans="1:3" x14ac:dyDescent="0.55000000000000004">
      <c r="A165" s="18">
        <v>41640</v>
      </c>
      <c r="B165" s="15" t="s">
        <v>69</v>
      </c>
      <c r="C165" s="15">
        <v>55</v>
      </c>
    </row>
    <row r="166" spans="1:3" x14ac:dyDescent="0.55000000000000004">
      <c r="A166" s="18">
        <v>41618</v>
      </c>
      <c r="B166" s="15" t="s">
        <v>64</v>
      </c>
      <c r="C166" s="15">
        <v>52</v>
      </c>
    </row>
    <row r="167" spans="1:3" x14ac:dyDescent="0.55000000000000004">
      <c r="A167" s="18">
        <v>41533</v>
      </c>
      <c r="B167" s="15" t="s">
        <v>53</v>
      </c>
      <c r="C167" s="15">
        <v>16</v>
      </c>
    </row>
    <row r="168" spans="1:3" x14ac:dyDescent="0.55000000000000004">
      <c r="A168" s="18">
        <v>41600</v>
      </c>
      <c r="B168" s="15" t="s">
        <v>54</v>
      </c>
      <c r="C168" s="15">
        <v>32</v>
      </c>
    </row>
    <row r="169" spans="1:3" x14ac:dyDescent="0.55000000000000004">
      <c r="A169" s="18">
        <v>41616</v>
      </c>
      <c r="B169" s="15" t="s">
        <v>66</v>
      </c>
      <c r="C169" s="15">
        <v>50</v>
      </c>
    </row>
    <row r="170" spans="1:3" x14ac:dyDescent="0.55000000000000004">
      <c r="A170" s="18">
        <v>41614</v>
      </c>
      <c r="B170" s="15" t="s">
        <v>64</v>
      </c>
      <c r="C170" s="15">
        <v>22</v>
      </c>
    </row>
    <row r="171" spans="1:3" x14ac:dyDescent="0.55000000000000004">
      <c r="A171" s="18">
        <v>41595</v>
      </c>
      <c r="B171" s="15" t="s">
        <v>63</v>
      </c>
      <c r="C171" s="15">
        <v>21</v>
      </c>
    </row>
    <row r="172" spans="1:3" x14ac:dyDescent="0.55000000000000004">
      <c r="A172" s="18">
        <v>41580</v>
      </c>
      <c r="B172" s="15" t="s">
        <v>52</v>
      </c>
      <c r="C172" s="15">
        <v>57</v>
      </c>
    </row>
    <row r="173" spans="1:3" x14ac:dyDescent="0.55000000000000004">
      <c r="A173" s="18">
        <v>41629</v>
      </c>
      <c r="B173" s="15" t="s">
        <v>55</v>
      </c>
      <c r="C173" s="15">
        <v>51</v>
      </c>
    </row>
    <row r="174" spans="1:3" x14ac:dyDescent="0.55000000000000004">
      <c r="A174" s="18">
        <v>41596</v>
      </c>
      <c r="B174" s="15" t="s">
        <v>52</v>
      </c>
      <c r="C174" s="15">
        <v>57</v>
      </c>
    </row>
    <row r="175" spans="1:3" x14ac:dyDescent="0.55000000000000004">
      <c r="A175" s="18">
        <v>41636</v>
      </c>
      <c r="B175" s="15" t="s">
        <v>61</v>
      </c>
      <c r="C175" s="15">
        <v>56</v>
      </c>
    </row>
    <row r="176" spans="1:3" x14ac:dyDescent="0.55000000000000004">
      <c r="A176" s="18">
        <v>41625</v>
      </c>
      <c r="B176" s="15" t="s">
        <v>49</v>
      </c>
      <c r="C176" s="15">
        <v>33</v>
      </c>
    </row>
    <row r="177" spans="1:3" x14ac:dyDescent="0.55000000000000004">
      <c r="A177" s="18">
        <v>41647</v>
      </c>
      <c r="B177" s="15" t="s">
        <v>68</v>
      </c>
      <c r="C177" s="15">
        <v>58</v>
      </c>
    </row>
    <row r="178" spans="1:3" x14ac:dyDescent="0.55000000000000004">
      <c r="A178" s="18">
        <v>41579</v>
      </c>
      <c r="B178" s="15" t="s">
        <v>65</v>
      </c>
      <c r="C178" s="15">
        <v>53</v>
      </c>
    </row>
    <row r="179" spans="1:3" x14ac:dyDescent="0.55000000000000004">
      <c r="A179" s="18">
        <v>41585</v>
      </c>
      <c r="B179" s="15" t="s">
        <v>61</v>
      </c>
      <c r="C179" s="15">
        <v>14</v>
      </c>
    </row>
    <row r="180" spans="1:3" x14ac:dyDescent="0.55000000000000004">
      <c r="A180" s="18">
        <v>41562</v>
      </c>
      <c r="B180" s="15" t="s">
        <v>52</v>
      </c>
      <c r="C180" s="15">
        <v>57</v>
      </c>
    </row>
    <row r="181" spans="1:3" x14ac:dyDescent="0.55000000000000004">
      <c r="A181" s="18">
        <v>41550</v>
      </c>
      <c r="B181" s="15" t="s">
        <v>61</v>
      </c>
      <c r="C181" s="15">
        <v>57</v>
      </c>
    </row>
    <row r="182" spans="1:3" x14ac:dyDescent="0.55000000000000004">
      <c r="A182" s="18">
        <v>41619</v>
      </c>
      <c r="B182" s="15" t="s">
        <v>49</v>
      </c>
      <c r="C182" s="15">
        <v>55</v>
      </c>
    </row>
    <row r="183" spans="1:3" x14ac:dyDescent="0.55000000000000004">
      <c r="A183" s="18">
        <v>41511</v>
      </c>
      <c r="B183" s="15" t="s">
        <v>53</v>
      </c>
      <c r="C183" s="15">
        <v>30</v>
      </c>
    </row>
    <row r="184" spans="1:3" x14ac:dyDescent="0.55000000000000004">
      <c r="A184" s="18">
        <v>41524</v>
      </c>
      <c r="B184" s="15" t="s">
        <v>65</v>
      </c>
      <c r="C184" s="15">
        <v>10</v>
      </c>
    </row>
    <row r="185" spans="1:3" x14ac:dyDescent="0.55000000000000004">
      <c r="A185" s="18">
        <v>41514</v>
      </c>
      <c r="B185" s="15" t="s">
        <v>45</v>
      </c>
      <c r="C185" s="15">
        <v>59</v>
      </c>
    </row>
    <row r="186" spans="1:3" x14ac:dyDescent="0.55000000000000004">
      <c r="A186" s="18">
        <v>41630</v>
      </c>
      <c r="B186" s="15" t="s">
        <v>68</v>
      </c>
      <c r="C186" s="15">
        <v>13</v>
      </c>
    </row>
    <row r="187" spans="1:3" x14ac:dyDescent="0.55000000000000004">
      <c r="A187" s="18">
        <v>41550</v>
      </c>
      <c r="B187" s="15" t="s">
        <v>47</v>
      </c>
      <c r="C187" s="15">
        <v>24</v>
      </c>
    </row>
    <row r="188" spans="1:3" x14ac:dyDescent="0.55000000000000004">
      <c r="A188" s="18">
        <v>41538</v>
      </c>
      <c r="B188" s="15" t="s">
        <v>57</v>
      </c>
      <c r="C188" s="15">
        <v>37</v>
      </c>
    </row>
    <row r="189" spans="1:3" x14ac:dyDescent="0.55000000000000004">
      <c r="A189" s="18">
        <v>41568</v>
      </c>
      <c r="B189" s="15" t="s">
        <v>59</v>
      </c>
      <c r="C189" s="15">
        <v>13</v>
      </c>
    </row>
    <row r="190" spans="1:3" x14ac:dyDescent="0.55000000000000004">
      <c r="A190" s="18">
        <v>41547</v>
      </c>
      <c r="B190" s="15" t="s">
        <v>48</v>
      </c>
      <c r="C190" s="15">
        <v>57</v>
      </c>
    </row>
    <row r="191" spans="1:3" x14ac:dyDescent="0.55000000000000004">
      <c r="A191" s="18">
        <v>41574</v>
      </c>
      <c r="B191" s="15" t="s">
        <v>50</v>
      </c>
      <c r="C191" s="15">
        <v>51</v>
      </c>
    </row>
    <row r="192" spans="1:3" x14ac:dyDescent="0.55000000000000004">
      <c r="A192" s="18">
        <v>41519</v>
      </c>
      <c r="B192" s="15" t="s">
        <v>54</v>
      </c>
      <c r="C192" s="15">
        <v>23</v>
      </c>
    </row>
    <row r="193" spans="1:3" x14ac:dyDescent="0.55000000000000004">
      <c r="A193" s="18">
        <v>41603</v>
      </c>
      <c r="B193" s="15" t="s">
        <v>55</v>
      </c>
      <c r="C193" s="15">
        <v>54</v>
      </c>
    </row>
    <row r="194" spans="1:3" x14ac:dyDescent="0.55000000000000004">
      <c r="A194" s="18">
        <v>41640</v>
      </c>
      <c r="B194" s="15" t="s">
        <v>67</v>
      </c>
      <c r="C194" s="15">
        <v>21</v>
      </c>
    </row>
    <row r="195" spans="1:3" x14ac:dyDescent="0.55000000000000004">
      <c r="A195" s="18">
        <v>41562</v>
      </c>
      <c r="B195" s="15" t="s">
        <v>51</v>
      </c>
      <c r="C195" s="15">
        <v>49</v>
      </c>
    </row>
    <row r="196" spans="1:3" x14ac:dyDescent="0.55000000000000004">
      <c r="A196" s="18">
        <v>41553</v>
      </c>
      <c r="B196" s="15" t="s">
        <v>59</v>
      </c>
      <c r="C196" s="15">
        <v>30</v>
      </c>
    </row>
    <row r="197" spans="1:3" x14ac:dyDescent="0.55000000000000004">
      <c r="A197" s="18">
        <v>41501</v>
      </c>
      <c r="B197" s="15" t="s">
        <v>58</v>
      </c>
      <c r="C197" s="15">
        <v>32</v>
      </c>
    </row>
    <row r="198" spans="1:3" x14ac:dyDescent="0.55000000000000004">
      <c r="A198" s="18">
        <v>41501</v>
      </c>
      <c r="B198" s="15" t="s">
        <v>57</v>
      </c>
      <c r="C198" s="15">
        <v>57</v>
      </c>
    </row>
    <row r="199" spans="1:3" x14ac:dyDescent="0.55000000000000004">
      <c r="A199" s="18">
        <v>41528</v>
      </c>
      <c r="B199" s="15" t="s">
        <v>65</v>
      </c>
      <c r="C199" s="15">
        <v>40</v>
      </c>
    </row>
    <row r="200" spans="1:3" x14ac:dyDescent="0.55000000000000004">
      <c r="A200" s="18">
        <v>41556</v>
      </c>
      <c r="B200" s="15" t="s">
        <v>49</v>
      </c>
      <c r="C200" s="15">
        <v>21</v>
      </c>
    </row>
    <row r="201" spans="1:3" x14ac:dyDescent="0.55000000000000004">
      <c r="A201" s="18">
        <v>41600</v>
      </c>
      <c r="B201" s="15" t="s">
        <v>50</v>
      </c>
      <c r="C201" s="15">
        <v>28</v>
      </c>
    </row>
    <row r="202" spans="1:3" x14ac:dyDescent="0.55000000000000004">
      <c r="A202" s="18">
        <v>41592</v>
      </c>
      <c r="B202" s="15" t="s">
        <v>54</v>
      </c>
      <c r="C202" s="15">
        <v>14</v>
      </c>
    </row>
    <row r="203" spans="1:3" x14ac:dyDescent="0.55000000000000004">
      <c r="A203" s="18">
        <v>41561</v>
      </c>
      <c r="B203" s="15" t="s">
        <v>67</v>
      </c>
      <c r="C203" s="15">
        <v>54</v>
      </c>
    </row>
    <row r="204" spans="1:3" x14ac:dyDescent="0.55000000000000004">
      <c r="A204" s="18">
        <v>41514</v>
      </c>
      <c r="B204" s="15" t="s">
        <v>61</v>
      </c>
      <c r="C204" s="15">
        <v>33</v>
      </c>
    </row>
    <row r="205" spans="1:3" x14ac:dyDescent="0.55000000000000004">
      <c r="A205" s="18">
        <v>41628</v>
      </c>
      <c r="B205" s="15" t="s">
        <v>64</v>
      </c>
      <c r="C205" s="15">
        <v>21</v>
      </c>
    </row>
    <row r="206" spans="1:3" x14ac:dyDescent="0.55000000000000004">
      <c r="A206" s="18">
        <v>41629</v>
      </c>
      <c r="B206" s="15" t="s">
        <v>68</v>
      </c>
      <c r="C206" s="15">
        <v>52</v>
      </c>
    </row>
    <row r="207" spans="1:3" x14ac:dyDescent="0.55000000000000004">
      <c r="A207" s="18">
        <v>41627</v>
      </c>
      <c r="B207" s="15" t="s">
        <v>63</v>
      </c>
      <c r="C207" s="15">
        <v>25</v>
      </c>
    </row>
    <row r="208" spans="1:3" x14ac:dyDescent="0.55000000000000004">
      <c r="A208" s="18">
        <v>41547</v>
      </c>
      <c r="B208" s="15" t="s">
        <v>59</v>
      </c>
      <c r="C208" s="15">
        <v>23</v>
      </c>
    </row>
    <row r="209" spans="1:3" x14ac:dyDescent="0.55000000000000004">
      <c r="A209" s="18">
        <v>41521</v>
      </c>
      <c r="B209" s="15" t="s">
        <v>62</v>
      </c>
      <c r="C209" s="15">
        <v>58</v>
      </c>
    </row>
    <row r="210" spans="1:3" x14ac:dyDescent="0.55000000000000004">
      <c r="A210" s="18">
        <v>41562</v>
      </c>
      <c r="B210" s="15" t="s">
        <v>49</v>
      </c>
      <c r="C210" s="15">
        <v>16</v>
      </c>
    </row>
    <row r="211" spans="1:3" x14ac:dyDescent="0.55000000000000004">
      <c r="A211" s="18">
        <v>41645</v>
      </c>
      <c r="B211" s="15" t="s">
        <v>64</v>
      </c>
      <c r="C211" s="15">
        <v>38</v>
      </c>
    </row>
    <row r="212" spans="1:3" x14ac:dyDescent="0.55000000000000004">
      <c r="A212" s="18">
        <v>41598</v>
      </c>
      <c r="B212" s="15" t="s">
        <v>59</v>
      </c>
      <c r="C212" s="15">
        <v>39</v>
      </c>
    </row>
    <row r="213" spans="1:3" x14ac:dyDescent="0.55000000000000004">
      <c r="A213" s="18">
        <v>41643</v>
      </c>
      <c r="B213" s="15" t="s">
        <v>67</v>
      </c>
      <c r="C213" s="15">
        <v>40</v>
      </c>
    </row>
    <row r="214" spans="1:3" x14ac:dyDescent="0.55000000000000004">
      <c r="A214" s="18">
        <v>41636</v>
      </c>
      <c r="B214" s="15" t="s">
        <v>63</v>
      </c>
      <c r="C214" s="15">
        <v>23</v>
      </c>
    </row>
    <row r="215" spans="1:3" x14ac:dyDescent="0.55000000000000004">
      <c r="A215" s="18">
        <v>41529</v>
      </c>
      <c r="B215" s="15" t="s">
        <v>58</v>
      </c>
      <c r="C215" s="15">
        <v>43</v>
      </c>
    </row>
    <row r="216" spans="1:3" x14ac:dyDescent="0.55000000000000004">
      <c r="A216" s="18">
        <v>41571</v>
      </c>
      <c r="B216" s="15" t="s">
        <v>61</v>
      </c>
      <c r="C216" s="15">
        <v>16</v>
      </c>
    </row>
    <row r="217" spans="1:3" x14ac:dyDescent="0.55000000000000004">
      <c r="A217" s="18">
        <v>41593</v>
      </c>
      <c r="B217" s="15" t="s">
        <v>52</v>
      </c>
      <c r="C217" s="15">
        <v>31</v>
      </c>
    </row>
    <row r="218" spans="1:3" x14ac:dyDescent="0.55000000000000004">
      <c r="A218" s="18">
        <v>41581</v>
      </c>
      <c r="B218" s="15" t="s">
        <v>51</v>
      </c>
      <c r="C218" s="15">
        <v>22</v>
      </c>
    </row>
    <row r="219" spans="1:3" x14ac:dyDescent="0.55000000000000004">
      <c r="A219" s="18">
        <v>41519</v>
      </c>
      <c r="B219" s="15" t="s">
        <v>55</v>
      </c>
      <c r="C219" s="15">
        <v>33</v>
      </c>
    </row>
    <row r="220" spans="1:3" x14ac:dyDescent="0.55000000000000004">
      <c r="A220" s="18">
        <v>41607</v>
      </c>
      <c r="B220" s="15" t="s">
        <v>57</v>
      </c>
      <c r="C220" s="15">
        <v>57</v>
      </c>
    </row>
    <row r="221" spans="1:3" x14ac:dyDescent="0.55000000000000004">
      <c r="A221" s="18">
        <v>41563</v>
      </c>
      <c r="B221" s="15" t="s">
        <v>63</v>
      </c>
      <c r="C221" s="15">
        <v>37</v>
      </c>
    </row>
    <row r="222" spans="1:3" x14ac:dyDescent="0.55000000000000004">
      <c r="A222" s="18">
        <v>41532</v>
      </c>
      <c r="B222" s="15" t="s">
        <v>64</v>
      </c>
      <c r="C222" s="15">
        <v>56</v>
      </c>
    </row>
    <row r="223" spans="1:3" x14ac:dyDescent="0.55000000000000004">
      <c r="A223" s="18">
        <v>41569</v>
      </c>
      <c r="B223" s="15" t="s">
        <v>61</v>
      </c>
      <c r="C223" s="15">
        <v>54</v>
      </c>
    </row>
    <row r="224" spans="1:3" x14ac:dyDescent="0.55000000000000004">
      <c r="A224" s="18">
        <v>41533</v>
      </c>
      <c r="B224" s="15" t="s">
        <v>69</v>
      </c>
      <c r="C224" s="15">
        <v>30</v>
      </c>
    </row>
    <row r="225" spans="1:3" x14ac:dyDescent="0.55000000000000004">
      <c r="A225" s="18">
        <v>41524</v>
      </c>
      <c r="B225" s="15" t="s">
        <v>47</v>
      </c>
      <c r="C225" s="15">
        <v>40</v>
      </c>
    </row>
    <row r="226" spans="1:3" x14ac:dyDescent="0.55000000000000004">
      <c r="A226" s="18">
        <v>41500</v>
      </c>
      <c r="B226" s="15" t="s">
        <v>54</v>
      </c>
      <c r="C226" s="15">
        <v>10</v>
      </c>
    </row>
    <row r="227" spans="1:3" x14ac:dyDescent="0.55000000000000004">
      <c r="A227" s="18">
        <v>41521</v>
      </c>
      <c r="B227" s="15" t="s">
        <v>67</v>
      </c>
      <c r="C227" s="15">
        <v>56</v>
      </c>
    </row>
    <row r="228" spans="1:3" x14ac:dyDescent="0.55000000000000004">
      <c r="A228" s="18">
        <v>41527</v>
      </c>
      <c r="B228" s="15" t="s">
        <v>62</v>
      </c>
      <c r="C228" s="15">
        <v>55</v>
      </c>
    </row>
    <row r="229" spans="1:3" x14ac:dyDescent="0.55000000000000004">
      <c r="A229" s="18">
        <v>41552</v>
      </c>
      <c r="B229" s="15" t="s">
        <v>62</v>
      </c>
      <c r="C229" s="15">
        <v>11</v>
      </c>
    </row>
    <row r="230" spans="1:3" x14ac:dyDescent="0.55000000000000004">
      <c r="A230" s="18">
        <v>41544</v>
      </c>
      <c r="B230" s="15" t="s">
        <v>52</v>
      </c>
      <c r="C230" s="15">
        <v>15</v>
      </c>
    </row>
    <row r="231" spans="1:3" x14ac:dyDescent="0.55000000000000004">
      <c r="A231" s="18">
        <v>41565</v>
      </c>
      <c r="B231" s="15" t="s">
        <v>62</v>
      </c>
      <c r="C231" s="15">
        <v>55</v>
      </c>
    </row>
    <row r="232" spans="1:3" x14ac:dyDescent="0.55000000000000004">
      <c r="A232" s="18">
        <v>41575</v>
      </c>
      <c r="B232" s="15" t="s">
        <v>55</v>
      </c>
      <c r="C232" s="15">
        <v>26</v>
      </c>
    </row>
    <row r="233" spans="1:3" x14ac:dyDescent="0.55000000000000004">
      <c r="A233" s="18">
        <v>41590</v>
      </c>
      <c r="B233" s="15" t="s">
        <v>64</v>
      </c>
      <c r="C233" s="15">
        <v>12</v>
      </c>
    </row>
    <row r="234" spans="1:3" x14ac:dyDescent="0.55000000000000004">
      <c r="A234" s="18">
        <v>41500</v>
      </c>
      <c r="B234" s="15" t="s">
        <v>57</v>
      </c>
      <c r="C234" s="15">
        <v>53</v>
      </c>
    </row>
    <row r="235" spans="1:3" x14ac:dyDescent="0.55000000000000004">
      <c r="A235" s="18">
        <v>41502</v>
      </c>
      <c r="B235" s="15" t="s">
        <v>68</v>
      </c>
      <c r="C235" s="15">
        <v>47</v>
      </c>
    </row>
    <row r="236" spans="1:3" x14ac:dyDescent="0.55000000000000004">
      <c r="A236" s="18">
        <v>41641</v>
      </c>
      <c r="B236" s="15" t="s">
        <v>59</v>
      </c>
      <c r="C236" s="15">
        <v>41</v>
      </c>
    </row>
    <row r="237" spans="1:3" x14ac:dyDescent="0.55000000000000004">
      <c r="A237" s="18">
        <v>41626</v>
      </c>
      <c r="B237" s="15" t="s">
        <v>50</v>
      </c>
      <c r="C237" s="15">
        <v>40</v>
      </c>
    </row>
    <row r="238" spans="1:3" x14ac:dyDescent="0.55000000000000004">
      <c r="A238" s="18">
        <v>41552</v>
      </c>
      <c r="B238" s="15" t="s">
        <v>45</v>
      </c>
      <c r="C238" s="15">
        <v>30</v>
      </c>
    </row>
    <row r="239" spans="1:3" x14ac:dyDescent="0.55000000000000004">
      <c r="A239" s="18">
        <v>41571</v>
      </c>
      <c r="B239" s="15" t="s">
        <v>50</v>
      </c>
      <c r="C239" s="15">
        <v>21</v>
      </c>
    </row>
    <row r="240" spans="1:3" x14ac:dyDescent="0.55000000000000004">
      <c r="A240" s="18">
        <v>41558</v>
      </c>
      <c r="B240" s="15" t="s">
        <v>61</v>
      </c>
      <c r="C240" s="15">
        <v>48</v>
      </c>
    </row>
    <row r="241" spans="1:3" x14ac:dyDescent="0.55000000000000004">
      <c r="A241" s="18">
        <v>41612</v>
      </c>
      <c r="B241" s="15" t="s">
        <v>59</v>
      </c>
      <c r="C241" s="15">
        <v>13</v>
      </c>
    </row>
    <row r="242" spans="1:3" x14ac:dyDescent="0.55000000000000004">
      <c r="A242" s="18">
        <v>41552</v>
      </c>
      <c r="B242" s="15" t="s">
        <v>62</v>
      </c>
      <c r="C242" s="15">
        <v>16</v>
      </c>
    </row>
    <row r="243" spans="1:3" x14ac:dyDescent="0.55000000000000004">
      <c r="A243" s="18">
        <v>41596</v>
      </c>
      <c r="B243" s="15" t="s">
        <v>60</v>
      </c>
      <c r="C243" s="15">
        <v>29</v>
      </c>
    </row>
    <row r="244" spans="1:3" x14ac:dyDescent="0.55000000000000004">
      <c r="A244" s="18">
        <v>41645</v>
      </c>
      <c r="B244" s="15" t="s">
        <v>64</v>
      </c>
      <c r="C244" s="15">
        <v>57</v>
      </c>
    </row>
    <row r="245" spans="1:3" x14ac:dyDescent="0.55000000000000004">
      <c r="A245" s="18">
        <v>41577</v>
      </c>
      <c r="B245" s="15" t="s">
        <v>60</v>
      </c>
      <c r="C245" s="15">
        <v>49</v>
      </c>
    </row>
    <row r="246" spans="1:3" x14ac:dyDescent="0.55000000000000004">
      <c r="A246" s="18">
        <v>41607</v>
      </c>
      <c r="B246" s="15" t="s">
        <v>52</v>
      </c>
      <c r="C246" s="15">
        <v>16</v>
      </c>
    </row>
    <row r="247" spans="1:3" x14ac:dyDescent="0.55000000000000004">
      <c r="A247" s="18">
        <v>41619</v>
      </c>
      <c r="B247" s="15" t="s">
        <v>66</v>
      </c>
      <c r="C247" s="15">
        <v>28</v>
      </c>
    </row>
    <row r="248" spans="1:3" x14ac:dyDescent="0.55000000000000004">
      <c r="A248" s="18">
        <v>41640</v>
      </c>
      <c r="B248" s="15" t="s">
        <v>59</v>
      </c>
      <c r="C248" s="15">
        <v>32</v>
      </c>
    </row>
    <row r="249" spans="1:3" x14ac:dyDescent="0.55000000000000004">
      <c r="A249" s="18">
        <v>41637</v>
      </c>
      <c r="B249" s="15" t="s">
        <v>46</v>
      </c>
      <c r="C249" s="15">
        <v>51</v>
      </c>
    </row>
    <row r="250" spans="1:3" x14ac:dyDescent="0.55000000000000004">
      <c r="A250" s="18">
        <v>41633</v>
      </c>
      <c r="B250" s="15" t="s">
        <v>63</v>
      </c>
      <c r="C250" s="15">
        <v>14</v>
      </c>
    </row>
    <row r="251" spans="1:3" x14ac:dyDescent="0.55000000000000004">
      <c r="A251" s="18">
        <v>41504</v>
      </c>
      <c r="B251" s="15" t="s">
        <v>59</v>
      </c>
      <c r="C251" s="15">
        <v>23</v>
      </c>
    </row>
    <row r="252" spans="1:3" x14ac:dyDescent="0.55000000000000004">
      <c r="A252" s="18">
        <v>41522</v>
      </c>
      <c r="B252" s="15" t="s">
        <v>60</v>
      </c>
      <c r="C252" s="15">
        <v>56</v>
      </c>
    </row>
    <row r="253" spans="1:3" x14ac:dyDescent="0.55000000000000004">
      <c r="A253" s="18">
        <v>41612</v>
      </c>
      <c r="B253" s="15" t="s">
        <v>67</v>
      </c>
      <c r="C253" s="15">
        <v>55</v>
      </c>
    </row>
    <row r="254" spans="1:3" x14ac:dyDescent="0.55000000000000004">
      <c r="A254" s="18">
        <v>41637</v>
      </c>
      <c r="B254" s="15" t="s">
        <v>55</v>
      </c>
      <c r="C254" s="15">
        <v>57</v>
      </c>
    </row>
    <row r="255" spans="1:3" x14ac:dyDescent="0.55000000000000004">
      <c r="A255" s="18">
        <v>41535</v>
      </c>
      <c r="B255" s="15" t="s">
        <v>66</v>
      </c>
      <c r="C255" s="15">
        <v>34</v>
      </c>
    </row>
    <row r="256" spans="1:3" x14ac:dyDescent="0.55000000000000004">
      <c r="A256" s="18">
        <v>41582</v>
      </c>
      <c r="B256" s="15" t="s">
        <v>58</v>
      </c>
      <c r="C256" s="15">
        <v>27</v>
      </c>
    </row>
    <row r="257" spans="1:3" x14ac:dyDescent="0.55000000000000004">
      <c r="A257" s="18">
        <v>41647</v>
      </c>
      <c r="B257" s="15" t="s">
        <v>63</v>
      </c>
      <c r="C257" s="15">
        <v>10</v>
      </c>
    </row>
    <row r="258" spans="1:3" x14ac:dyDescent="0.55000000000000004">
      <c r="A258" s="18">
        <v>41609</v>
      </c>
      <c r="B258" s="15" t="s">
        <v>67</v>
      </c>
      <c r="C258" s="15">
        <v>55</v>
      </c>
    </row>
    <row r="259" spans="1:3" x14ac:dyDescent="0.55000000000000004">
      <c r="A259" s="18">
        <v>41599</v>
      </c>
      <c r="B259" s="15" t="s">
        <v>68</v>
      </c>
      <c r="C259" s="15">
        <v>30</v>
      </c>
    </row>
    <row r="260" spans="1:3" x14ac:dyDescent="0.55000000000000004">
      <c r="A260" s="18">
        <v>41513</v>
      </c>
      <c r="B260" s="15" t="s">
        <v>48</v>
      </c>
      <c r="C260" s="15">
        <v>39</v>
      </c>
    </row>
    <row r="261" spans="1:3" x14ac:dyDescent="0.55000000000000004">
      <c r="A261" s="18">
        <v>41601</v>
      </c>
      <c r="B261" s="15" t="s">
        <v>48</v>
      </c>
      <c r="C261" s="15">
        <v>40</v>
      </c>
    </row>
    <row r="262" spans="1:3" x14ac:dyDescent="0.55000000000000004">
      <c r="A262" s="18">
        <v>41570</v>
      </c>
      <c r="B262" s="15" t="s">
        <v>66</v>
      </c>
      <c r="C262" s="15">
        <v>48</v>
      </c>
    </row>
    <row r="263" spans="1:3" x14ac:dyDescent="0.55000000000000004">
      <c r="A263" s="18">
        <v>41634</v>
      </c>
      <c r="B263" s="15" t="s">
        <v>53</v>
      </c>
      <c r="C263" s="15">
        <v>44</v>
      </c>
    </row>
    <row r="264" spans="1:3" x14ac:dyDescent="0.55000000000000004">
      <c r="A264" s="18">
        <v>41606</v>
      </c>
      <c r="B264" s="15" t="s">
        <v>68</v>
      </c>
      <c r="C264" s="15">
        <v>12</v>
      </c>
    </row>
    <row r="265" spans="1:3" x14ac:dyDescent="0.55000000000000004">
      <c r="A265" s="18">
        <v>41589</v>
      </c>
      <c r="B265" s="15" t="s">
        <v>62</v>
      </c>
      <c r="C265" s="15">
        <v>30</v>
      </c>
    </row>
    <row r="266" spans="1:3" x14ac:dyDescent="0.55000000000000004">
      <c r="A266" s="18">
        <v>41634</v>
      </c>
      <c r="B266" s="15" t="s">
        <v>65</v>
      </c>
      <c r="C266" s="15">
        <v>15</v>
      </c>
    </row>
    <row r="267" spans="1:3" x14ac:dyDescent="0.55000000000000004">
      <c r="A267" s="18">
        <v>41515</v>
      </c>
      <c r="B267" s="15" t="s">
        <v>68</v>
      </c>
      <c r="C267" s="15">
        <v>59</v>
      </c>
    </row>
    <row r="268" spans="1:3" x14ac:dyDescent="0.55000000000000004">
      <c r="A268" s="18">
        <v>41542</v>
      </c>
      <c r="B268" s="15" t="s">
        <v>68</v>
      </c>
      <c r="C268" s="15">
        <v>56</v>
      </c>
    </row>
    <row r="269" spans="1:3" x14ac:dyDescent="0.55000000000000004">
      <c r="A269" s="18">
        <v>41556</v>
      </c>
      <c r="B269" s="15" t="s">
        <v>65</v>
      </c>
      <c r="C269" s="15">
        <v>55</v>
      </c>
    </row>
    <row r="270" spans="1:3" x14ac:dyDescent="0.55000000000000004">
      <c r="A270" s="18">
        <v>41540</v>
      </c>
      <c r="B270" s="15" t="s">
        <v>69</v>
      </c>
      <c r="C270" s="15">
        <v>21</v>
      </c>
    </row>
    <row r="271" spans="1:3" x14ac:dyDescent="0.55000000000000004">
      <c r="A271" s="18">
        <v>41647</v>
      </c>
      <c r="B271" s="15" t="s">
        <v>60</v>
      </c>
      <c r="C271" s="15">
        <v>16</v>
      </c>
    </row>
    <row r="272" spans="1:3" x14ac:dyDescent="0.55000000000000004">
      <c r="A272" s="18">
        <v>41612</v>
      </c>
      <c r="B272" s="15" t="s">
        <v>60</v>
      </c>
      <c r="C272" s="15">
        <v>12</v>
      </c>
    </row>
    <row r="273" spans="1:3" x14ac:dyDescent="0.55000000000000004">
      <c r="A273" s="18">
        <v>41616</v>
      </c>
      <c r="B273" s="15" t="s">
        <v>69</v>
      </c>
      <c r="C273" s="15">
        <v>47</v>
      </c>
    </row>
    <row r="274" spans="1:3" x14ac:dyDescent="0.55000000000000004">
      <c r="A274" s="18">
        <v>41553</v>
      </c>
      <c r="B274" s="15" t="s">
        <v>59</v>
      </c>
      <c r="C274" s="15">
        <v>26</v>
      </c>
    </row>
    <row r="275" spans="1:3" x14ac:dyDescent="0.55000000000000004">
      <c r="A275" s="18">
        <v>41645</v>
      </c>
      <c r="B275" s="15" t="s">
        <v>49</v>
      </c>
      <c r="C275" s="15">
        <v>18</v>
      </c>
    </row>
    <row r="276" spans="1:3" x14ac:dyDescent="0.55000000000000004">
      <c r="A276" s="18">
        <v>41564</v>
      </c>
      <c r="B276" s="15" t="s">
        <v>58</v>
      </c>
      <c r="C276" s="15">
        <v>10</v>
      </c>
    </row>
    <row r="277" spans="1:3" x14ac:dyDescent="0.55000000000000004">
      <c r="A277" s="18">
        <v>41555</v>
      </c>
      <c r="B277" s="15" t="s">
        <v>53</v>
      </c>
      <c r="C277" s="15">
        <v>56</v>
      </c>
    </row>
    <row r="278" spans="1:3" x14ac:dyDescent="0.55000000000000004">
      <c r="A278" s="18">
        <v>41532</v>
      </c>
      <c r="B278" s="15" t="s">
        <v>53</v>
      </c>
      <c r="C278" s="15">
        <v>38</v>
      </c>
    </row>
    <row r="279" spans="1:3" x14ac:dyDescent="0.55000000000000004">
      <c r="A279" s="18">
        <v>41582</v>
      </c>
      <c r="B279" s="15" t="s">
        <v>49</v>
      </c>
      <c r="C279" s="15">
        <v>54</v>
      </c>
    </row>
    <row r="280" spans="1:3" x14ac:dyDescent="0.55000000000000004">
      <c r="A280" s="18">
        <v>41527</v>
      </c>
      <c r="B280" s="15" t="s">
        <v>63</v>
      </c>
      <c r="C280" s="15">
        <v>44</v>
      </c>
    </row>
    <row r="281" spans="1:3" x14ac:dyDescent="0.55000000000000004">
      <c r="A281" s="18">
        <v>41573</v>
      </c>
      <c r="B281" s="15" t="s">
        <v>55</v>
      </c>
      <c r="C281" s="15">
        <v>37</v>
      </c>
    </row>
    <row r="282" spans="1:3" x14ac:dyDescent="0.55000000000000004">
      <c r="A282" s="18">
        <v>41545</v>
      </c>
      <c r="B282" s="15" t="s">
        <v>50</v>
      </c>
      <c r="C282" s="15">
        <v>26</v>
      </c>
    </row>
    <row r="283" spans="1:3" x14ac:dyDescent="0.55000000000000004">
      <c r="A283" s="18">
        <v>41535</v>
      </c>
      <c r="B283" s="15" t="s">
        <v>52</v>
      </c>
      <c r="C283" s="15">
        <v>30</v>
      </c>
    </row>
    <row r="284" spans="1:3" x14ac:dyDescent="0.55000000000000004">
      <c r="A284" s="18">
        <v>41644</v>
      </c>
      <c r="B284" s="15" t="s">
        <v>54</v>
      </c>
      <c r="C284" s="15">
        <v>40</v>
      </c>
    </row>
    <row r="285" spans="1:3" x14ac:dyDescent="0.55000000000000004">
      <c r="A285" s="18">
        <v>41642</v>
      </c>
      <c r="B285" s="15" t="s">
        <v>53</v>
      </c>
      <c r="C285" s="15">
        <v>25</v>
      </c>
    </row>
    <row r="286" spans="1:3" x14ac:dyDescent="0.55000000000000004">
      <c r="A286" s="18">
        <v>41549</v>
      </c>
      <c r="B286" s="15" t="s">
        <v>55</v>
      </c>
      <c r="C286" s="15">
        <v>10</v>
      </c>
    </row>
    <row r="287" spans="1:3" x14ac:dyDescent="0.55000000000000004">
      <c r="A287" s="18">
        <v>41526</v>
      </c>
      <c r="B287" s="15" t="s">
        <v>69</v>
      </c>
      <c r="C287" s="15">
        <v>42</v>
      </c>
    </row>
    <row r="288" spans="1:3" x14ac:dyDescent="0.55000000000000004">
      <c r="A288" s="18">
        <v>41524</v>
      </c>
      <c r="B288" s="15" t="s">
        <v>67</v>
      </c>
      <c r="C288" s="15">
        <v>33</v>
      </c>
    </row>
    <row r="289" spans="1:3" x14ac:dyDescent="0.55000000000000004">
      <c r="A289" s="18">
        <v>41639</v>
      </c>
      <c r="B289" s="15" t="s">
        <v>62</v>
      </c>
      <c r="C289" s="15">
        <v>38</v>
      </c>
    </row>
    <row r="290" spans="1:3" x14ac:dyDescent="0.55000000000000004">
      <c r="A290" s="18">
        <v>41535</v>
      </c>
      <c r="B290" s="15" t="s">
        <v>51</v>
      </c>
      <c r="C290" s="15">
        <v>53</v>
      </c>
    </row>
    <row r="291" spans="1:3" x14ac:dyDescent="0.55000000000000004">
      <c r="A291" s="18">
        <v>41556</v>
      </c>
      <c r="B291" s="15" t="s">
        <v>49</v>
      </c>
      <c r="C291" s="15">
        <v>25</v>
      </c>
    </row>
    <row r="292" spans="1:3" x14ac:dyDescent="0.55000000000000004">
      <c r="A292" s="18">
        <v>41563</v>
      </c>
      <c r="B292" s="15" t="s">
        <v>46</v>
      </c>
      <c r="C292" s="15">
        <v>45</v>
      </c>
    </row>
    <row r="293" spans="1:3" x14ac:dyDescent="0.55000000000000004">
      <c r="A293" s="18">
        <v>41509</v>
      </c>
      <c r="B293" s="15" t="s">
        <v>69</v>
      </c>
      <c r="C293" s="15">
        <v>47</v>
      </c>
    </row>
    <row r="294" spans="1:3" x14ac:dyDescent="0.55000000000000004">
      <c r="A294" s="18">
        <v>41643</v>
      </c>
      <c r="B294" s="15" t="s">
        <v>62</v>
      </c>
      <c r="C294" s="15">
        <v>32</v>
      </c>
    </row>
    <row r="295" spans="1:3" x14ac:dyDescent="0.55000000000000004">
      <c r="A295" s="18">
        <v>41552</v>
      </c>
      <c r="B295" s="15" t="s">
        <v>54</v>
      </c>
      <c r="C295" s="15">
        <v>19</v>
      </c>
    </row>
    <row r="296" spans="1:3" x14ac:dyDescent="0.55000000000000004">
      <c r="A296" s="18">
        <v>41642</v>
      </c>
      <c r="B296" s="15" t="s">
        <v>64</v>
      </c>
      <c r="C296" s="15">
        <v>21</v>
      </c>
    </row>
    <row r="297" spans="1:3" x14ac:dyDescent="0.55000000000000004">
      <c r="A297" s="18">
        <v>41621</v>
      </c>
      <c r="B297" s="15" t="s">
        <v>46</v>
      </c>
      <c r="C297" s="15">
        <v>43</v>
      </c>
    </row>
    <row r="298" spans="1:3" x14ac:dyDescent="0.55000000000000004">
      <c r="A298" s="18">
        <v>41619</v>
      </c>
      <c r="B298" s="15" t="s">
        <v>50</v>
      </c>
      <c r="C298" s="15">
        <v>25</v>
      </c>
    </row>
    <row r="299" spans="1:3" x14ac:dyDescent="0.55000000000000004">
      <c r="A299" s="18">
        <v>41590</v>
      </c>
      <c r="B299" s="15" t="s">
        <v>60</v>
      </c>
      <c r="C299" s="15">
        <v>51</v>
      </c>
    </row>
    <row r="300" spans="1:3" x14ac:dyDescent="0.55000000000000004">
      <c r="A300" s="18">
        <v>41567</v>
      </c>
      <c r="B300" s="15" t="s">
        <v>54</v>
      </c>
      <c r="C300" s="15">
        <v>11</v>
      </c>
    </row>
    <row r="301" spans="1:3" x14ac:dyDescent="0.55000000000000004">
      <c r="A301" s="18">
        <v>41629</v>
      </c>
      <c r="B301" s="15" t="s">
        <v>66</v>
      </c>
      <c r="C301" s="15">
        <v>54</v>
      </c>
    </row>
    <row r="302" spans="1:3" x14ac:dyDescent="0.55000000000000004">
      <c r="A302" s="18">
        <v>41589</v>
      </c>
      <c r="B302" s="15" t="s">
        <v>65</v>
      </c>
      <c r="C302" s="15">
        <v>46</v>
      </c>
    </row>
    <row r="303" spans="1:3" x14ac:dyDescent="0.55000000000000004">
      <c r="A303" s="18">
        <v>41501</v>
      </c>
      <c r="B303" s="15" t="s">
        <v>46</v>
      </c>
      <c r="C303" s="15">
        <v>23</v>
      </c>
    </row>
    <row r="304" spans="1:3" x14ac:dyDescent="0.55000000000000004">
      <c r="A304" s="18">
        <v>41555</v>
      </c>
      <c r="B304" s="15" t="s">
        <v>56</v>
      </c>
      <c r="C304" s="15">
        <v>25</v>
      </c>
    </row>
    <row r="305" spans="1:3" x14ac:dyDescent="0.55000000000000004">
      <c r="A305" s="18">
        <v>41539</v>
      </c>
      <c r="B305" s="15" t="s">
        <v>53</v>
      </c>
      <c r="C305" s="15">
        <v>21</v>
      </c>
    </row>
    <row r="306" spans="1:3" x14ac:dyDescent="0.55000000000000004">
      <c r="A306" s="18">
        <v>41513</v>
      </c>
      <c r="B306" s="15" t="s">
        <v>61</v>
      </c>
      <c r="C306" s="15">
        <v>19</v>
      </c>
    </row>
    <row r="307" spans="1:3" x14ac:dyDescent="0.55000000000000004">
      <c r="A307" s="18">
        <v>41584</v>
      </c>
      <c r="B307" s="15" t="s">
        <v>61</v>
      </c>
      <c r="C307" s="15">
        <v>40</v>
      </c>
    </row>
    <row r="308" spans="1:3" x14ac:dyDescent="0.55000000000000004">
      <c r="A308" s="18">
        <v>41524</v>
      </c>
      <c r="B308" s="15" t="s">
        <v>67</v>
      </c>
      <c r="C308" s="15">
        <v>32</v>
      </c>
    </row>
    <row r="309" spans="1:3" x14ac:dyDescent="0.55000000000000004">
      <c r="A309" s="18">
        <v>41633</v>
      </c>
      <c r="B309" s="15" t="s">
        <v>69</v>
      </c>
      <c r="C309" s="15">
        <v>34</v>
      </c>
    </row>
    <row r="310" spans="1:3" x14ac:dyDescent="0.55000000000000004">
      <c r="A310" s="18">
        <v>41563</v>
      </c>
      <c r="B310" s="15" t="s">
        <v>64</v>
      </c>
      <c r="C310" s="15">
        <v>32</v>
      </c>
    </row>
    <row r="311" spans="1:3" x14ac:dyDescent="0.55000000000000004">
      <c r="A311" s="18">
        <v>41537</v>
      </c>
      <c r="B311" s="15" t="s">
        <v>67</v>
      </c>
      <c r="C311" s="15">
        <v>20</v>
      </c>
    </row>
    <row r="312" spans="1:3" x14ac:dyDescent="0.55000000000000004">
      <c r="A312" s="18">
        <v>41504</v>
      </c>
      <c r="B312" s="15" t="s">
        <v>58</v>
      </c>
      <c r="C312" s="15">
        <v>40</v>
      </c>
    </row>
    <row r="313" spans="1:3" x14ac:dyDescent="0.55000000000000004">
      <c r="A313" s="18">
        <v>41564</v>
      </c>
      <c r="B313" s="15" t="s">
        <v>53</v>
      </c>
      <c r="C313" s="15">
        <v>43</v>
      </c>
    </row>
    <row r="314" spans="1:3" x14ac:dyDescent="0.55000000000000004">
      <c r="A314" s="18">
        <v>41628</v>
      </c>
      <c r="B314" s="15" t="s">
        <v>64</v>
      </c>
      <c r="C314" s="15">
        <v>20</v>
      </c>
    </row>
    <row r="315" spans="1:3" x14ac:dyDescent="0.55000000000000004">
      <c r="A315" s="18">
        <v>41557</v>
      </c>
      <c r="B315" s="15" t="s">
        <v>61</v>
      </c>
      <c r="C315" s="15">
        <v>49</v>
      </c>
    </row>
    <row r="316" spans="1:3" x14ac:dyDescent="0.55000000000000004">
      <c r="A316" s="18">
        <v>41599</v>
      </c>
      <c r="B316" s="15" t="s">
        <v>49</v>
      </c>
      <c r="C316" s="15">
        <v>21</v>
      </c>
    </row>
    <row r="317" spans="1:3" x14ac:dyDescent="0.55000000000000004">
      <c r="A317" s="18">
        <v>41612</v>
      </c>
      <c r="B317" s="15" t="s">
        <v>61</v>
      </c>
      <c r="C317" s="15">
        <v>31</v>
      </c>
    </row>
    <row r="318" spans="1:3" x14ac:dyDescent="0.55000000000000004">
      <c r="A318" s="18">
        <v>41588</v>
      </c>
      <c r="B318" s="15" t="s">
        <v>55</v>
      </c>
      <c r="C318" s="15">
        <v>16</v>
      </c>
    </row>
    <row r="319" spans="1:3" x14ac:dyDescent="0.55000000000000004">
      <c r="A319" s="18">
        <v>41556</v>
      </c>
      <c r="B319" s="15" t="s">
        <v>54</v>
      </c>
      <c r="C319" s="15">
        <v>47</v>
      </c>
    </row>
    <row r="320" spans="1:3" x14ac:dyDescent="0.55000000000000004">
      <c r="A320" s="18">
        <v>41571</v>
      </c>
      <c r="B320" s="15" t="s">
        <v>53</v>
      </c>
      <c r="C320" s="15">
        <v>44</v>
      </c>
    </row>
    <row r="321" spans="1:3" x14ac:dyDescent="0.55000000000000004">
      <c r="A321" s="18">
        <v>41609</v>
      </c>
      <c r="B321" s="15" t="s">
        <v>55</v>
      </c>
      <c r="C321" s="15">
        <v>56</v>
      </c>
    </row>
    <row r="322" spans="1:3" x14ac:dyDescent="0.55000000000000004">
      <c r="A322" s="18">
        <v>41547</v>
      </c>
      <c r="B322" s="15" t="s">
        <v>64</v>
      </c>
      <c r="C322" s="15">
        <v>31</v>
      </c>
    </row>
    <row r="323" spans="1:3" x14ac:dyDescent="0.55000000000000004">
      <c r="A323" s="18">
        <v>41602</v>
      </c>
      <c r="B323" s="15" t="s">
        <v>66</v>
      </c>
      <c r="C323" s="15">
        <v>11</v>
      </c>
    </row>
    <row r="324" spans="1:3" x14ac:dyDescent="0.55000000000000004">
      <c r="A324" s="18">
        <v>41604</v>
      </c>
      <c r="B324" s="15" t="s">
        <v>49</v>
      </c>
      <c r="C324" s="15">
        <v>31</v>
      </c>
    </row>
    <row r="325" spans="1:3" x14ac:dyDescent="0.55000000000000004">
      <c r="A325" s="18">
        <v>41648</v>
      </c>
      <c r="B325" s="15" t="s">
        <v>56</v>
      </c>
      <c r="C325" s="15">
        <v>53</v>
      </c>
    </row>
    <row r="326" spans="1:3" x14ac:dyDescent="0.55000000000000004">
      <c r="A326" s="18">
        <v>41592</v>
      </c>
      <c r="B326" s="15" t="s">
        <v>56</v>
      </c>
      <c r="C326" s="15">
        <v>16</v>
      </c>
    </row>
    <row r="327" spans="1:3" x14ac:dyDescent="0.55000000000000004">
      <c r="A327" s="18">
        <v>41617</v>
      </c>
      <c r="B327" s="15" t="s">
        <v>51</v>
      </c>
      <c r="C327" s="15">
        <v>48</v>
      </c>
    </row>
    <row r="328" spans="1:3" x14ac:dyDescent="0.55000000000000004">
      <c r="A328" s="18">
        <v>41507</v>
      </c>
      <c r="B328" s="15" t="s">
        <v>64</v>
      </c>
      <c r="C328" s="15">
        <v>46</v>
      </c>
    </row>
    <row r="329" spans="1:3" x14ac:dyDescent="0.55000000000000004">
      <c r="A329" s="18">
        <v>41522</v>
      </c>
      <c r="B329" s="15" t="s">
        <v>63</v>
      </c>
      <c r="C329" s="15">
        <v>22</v>
      </c>
    </row>
    <row r="330" spans="1:3" x14ac:dyDescent="0.55000000000000004">
      <c r="A330" s="18">
        <v>41593</v>
      </c>
      <c r="B330" s="15" t="s">
        <v>56</v>
      </c>
      <c r="C330" s="15">
        <v>51</v>
      </c>
    </row>
    <row r="331" spans="1:3" x14ac:dyDescent="0.55000000000000004">
      <c r="A331" s="18">
        <v>41520</v>
      </c>
      <c r="B331" s="15" t="s">
        <v>61</v>
      </c>
      <c r="C331" s="15">
        <v>45</v>
      </c>
    </row>
    <row r="332" spans="1:3" x14ac:dyDescent="0.55000000000000004">
      <c r="A332" s="18">
        <v>41599</v>
      </c>
      <c r="B332" s="15" t="s">
        <v>64</v>
      </c>
      <c r="C332" s="15">
        <v>11</v>
      </c>
    </row>
    <row r="333" spans="1:3" x14ac:dyDescent="0.55000000000000004">
      <c r="A333" s="18">
        <v>41648</v>
      </c>
      <c r="B333" s="15" t="s">
        <v>53</v>
      </c>
      <c r="C333" s="15">
        <v>30</v>
      </c>
    </row>
    <row r="334" spans="1:3" x14ac:dyDescent="0.55000000000000004">
      <c r="A334" s="18">
        <v>41500</v>
      </c>
      <c r="B334" s="15" t="s">
        <v>50</v>
      </c>
      <c r="C334" s="15">
        <v>34</v>
      </c>
    </row>
    <row r="335" spans="1:3" x14ac:dyDescent="0.55000000000000004">
      <c r="A335" s="18">
        <v>41618</v>
      </c>
      <c r="B335" s="15" t="s">
        <v>54</v>
      </c>
      <c r="C335" s="15">
        <v>11</v>
      </c>
    </row>
    <row r="336" spans="1:3" x14ac:dyDescent="0.55000000000000004">
      <c r="A336" s="18">
        <v>41542</v>
      </c>
      <c r="B336" s="15" t="s">
        <v>56</v>
      </c>
      <c r="C336" s="15">
        <v>21</v>
      </c>
    </row>
    <row r="337" spans="1:3" x14ac:dyDescent="0.55000000000000004">
      <c r="A337" s="18">
        <v>41581</v>
      </c>
      <c r="B337" s="15" t="s">
        <v>59</v>
      </c>
      <c r="C337" s="15">
        <v>12</v>
      </c>
    </row>
    <row r="338" spans="1:3" x14ac:dyDescent="0.55000000000000004">
      <c r="A338" s="18">
        <v>41601</v>
      </c>
      <c r="B338" s="15" t="s">
        <v>65</v>
      </c>
      <c r="C338" s="15">
        <v>53</v>
      </c>
    </row>
    <row r="339" spans="1:3" x14ac:dyDescent="0.55000000000000004">
      <c r="A339" s="18">
        <v>41568</v>
      </c>
      <c r="B339" s="15" t="s">
        <v>62</v>
      </c>
      <c r="C339" s="15">
        <v>40</v>
      </c>
    </row>
    <row r="340" spans="1:3" x14ac:dyDescent="0.55000000000000004">
      <c r="A340" s="18">
        <v>41543</v>
      </c>
      <c r="B340" s="15" t="s">
        <v>57</v>
      </c>
      <c r="C340" s="15">
        <v>52</v>
      </c>
    </row>
    <row r="341" spans="1:3" x14ac:dyDescent="0.55000000000000004">
      <c r="A341" s="18">
        <v>41504</v>
      </c>
      <c r="B341" s="15" t="s">
        <v>69</v>
      </c>
      <c r="C341" s="15">
        <v>22</v>
      </c>
    </row>
    <row r="342" spans="1:3" x14ac:dyDescent="0.55000000000000004">
      <c r="A342" s="18">
        <v>41628</v>
      </c>
      <c r="B342" s="15" t="s">
        <v>64</v>
      </c>
      <c r="C342" s="15">
        <v>24</v>
      </c>
    </row>
    <row r="343" spans="1:3" x14ac:dyDescent="0.55000000000000004">
      <c r="A343" s="18">
        <v>41631</v>
      </c>
      <c r="B343" s="15" t="s">
        <v>69</v>
      </c>
      <c r="C343" s="15">
        <v>31</v>
      </c>
    </row>
    <row r="344" spans="1:3" x14ac:dyDescent="0.55000000000000004">
      <c r="A344" s="18">
        <v>41596</v>
      </c>
      <c r="B344" s="15" t="s">
        <v>62</v>
      </c>
      <c r="C344" s="15">
        <v>48</v>
      </c>
    </row>
    <row r="345" spans="1:3" x14ac:dyDescent="0.55000000000000004">
      <c r="A345" s="18">
        <v>41650</v>
      </c>
      <c r="B345" s="15" t="s">
        <v>48</v>
      </c>
      <c r="C345" s="15">
        <v>41</v>
      </c>
    </row>
    <row r="346" spans="1:3" x14ac:dyDescent="0.55000000000000004">
      <c r="A346" s="18">
        <v>41570</v>
      </c>
      <c r="B346" s="15" t="s">
        <v>67</v>
      </c>
      <c r="C346" s="15">
        <v>52</v>
      </c>
    </row>
    <row r="347" spans="1:3" x14ac:dyDescent="0.55000000000000004">
      <c r="A347" s="18">
        <v>41642</v>
      </c>
      <c r="B347" s="15" t="s">
        <v>49</v>
      </c>
      <c r="C347" s="15">
        <v>34</v>
      </c>
    </row>
    <row r="348" spans="1:3" x14ac:dyDescent="0.55000000000000004">
      <c r="A348" s="18">
        <v>41594</v>
      </c>
      <c r="B348" s="15" t="s">
        <v>57</v>
      </c>
      <c r="C348" s="15">
        <v>57</v>
      </c>
    </row>
    <row r="349" spans="1:3" x14ac:dyDescent="0.55000000000000004">
      <c r="A349" s="18">
        <v>41577</v>
      </c>
      <c r="B349" s="15" t="s">
        <v>60</v>
      </c>
      <c r="C349" s="15">
        <v>21</v>
      </c>
    </row>
    <row r="350" spans="1:3" x14ac:dyDescent="0.55000000000000004">
      <c r="A350" s="18">
        <v>41577</v>
      </c>
      <c r="B350" s="15" t="s">
        <v>48</v>
      </c>
      <c r="C350" s="15">
        <v>51</v>
      </c>
    </row>
    <row r="351" spans="1:3" x14ac:dyDescent="0.55000000000000004">
      <c r="A351" s="18">
        <v>41589</v>
      </c>
      <c r="B351" s="15" t="s">
        <v>55</v>
      </c>
      <c r="C351" s="15">
        <v>11</v>
      </c>
    </row>
    <row r="352" spans="1:3" x14ac:dyDescent="0.55000000000000004">
      <c r="A352" s="18">
        <v>41510</v>
      </c>
      <c r="B352" s="15" t="s">
        <v>68</v>
      </c>
      <c r="C352" s="15">
        <v>35</v>
      </c>
    </row>
    <row r="353" spans="1:3" x14ac:dyDescent="0.55000000000000004">
      <c r="A353" s="18">
        <v>41528</v>
      </c>
      <c r="B353" s="15" t="s">
        <v>66</v>
      </c>
      <c r="C353" s="15">
        <v>24</v>
      </c>
    </row>
    <row r="354" spans="1:3" x14ac:dyDescent="0.55000000000000004">
      <c r="A354" s="18">
        <v>41564</v>
      </c>
      <c r="B354" s="15" t="s">
        <v>65</v>
      </c>
      <c r="C354" s="15">
        <v>11</v>
      </c>
    </row>
    <row r="355" spans="1:3" x14ac:dyDescent="0.55000000000000004">
      <c r="A355" s="18">
        <v>41612</v>
      </c>
      <c r="B355" s="15" t="s">
        <v>57</v>
      </c>
      <c r="C355" s="15">
        <v>21</v>
      </c>
    </row>
    <row r="356" spans="1:3" x14ac:dyDescent="0.55000000000000004">
      <c r="A356" s="18">
        <v>41649</v>
      </c>
      <c r="B356" s="15" t="s">
        <v>48</v>
      </c>
      <c r="C356" s="15">
        <v>22</v>
      </c>
    </row>
    <row r="357" spans="1:3" x14ac:dyDescent="0.55000000000000004">
      <c r="A357" s="18">
        <v>41602</v>
      </c>
      <c r="B357" s="15" t="s">
        <v>52</v>
      </c>
      <c r="C357" s="15">
        <v>28</v>
      </c>
    </row>
    <row r="358" spans="1:3" x14ac:dyDescent="0.55000000000000004">
      <c r="A358" s="18">
        <v>41520</v>
      </c>
      <c r="B358" s="15" t="s">
        <v>59</v>
      </c>
      <c r="C358" s="15">
        <v>28</v>
      </c>
    </row>
    <row r="359" spans="1:3" x14ac:dyDescent="0.55000000000000004">
      <c r="A359" s="18">
        <v>41647</v>
      </c>
      <c r="B359" s="15" t="s">
        <v>53</v>
      </c>
      <c r="C359" s="15">
        <v>22</v>
      </c>
    </row>
    <row r="360" spans="1:3" x14ac:dyDescent="0.55000000000000004">
      <c r="A360" s="18">
        <v>41645</v>
      </c>
      <c r="B360" s="15" t="s">
        <v>45</v>
      </c>
      <c r="C360" s="15">
        <v>12</v>
      </c>
    </row>
    <row r="361" spans="1:3" x14ac:dyDescent="0.55000000000000004">
      <c r="A361" s="18">
        <v>41584</v>
      </c>
      <c r="B361" s="15" t="s">
        <v>58</v>
      </c>
      <c r="C361" s="15">
        <v>11</v>
      </c>
    </row>
    <row r="362" spans="1:3" x14ac:dyDescent="0.55000000000000004">
      <c r="A362" s="18">
        <v>41523</v>
      </c>
      <c r="B362" s="15" t="s">
        <v>45</v>
      </c>
      <c r="C362" s="15">
        <v>15</v>
      </c>
    </row>
    <row r="363" spans="1:3" x14ac:dyDescent="0.55000000000000004">
      <c r="A363" s="18">
        <v>41555</v>
      </c>
      <c r="B363" s="15" t="s">
        <v>69</v>
      </c>
      <c r="C363" s="15">
        <v>41</v>
      </c>
    </row>
    <row r="364" spans="1:3" x14ac:dyDescent="0.55000000000000004">
      <c r="A364" s="18">
        <v>41600</v>
      </c>
      <c r="B364" s="15" t="s">
        <v>46</v>
      </c>
      <c r="C364" s="15">
        <v>36</v>
      </c>
    </row>
    <row r="365" spans="1:3" x14ac:dyDescent="0.55000000000000004">
      <c r="A365" s="18">
        <v>41630</v>
      </c>
      <c r="B365" s="15" t="s">
        <v>67</v>
      </c>
      <c r="C365" s="15">
        <v>39</v>
      </c>
    </row>
    <row r="366" spans="1:3" x14ac:dyDescent="0.55000000000000004">
      <c r="A366" s="18">
        <v>41618</v>
      </c>
      <c r="B366" s="15" t="s">
        <v>46</v>
      </c>
      <c r="C366" s="15">
        <v>10</v>
      </c>
    </row>
    <row r="367" spans="1:3" x14ac:dyDescent="0.55000000000000004">
      <c r="A367" s="18">
        <v>41586</v>
      </c>
      <c r="B367" s="15" t="s">
        <v>50</v>
      </c>
      <c r="C367" s="15">
        <v>34</v>
      </c>
    </row>
    <row r="368" spans="1:3" x14ac:dyDescent="0.55000000000000004">
      <c r="A368" s="18">
        <v>41577</v>
      </c>
      <c r="B368" s="15" t="s">
        <v>47</v>
      </c>
      <c r="C368" s="15">
        <v>15</v>
      </c>
    </row>
    <row r="369" spans="1:3" x14ac:dyDescent="0.55000000000000004">
      <c r="A369" s="18">
        <v>41575</v>
      </c>
      <c r="B369" s="15" t="s">
        <v>45</v>
      </c>
      <c r="C369" s="15">
        <v>24</v>
      </c>
    </row>
    <row r="370" spans="1:3" x14ac:dyDescent="0.55000000000000004">
      <c r="A370" s="18">
        <v>41595</v>
      </c>
      <c r="B370" s="15" t="s">
        <v>50</v>
      </c>
      <c r="C370" s="15">
        <v>56</v>
      </c>
    </row>
    <row r="371" spans="1:3" x14ac:dyDescent="0.55000000000000004">
      <c r="A371" s="18">
        <v>41621</v>
      </c>
      <c r="B371" s="15" t="s">
        <v>60</v>
      </c>
      <c r="C371" s="15">
        <v>27</v>
      </c>
    </row>
    <row r="372" spans="1:3" x14ac:dyDescent="0.55000000000000004">
      <c r="A372" s="18">
        <v>41612</v>
      </c>
      <c r="B372" s="15" t="s">
        <v>48</v>
      </c>
      <c r="C372" s="15">
        <v>16</v>
      </c>
    </row>
    <row r="373" spans="1:3" x14ac:dyDescent="0.55000000000000004">
      <c r="A373" s="18">
        <v>41605</v>
      </c>
      <c r="B373" s="15" t="s">
        <v>47</v>
      </c>
      <c r="C373" s="15">
        <v>32</v>
      </c>
    </row>
    <row r="374" spans="1:3" x14ac:dyDescent="0.55000000000000004">
      <c r="A374" s="18">
        <v>41543</v>
      </c>
      <c r="B374" s="15" t="s">
        <v>61</v>
      </c>
      <c r="C374" s="15">
        <v>49</v>
      </c>
    </row>
    <row r="375" spans="1:3" x14ac:dyDescent="0.55000000000000004">
      <c r="A375" s="18">
        <v>41614</v>
      </c>
      <c r="B375" s="15" t="s">
        <v>60</v>
      </c>
      <c r="C375" s="15">
        <v>23</v>
      </c>
    </row>
    <row r="376" spans="1:3" x14ac:dyDescent="0.55000000000000004">
      <c r="A376" s="18">
        <v>41636</v>
      </c>
      <c r="B376" s="15" t="s">
        <v>51</v>
      </c>
      <c r="C376" s="15">
        <v>10</v>
      </c>
    </row>
    <row r="377" spans="1:3" x14ac:dyDescent="0.55000000000000004">
      <c r="A377" s="18">
        <v>41592</v>
      </c>
      <c r="B377" s="15" t="s">
        <v>58</v>
      </c>
      <c r="C377" s="15">
        <v>59</v>
      </c>
    </row>
    <row r="378" spans="1:3" x14ac:dyDescent="0.55000000000000004">
      <c r="A378" s="18">
        <v>41566</v>
      </c>
      <c r="B378" s="15" t="s">
        <v>54</v>
      </c>
      <c r="C378" s="15">
        <v>51</v>
      </c>
    </row>
    <row r="379" spans="1:3" x14ac:dyDescent="0.55000000000000004">
      <c r="A379" s="18">
        <v>41588</v>
      </c>
      <c r="B379" s="15" t="s">
        <v>62</v>
      </c>
      <c r="C379" s="15">
        <v>18</v>
      </c>
    </row>
    <row r="380" spans="1:3" x14ac:dyDescent="0.55000000000000004">
      <c r="A380" s="18">
        <v>41572</v>
      </c>
      <c r="B380" s="15" t="s">
        <v>45</v>
      </c>
      <c r="C380" s="15">
        <v>36</v>
      </c>
    </row>
    <row r="381" spans="1:3" x14ac:dyDescent="0.55000000000000004">
      <c r="A381" s="18">
        <v>41598</v>
      </c>
      <c r="B381" s="15" t="s">
        <v>64</v>
      </c>
      <c r="C381" s="15">
        <v>43</v>
      </c>
    </row>
    <row r="382" spans="1:3" x14ac:dyDescent="0.55000000000000004">
      <c r="A382" s="18">
        <v>41519</v>
      </c>
      <c r="B382" s="15" t="s">
        <v>64</v>
      </c>
      <c r="C382" s="15">
        <v>55</v>
      </c>
    </row>
    <row r="383" spans="1:3" x14ac:dyDescent="0.55000000000000004">
      <c r="A383" s="18">
        <v>41534</v>
      </c>
      <c r="B383" s="15" t="s">
        <v>54</v>
      </c>
      <c r="C383" s="15">
        <v>50</v>
      </c>
    </row>
    <row r="384" spans="1:3" x14ac:dyDescent="0.55000000000000004">
      <c r="A384" s="18">
        <v>41634</v>
      </c>
      <c r="B384" s="15" t="s">
        <v>61</v>
      </c>
      <c r="C384" s="15">
        <v>49</v>
      </c>
    </row>
    <row r="385" spans="1:3" x14ac:dyDescent="0.55000000000000004">
      <c r="A385" s="18">
        <v>41616</v>
      </c>
      <c r="B385" s="15" t="s">
        <v>52</v>
      </c>
      <c r="C385" s="15">
        <v>34</v>
      </c>
    </row>
    <row r="386" spans="1:3" x14ac:dyDescent="0.55000000000000004">
      <c r="A386" s="18">
        <v>41505</v>
      </c>
      <c r="B386" s="15" t="s">
        <v>45</v>
      </c>
      <c r="C386" s="15">
        <v>43</v>
      </c>
    </row>
    <row r="387" spans="1:3" x14ac:dyDescent="0.55000000000000004">
      <c r="A387" s="18">
        <v>41576</v>
      </c>
      <c r="B387" s="15" t="s">
        <v>68</v>
      </c>
      <c r="C387" s="15">
        <v>50</v>
      </c>
    </row>
    <row r="388" spans="1:3" x14ac:dyDescent="0.55000000000000004">
      <c r="A388" s="18">
        <v>41639</v>
      </c>
      <c r="B388" s="15" t="s">
        <v>52</v>
      </c>
      <c r="C388" s="15">
        <v>42</v>
      </c>
    </row>
    <row r="389" spans="1:3" x14ac:dyDescent="0.55000000000000004">
      <c r="A389" s="18">
        <v>41560</v>
      </c>
      <c r="B389" s="15" t="s">
        <v>59</v>
      </c>
      <c r="C389" s="15">
        <v>40</v>
      </c>
    </row>
    <row r="390" spans="1:3" x14ac:dyDescent="0.55000000000000004">
      <c r="A390" s="18">
        <v>41607</v>
      </c>
      <c r="B390" s="15" t="s">
        <v>45</v>
      </c>
      <c r="C390" s="15">
        <v>48</v>
      </c>
    </row>
    <row r="391" spans="1:3" x14ac:dyDescent="0.55000000000000004">
      <c r="A391" s="18">
        <v>41638</v>
      </c>
      <c r="B391" s="15" t="s">
        <v>69</v>
      </c>
      <c r="C391" s="15">
        <v>59</v>
      </c>
    </row>
    <row r="392" spans="1:3" x14ac:dyDescent="0.55000000000000004">
      <c r="A392" s="18">
        <v>41520</v>
      </c>
      <c r="B392" s="15" t="s">
        <v>54</v>
      </c>
      <c r="C392" s="15">
        <v>55</v>
      </c>
    </row>
    <row r="393" spans="1:3" x14ac:dyDescent="0.55000000000000004">
      <c r="A393" s="18">
        <v>41584</v>
      </c>
      <c r="B393" s="15" t="s">
        <v>64</v>
      </c>
      <c r="C393" s="15">
        <v>25</v>
      </c>
    </row>
    <row r="394" spans="1:3" x14ac:dyDescent="0.55000000000000004">
      <c r="A394" s="18">
        <v>41648</v>
      </c>
      <c r="B394" s="15" t="s">
        <v>57</v>
      </c>
      <c r="C394" s="15">
        <v>39</v>
      </c>
    </row>
    <row r="395" spans="1:3" x14ac:dyDescent="0.55000000000000004">
      <c r="A395" s="18">
        <v>41588</v>
      </c>
      <c r="B395" s="15" t="s">
        <v>46</v>
      </c>
      <c r="C395" s="15">
        <v>54</v>
      </c>
    </row>
    <row r="396" spans="1:3" x14ac:dyDescent="0.55000000000000004">
      <c r="A396" s="18">
        <v>41511</v>
      </c>
      <c r="B396" s="15" t="s">
        <v>46</v>
      </c>
      <c r="C396" s="15">
        <v>59</v>
      </c>
    </row>
    <row r="397" spans="1:3" x14ac:dyDescent="0.55000000000000004">
      <c r="A397" s="18">
        <v>41506</v>
      </c>
      <c r="B397" s="15" t="s">
        <v>49</v>
      </c>
      <c r="C397" s="15">
        <v>42</v>
      </c>
    </row>
    <row r="398" spans="1:3" x14ac:dyDescent="0.55000000000000004">
      <c r="A398" s="18">
        <v>41573</v>
      </c>
      <c r="B398" s="15" t="s">
        <v>50</v>
      </c>
      <c r="C398" s="15">
        <v>35</v>
      </c>
    </row>
    <row r="399" spans="1:3" x14ac:dyDescent="0.55000000000000004">
      <c r="A399" s="18">
        <v>41589</v>
      </c>
      <c r="B399" s="15" t="s">
        <v>49</v>
      </c>
      <c r="C399" s="15">
        <v>46</v>
      </c>
    </row>
    <row r="400" spans="1:3" x14ac:dyDescent="0.55000000000000004">
      <c r="A400" s="18">
        <v>41508</v>
      </c>
      <c r="B400" s="15" t="s">
        <v>49</v>
      </c>
      <c r="C400" s="15">
        <v>32</v>
      </c>
    </row>
    <row r="401" spans="1:3" x14ac:dyDescent="0.55000000000000004">
      <c r="A401" s="18">
        <v>41637</v>
      </c>
      <c r="B401" s="15" t="s">
        <v>62</v>
      </c>
      <c r="C401" s="15">
        <v>34</v>
      </c>
    </row>
    <row r="402" spans="1:3" x14ac:dyDescent="0.55000000000000004">
      <c r="A402" s="18">
        <v>41630</v>
      </c>
      <c r="B402" s="15" t="s">
        <v>63</v>
      </c>
      <c r="C402" s="15">
        <v>26</v>
      </c>
    </row>
    <row r="403" spans="1:3" x14ac:dyDescent="0.55000000000000004">
      <c r="A403" s="18">
        <v>41625</v>
      </c>
      <c r="B403" s="15" t="s">
        <v>56</v>
      </c>
      <c r="C403" s="15">
        <v>26</v>
      </c>
    </row>
    <row r="404" spans="1:3" x14ac:dyDescent="0.55000000000000004">
      <c r="A404" s="18">
        <v>41517</v>
      </c>
      <c r="B404" s="15" t="s">
        <v>52</v>
      </c>
      <c r="C404" s="15">
        <v>31</v>
      </c>
    </row>
    <row r="405" spans="1:3" x14ac:dyDescent="0.55000000000000004">
      <c r="A405" s="18">
        <v>41585</v>
      </c>
      <c r="B405" s="15" t="s">
        <v>50</v>
      </c>
      <c r="C405" s="15">
        <v>22</v>
      </c>
    </row>
    <row r="406" spans="1:3" x14ac:dyDescent="0.55000000000000004">
      <c r="A406" s="18">
        <v>41630</v>
      </c>
      <c r="B406" s="15" t="s">
        <v>54</v>
      </c>
      <c r="C406" s="15">
        <v>43</v>
      </c>
    </row>
    <row r="407" spans="1:3" x14ac:dyDescent="0.55000000000000004">
      <c r="A407" s="18">
        <v>41521</v>
      </c>
      <c r="B407" s="15" t="s">
        <v>45</v>
      </c>
      <c r="C407" s="15">
        <v>53</v>
      </c>
    </row>
    <row r="408" spans="1:3" x14ac:dyDescent="0.55000000000000004">
      <c r="A408" s="18">
        <v>41648</v>
      </c>
      <c r="B408" s="15" t="s">
        <v>65</v>
      </c>
      <c r="C408" s="15">
        <v>54</v>
      </c>
    </row>
    <row r="409" spans="1:3" x14ac:dyDescent="0.55000000000000004">
      <c r="A409" s="18">
        <v>41513</v>
      </c>
      <c r="B409" s="15" t="s">
        <v>64</v>
      </c>
      <c r="C409" s="15">
        <v>26</v>
      </c>
    </row>
    <row r="410" spans="1:3" x14ac:dyDescent="0.55000000000000004">
      <c r="A410" s="18">
        <v>41640</v>
      </c>
      <c r="B410" s="15" t="s">
        <v>67</v>
      </c>
      <c r="C410" s="15">
        <v>19</v>
      </c>
    </row>
    <row r="411" spans="1:3" x14ac:dyDescent="0.55000000000000004">
      <c r="A411" s="18">
        <v>41592</v>
      </c>
      <c r="B411" s="15" t="s">
        <v>53</v>
      </c>
      <c r="C411" s="15">
        <v>15</v>
      </c>
    </row>
    <row r="412" spans="1:3" x14ac:dyDescent="0.55000000000000004">
      <c r="A412" s="18">
        <v>41571</v>
      </c>
      <c r="B412" s="15" t="s">
        <v>61</v>
      </c>
      <c r="C412" s="15">
        <v>48</v>
      </c>
    </row>
    <row r="413" spans="1:3" x14ac:dyDescent="0.55000000000000004">
      <c r="A413" s="18">
        <v>41566</v>
      </c>
      <c r="B413" s="15" t="s">
        <v>65</v>
      </c>
      <c r="C413" s="15">
        <v>53</v>
      </c>
    </row>
    <row r="414" spans="1:3" x14ac:dyDescent="0.55000000000000004">
      <c r="A414" s="18">
        <v>41559</v>
      </c>
      <c r="B414" s="15" t="s">
        <v>67</v>
      </c>
      <c r="C414" s="15">
        <v>40</v>
      </c>
    </row>
    <row r="415" spans="1:3" x14ac:dyDescent="0.55000000000000004">
      <c r="A415" s="18">
        <v>41617</v>
      </c>
      <c r="B415" s="15" t="s">
        <v>56</v>
      </c>
      <c r="C415" s="15">
        <v>27</v>
      </c>
    </row>
    <row r="416" spans="1:3" x14ac:dyDescent="0.55000000000000004">
      <c r="A416" s="18">
        <v>41530</v>
      </c>
      <c r="B416" s="15" t="s">
        <v>66</v>
      </c>
      <c r="C416" s="15">
        <v>53</v>
      </c>
    </row>
    <row r="417" spans="1:3" x14ac:dyDescent="0.55000000000000004">
      <c r="A417" s="18">
        <v>41555</v>
      </c>
      <c r="B417" s="15" t="s">
        <v>65</v>
      </c>
      <c r="C417" s="15">
        <v>29</v>
      </c>
    </row>
    <row r="418" spans="1:3" x14ac:dyDescent="0.55000000000000004">
      <c r="A418" s="18">
        <v>41508</v>
      </c>
      <c r="B418" s="15" t="s">
        <v>50</v>
      </c>
      <c r="C418" s="15">
        <v>19</v>
      </c>
    </row>
    <row r="419" spans="1:3" x14ac:dyDescent="0.55000000000000004">
      <c r="A419" s="18">
        <v>41617</v>
      </c>
      <c r="B419" s="15" t="s">
        <v>46</v>
      </c>
      <c r="C419" s="15">
        <v>15</v>
      </c>
    </row>
    <row r="420" spans="1:3" x14ac:dyDescent="0.55000000000000004">
      <c r="A420" s="18">
        <v>41627</v>
      </c>
      <c r="B420" s="15" t="s">
        <v>68</v>
      </c>
      <c r="C420" s="15">
        <v>31</v>
      </c>
    </row>
    <row r="421" spans="1:3" x14ac:dyDescent="0.55000000000000004">
      <c r="A421" s="18">
        <v>41513</v>
      </c>
      <c r="B421" s="15" t="s">
        <v>48</v>
      </c>
      <c r="C421" s="15">
        <v>20</v>
      </c>
    </row>
    <row r="422" spans="1:3" x14ac:dyDescent="0.55000000000000004">
      <c r="A422" s="18">
        <v>41546</v>
      </c>
      <c r="B422" s="15" t="s">
        <v>65</v>
      </c>
      <c r="C422" s="15">
        <v>15</v>
      </c>
    </row>
    <row r="423" spans="1:3" x14ac:dyDescent="0.55000000000000004">
      <c r="A423" s="18">
        <v>41548</v>
      </c>
      <c r="B423" s="15" t="s">
        <v>60</v>
      </c>
      <c r="C423" s="15">
        <v>50</v>
      </c>
    </row>
    <row r="424" spans="1:3" x14ac:dyDescent="0.55000000000000004">
      <c r="A424" s="18">
        <v>41533</v>
      </c>
      <c r="B424" s="15" t="s">
        <v>56</v>
      </c>
      <c r="C424" s="15">
        <v>16</v>
      </c>
    </row>
    <row r="425" spans="1:3" x14ac:dyDescent="0.55000000000000004">
      <c r="A425" s="18">
        <v>41582</v>
      </c>
      <c r="B425" s="15" t="s">
        <v>56</v>
      </c>
      <c r="C425" s="15">
        <v>10</v>
      </c>
    </row>
    <row r="426" spans="1:3" x14ac:dyDescent="0.55000000000000004">
      <c r="A426" s="18">
        <v>41530</v>
      </c>
      <c r="B426" s="15" t="s">
        <v>58</v>
      </c>
      <c r="C426" s="15">
        <v>36</v>
      </c>
    </row>
    <row r="427" spans="1:3" x14ac:dyDescent="0.55000000000000004">
      <c r="A427" s="18">
        <v>41533</v>
      </c>
      <c r="B427" s="15" t="s">
        <v>69</v>
      </c>
      <c r="C427" s="15">
        <v>24</v>
      </c>
    </row>
    <row r="428" spans="1:3" x14ac:dyDescent="0.55000000000000004">
      <c r="A428" s="18">
        <v>41617</v>
      </c>
      <c r="B428" s="15" t="s">
        <v>51</v>
      </c>
      <c r="C428" s="15">
        <v>18</v>
      </c>
    </row>
    <row r="429" spans="1:3" x14ac:dyDescent="0.55000000000000004">
      <c r="A429" s="18">
        <v>41633</v>
      </c>
      <c r="B429" s="15" t="s">
        <v>57</v>
      </c>
      <c r="C429" s="15">
        <v>53</v>
      </c>
    </row>
    <row r="430" spans="1:3" x14ac:dyDescent="0.55000000000000004">
      <c r="A430" s="18">
        <v>41604</v>
      </c>
      <c r="B430" s="15" t="s">
        <v>66</v>
      </c>
      <c r="C430" s="15">
        <v>58</v>
      </c>
    </row>
    <row r="431" spans="1:3" x14ac:dyDescent="0.55000000000000004">
      <c r="A431" s="18">
        <v>41501</v>
      </c>
      <c r="B431" s="15" t="s">
        <v>51</v>
      </c>
      <c r="C431" s="15">
        <v>45</v>
      </c>
    </row>
    <row r="432" spans="1:3" x14ac:dyDescent="0.55000000000000004">
      <c r="A432" s="18">
        <v>41643</v>
      </c>
      <c r="B432" s="15" t="s">
        <v>56</v>
      </c>
      <c r="C432" s="15">
        <v>32</v>
      </c>
    </row>
    <row r="433" spans="1:3" x14ac:dyDescent="0.55000000000000004">
      <c r="A433" s="18">
        <v>41610</v>
      </c>
      <c r="B433" s="15" t="s">
        <v>51</v>
      </c>
      <c r="C433" s="15">
        <v>28</v>
      </c>
    </row>
    <row r="434" spans="1:3" x14ac:dyDescent="0.55000000000000004">
      <c r="A434" s="18">
        <v>41609</v>
      </c>
      <c r="B434" s="15" t="s">
        <v>62</v>
      </c>
      <c r="C434" s="15">
        <v>17</v>
      </c>
    </row>
    <row r="435" spans="1:3" x14ac:dyDescent="0.55000000000000004">
      <c r="A435" s="18">
        <v>41550</v>
      </c>
      <c r="B435" s="15" t="s">
        <v>65</v>
      </c>
      <c r="C435" s="15">
        <v>24</v>
      </c>
    </row>
    <row r="436" spans="1:3" x14ac:dyDescent="0.55000000000000004">
      <c r="A436" s="18">
        <v>41593</v>
      </c>
      <c r="B436" s="15" t="s">
        <v>63</v>
      </c>
      <c r="C436" s="15">
        <v>59</v>
      </c>
    </row>
    <row r="437" spans="1:3" x14ac:dyDescent="0.55000000000000004">
      <c r="A437" s="18">
        <v>41530</v>
      </c>
      <c r="B437" s="15" t="s">
        <v>47</v>
      </c>
      <c r="C437" s="15">
        <v>10</v>
      </c>
    </row>
    <row r="438" spans="1:3" x14ac:dyDescent="0.55000000000000004">
      <c r="A438" s="18">
        <v>41553</v>
      </c>
      <c r="B438" s="15" t="s">
        <v>49</v>
      </c>
      <c r="C438" s="15">
        <v>12</v>
      </c>
    </row>
    <row r="439" spans="1:3" x14ac:dyDescent="0.55000000000000004">
      <c r="A439" s="18">
        <v>41610</v>
      </c>
      <c r="B439" s="15" t="s">
        <v>67</v>
      </c>
      <c r="C439" s="15">
        <v>38</v>
      </c>
    </row>
    <row r="440" spans="1:3" x14ac:dyDescent="0.55000000000000004">
      <c r="A440" s="18">
        <v>41503</v>
      </c>
      <c r="B440" s="15" t="s">
        <v>65</v>
      </c>
      <c r="C440" s="15">
        <v>13</v>
      </c>
    </row>
    <row r="441" spans="1:3" x14ac:dyDescent="0.55000000000000004">
      <c r="A441" s="18">
        <v>41590</v>
      </c>
      <c r="B441" s="15" t="s">
        <v>63</v>
      </c>
      <c r="C441" s="15">
        <v>13</v>
      </c>
    </row>
    <row r="442" spans="1:3" x14ac:dyDescent="0.55000000000000004">
      <c r="A442" s="18">
        <v>41646</v>
      </c>
      <c r="B442" s="15" t="s">
        <v>66</v>
      </c>
      <c r="C442" s="15">
        <v>29</v>
      </c>
    </row>
    <row r="443" spans="1:3" x14ac:dyDescent="0.55000000000000004">
      <c r="A443" s="18">
        <v>41562</v>
      </c>
      <c r="B443" s="15" t="s">
        <v>53</v>
      </c>
      <c r="C443" s="15">
        <v>34</v>
      </c>
    </row>
    <row r="444" spans="1:3" x14ac:dyDescent="0.55000000000000004">
      <c r="A444" s="18">
        <v>41565</v>
      </c>
      <c r="B444" s="15" t="s">
        <v>53</v>
      </c>
      <c r="C444" s="15">
        <v>13</v>
      </c>
    </row>
    <row r="445" spans="1:3" x14ac:dyDescent="0.55000000000000004">
      <c r="A445" s="18">
        <v>41539</v>
      </c>
      <c r="B445" s="15" t="s">
        <v>62</v>
      </c>
      <c r="C445" s="15">
        <v>44</v>
      </c>
    </row>
    <row r="446" spans="1:3" x14ac:dyDescent="0.55000000000000004">
      <c r="A446" s="18">
        <v>41514</v>
      </c>
      <c r="B446" s="15" t="s">
        <v>54</v>
      </c>
      <c r="C446" s="15">
        <v>51</v>
      </c>
    </row>
    <row r="447" spans="1:3" x14ac:dyDescent="0.55000000000000004">
      <c r="A447" s="18">
        <v>41604</v>
      </c>
      <c r="B447" s="15" t="s">
        <v>65</v>
      </c>
      <c r="C447" s="15">
        <v>33</v>
      </c>
    </row>
    <row r="448" spans="1:3" x14ac:dyDescent="0.55000000000000004">
      <c r="A448" s="18">
        <v>41519</v>
      </c>
      <c r="B448" s="15" t="s">
        <v>54</v>
      </c>
      <c r="C448" s="15">
        <v>52</v>
      </c>
    </row>
    <row r="449" spans="1:3" x14ac:dyDescent="0.55000000000000004">
      <c r="A449" s="18">
        <v>41560</v>
      </c>
      <c r="B449" s="15" t="s">
        <v>58</v>
      </c>
      <c r="C449" s="15">
        <v>23</v>
      </c>
    </row>
    <row r="450" spans="1:3" x14ac:dyDescent="0.55000000000000004">
      <c r="A450" s="18">
        <v>41624</v>
      </c>
      <c r="B450" s="15" t="s">
        <v>45</v>
      </c>
      <c r="C450" s="15">
        <v>29</v>
      </c>
    </row>
    <row r="451" spans="1:3" x14ac:dyDescent="0.55000000000000004">
      <c r="A451" s="18">
        <v>41599</v>
      </c>
      <c r="B451" s="15" t="s">
        <v>60</v>
      </c>
      <c r="C451" s="15">
        <v>30</v>
      </c>
    </row>
    <row r="452" spans="1:3" x14ac:dyDescent="0.55000000000000004">
      <c r="A452" s="18">
        <v>41605</v>
      </c>
      <c r="B452" s="15" t="s">
        <v>52</v>
      </c>
      <c r="C452" s="15">
        <v>35</v>
      </c>
    </row>
    <row r="453" spans="1:3" x14ac:dyDescent="0.55000000000000004">
      <c r="A453" s="18">
        <v>41509</v>
      </c>
      <c r="B453" s="15" t="s">
        <v>64</v>
      </c>
      <c r="C453" s="15">
        <v>59</v>
      </c>
    </row>
    <row r="454" spans="1:3" x14ac:dyDescent="0.55000000000000004">
      <c r="A454" s="18">
        <v>41576</v>
      </c>
      <c r="B454" s="15" t="s">
        <v>64</v>
      </c>
      <c r="C454" s="15">
        <v>39</v>
      </c>
    </row>
    <row r="455" spans="1:3" x14ac:dyDescent="0.55000000000000004">
      <c r="A455" s="18">
        <v>41580</v>
      </c>
      <c r="B455" s="15" t="s">
        <v>60</v>
      </c>
      <c r="C455" s="15">
        <v>35</v>
      </c>
    </row>
    <row r="456" spans="1:3" x14ac:dyDescent="0.55000000000000004">
      <c r="A456" s="18">
        <v>41622</v>
      </c>
      <c r="B456" s="15" t="s">
        <v>65</v>
      </c>
      <c r="C456" s="15">
        <v>13</v>
      </c>
    </row>
    <row r="457" spans="1:3" x14ac:dyDescent="0.55000000000000004">
      <c r="A457" s="18">
        <v>41579</v>
      </c>
      <c r="B457" s="15" t="s">
        <v>52</v>
      </c>
      <c r="C457" s="15">
        <v>43</v>
      </c>
    </row>
    <row r="458" spans="1:3" x14ac:dyDescent="0.55000000000000004">
      <c r="A458" s="18">
        <v>41541</v>
      </c>
      <c r="B458" s="15" t="s">
        <v>68</v>
      </c>
      <c r="C458" s="15">
        <v>50</v>
      </c>
    </row>
    <row r="459" spans="1:3" x14ac:dyDescent="0.55000000000000004">
      <c r="A459" s="18">
        <v>41539</v>
      </c>
      <c r="B459" s="15" t="s">
        <v>48</v>
      </c>
      <c r="C459" s="15">
        <v>21</v>
      </c>
    </row>
    <row r="460" spans="1:3" x14ac:dyDescent="0.55000000000000004">
      <c r="A460" s="18">
        <v>41516</v>
      </c>
      <c r="B460" s="15" t="s">
        <v>55</v>
      </c>
      <c r="C460" s="15">
        <v>46</v>
      </c>
    </row>
    <row r="461" spans="1:3" x14ac:dyDescent="0.55000000000000004">
      <c r="A461" s="18">
        <v>41567</v>
      </c>
      <c r="B461" s="15" t="s">
        <v>50</v>
      </c>
      <c r="C461" s="15">
        <v>55</v>
      </c>
    </row>
    <row r="462" spans="1:3" x14ac:dyDescent="0.55000000000000004">
      <c r="A462" s="18">
        <v>41523</v>
      </c>
      <c r="B462" s="15" t="s">
        <v>69</v>
      </c>
      <c r="C462" s="15">
        <v>20</v>
      </c>
    </row>
    <row r="463" spans="1:3" x14ac:dyDescent="0.55000000000000004">
      <c r="A463" s="18">
        <v>41635</v>
      </c>
      <c r="B463" s="15" t="s">
        <v>65</v>
      </c>
      <c r="C463" s="15">
        <v>50</v>
      </c>
    </row>
    <row r="464" spans="1:3" x14ac:dyDescent="0.55000000000000004">
      <c r="A464" s="18">
        <v>41585</v>
      </c>
      <c r="B464" s="15" t="s">
        <v>68</v>
      </c>
      <c r="C464" s="15">
        <v>31</v>
      </c>
    </row>
    <row r="465" spans="1:3" x14ac:dyDescent="0.55000000000000004">
      <c r="A465" s="18">
        <v>41537</v>
      </c>
      <c r="B465" s="15" t="s">
        <v>62</v>
      </c>
      <c r="C465" s="15">
        <v>20</v>
      </c>
    </row>
    <row r="466" spans="1:3" x14ac:dyDescent="0.55000000000000004">
      <c r="A466" s="18">
        <v>41595</v>
      </c>
      <c r="B466" s="15" t="s">
        <v>46</v>
      </c>
      <c r="C466" s="15">
        <v>58</v>
      </c>
    </row>
    <row r="467" spans="1:3" x14ac:dyDescent="0.55000000000000004">
      <c r="A467" s="18">
        <v>41530</v>
      </c>
      <c r="B467" s="15" t="s">
        <v>62</v>
      </c>
      <c r="C467" s="15">
        <v>35</v>
      </c>
    </row>
    <row r="468" spans="1:3" x14ac:dyDescent="0.55000000000000004">
      <c r="A468" s="18">
        <v>41556</v>
      </c>
      <c r="B468" s="15" t="s">
        <v>56</v>
      </c>
      <c r="C468" s="15">
        <v>50</v>
      </c>
    </row>
    <row r="469" spans="1:3" x14ac:dyDescent="0.55000000000000004">
      <c r="A469" s="18">
        <v>41631</v>
      </c>
      <c r="B469" s="15" t="s">
        <v>52</v>
      </c>
      <c r="C469" s="15">
        <v>59</v>
      </c>
    </row>
    <row r="470" spans="1:3" x14ac:dyDescent="0.55000000000000004">
      <c r="A470" s="18">
        <v>41567</v>
      </c>
      <c r="B470" s="15" t="s">
        <v>47</v>
      </c>
      <c r="C470" s="15">
        <v>18</v>
      </c>
    </row>
    <row r="471" spans="1:3" x14ac:dyDescent="0.55000000000000004">
      <c r="A471" s="18">
        <v>41624</v>
      </c>
      <c r="B471" s="15" t="s">
        <v>50</v>
      </c>
      <c r="C471" s="15">
        <v>34</v>
      </c>
    </row>
    <row r="472" spans="1:3" x14ac:dyDescent="0.55000000000000004">
      <c r="A472" s="18">
        <v>41636</v>
      </c>
      <c r="B472" s="15" t="s">
        <v>55</v>
      </c>
      <c r="C472" s="15">
        <v>47</v>
      </c>
    </row>
    <row r="473" spans="1:3" x14ac:dyDescent="0.55000000000000004">
      <c r="A473" s="18">
        <v>41619</v>
      </c>
      <c r="B473" s="15" t="s">
        <v>57</v>
      </c>
      <c r="C473" s="15">
        <v>33</v>
      </c>
    </row>
    <row r="474" spans="1:3" x14ac:dyDescent="0.55000000000000004">
      <c r="A474" s="18">
        <v>41516</v>
      </c>
      <c r="B474" s="15" t="s">
        <v>64</v>
      </c>
      <c r="C474" s="15">
        <v>19</v>
      </c>
    </row>
    <row r="475" spans="1:3" x14ac:dyDescent="0.55000000000000004">
      <c r="A475" s="18">
        <v>41544</v>
      </c>
      <c r="B475" s="15" t="s">
        <v>68</v>
      </c>
      <c r="C475" s="15">
        <v>59</v>
      </c>
    </row>
    <row r="476" spans="1:3" x14ac:dyDescent="0.55000000000000004">
      <c r="A476" s="18">
        <v>41637</v>
      </c>
      <c r="B476" s="15" t="s">
        <v>61</v>
      </c>
      <c r="C476" s="15">
        <v>16</v>
      </c>
    </row>
    <row r="477" spans="1:3" x14ac:dyDescent="0.55000000000000004">
      <c r="A477" s="18">
        <v>41507</v>
      </c>
      <c r="B477" s="15" t="s">
        <v>46</v>
      </c>
      <c r="C477" s="15">
        <v>43</v>
      </c>
    </row>
    <row r="478" spans="1:3" x14ac:dyDescent="0.55000000000000004">
      <c r="A478" s="18">
        <v>41546</v>
      </c>
      <c r="B478" s="15" t="s">
        <v>48</v>
      </c>
      <c r="C478" s="15">
        <v>58</v>
      </c>
    </row>
    <row r="479" spans="1:3" x14ac:dyDescent="0.55000000000000004">
      <c r="A479" s="18">
        <v>41560</v>
      </c>
      <c r="B479" s="15" t="s">
        <v>55</v>
      </c>
      <c r="C479" s="15">
        <v>38</v>
      </c>
    </row>
    <row r="480" spans="1:3" x14ac:dyDescent="0.55000000000000004">
      <c r="A480" s="18">
        <v>41575</v>
      </c>
      <c r="B480" s="15" t="s">
        <v>63</v>
      </c>
      <c r="C480" s="15">
        <v>56</v>
      </c>
    </row>
    <row r="481" spans="1:3" x14ac:dyDescent="0.55000000000000004">
      <c r="A481" s="18">
        <v>41585</v>
      </c>
      <c r="B481" s="15" t="s">
        <v>53</v>
      </c>
      <c r="C481" s="15">
        <v>18</v>
      </c>
    </row>
    <row r="482" spans="1:3" x14ac:dyDescent="0.55000000000000004">
      <c r="A482" s="18">
        <v>41546</v>
      </c>
      <c r="B482" s="15" t="s">
        <v>64</v>
      </c>
      <c r="C482" s="15">
        <v>59</v>
      </c>
    </row>
    <row r="483" spans="1:3" x14ac:dyDescent="0.55000000000000004">
      <c r="A483" s="18">
        <v>41644</v>
      </c>
      <c r="B483" s="15" t="s">
        <v>65</v>
      </c>
      <c r="C483" s="15">
        <v>18</v>
      </c>
    </row>
    <row r="484" spans="1:3" x14ac:dyDescent="0.55000000000000004">
      <c r="A484" s="18">
        <v>41556</v>
      </c>
      <c r="B484" s="15" t="s">
        <v>45</v>
      </c>
      <c r="C484" s="15">
        <v>14</v>
      </c>
    </row>
    <row r="485" spans="1:3" x14ac:dyDescent="0.55000000000000004">
      <c r="A485" s="18">
        <v>41618</v>
      </c>
      <c r="B485" s="15" t="s">
        <v>58</v>
      </c>
      <c r="C485" s="15">
        <v>47</v>
      </c>
    </row>
    <row r="486" spans="1:3" x14ac:dyDescent="0.55000000000000004">
      <c r="A486" s="18">
        <v>41546</v>
      </c>
      <c r="B486" s="15" t="s">
        <v>46</v>
      </c>
      <c r="C486" s="15">
        <v>59</v>
      </c>
    </row>
    <row r="487" spans="1:3" x14ac:dyDescent="0.55000000000000004">
      <c r="A487" s="18">
        <v>41623</v>
      </c>
      <c r="B487" s="15" t="s">
        <v>45</v>
      </c>
      <c r="C487" s="15">
        <v>56</v>
      </c>
    </row>
    <row r="488" spans="1:3" x14ac:dyDescent="0.55000000000000004">
      <c r="A488" s="18">
        <v>41599</v>
      </c>
      <c r="B488" s="15" t="s">
        <v>53</v>
      </c>
      <c r="C488" s="15">
        <v>47</v>
      </c>
    </row>
    <row r="489" spans="1:3" x14ac:dyDescent="0.55000000000000004">
      <c r="A489" s="18">
        <v>41615</v>
      </c>
      <c r="B489" s="15" t="s">
        <v>47</v>
      </c>
      <c r="C489" s="15">
        <v>53</v>
      </c>
    </row>
    <row r="490" spans="1:3" x14ac:dyDescent="0.55000000000000004">
      <c r="A490" s="18">
        <v>41580</v>
      </c>
      <c r="B490" s="15" t="s">
        <v>49</v>
      </c>
      <c r="C490" s="15">
        <v>30</v>
      </c>
    </row>
    <row r="491" spans="1:3" x14ac:dyDescent="0.55000000000000004">
      <c r="A491" s="18">
        <v>41624</v>
      </c>
      <c r="B491" s="15" t="s">
        <v>64</v>
      </c>
      <c r="C491" s="15">
        <v>56</v>
      </c>
    </row>
    <row r="492" spans="1:3" x14ac:dyDescent="0.55000000000000004">
      <c r="A492" s="18">
        <v>41644</v>
      </c>
      <c r="B492" s="15" t="s">
        <v>68</v>
      </c>
      <c r="C492" s="15">
        <v>11</v>
      </c>
    </row>
    <row r="493" spans="1:3" x14ac:dyDescent="0.55000000000000004">
      <c r="A493" s="18">
        <v>41535</v>
      </c>
      <c r="B493" s="15" t="s">
        <v>54</v>
      </c>
      <c r="C493" s="15">
        <v>15</v>
      </c>
    </row>
    <row r="494" spans="1:3" x14ac:dyDescent="0.55000000000000004">
      <c r="A494" s="18">
        <v>41529</v>
      </c>
      <c r="B494" s="15" t="s">
        <v>64</v>
      </c>
      <c r="C494" s="15">
        <v>59</v>
      </c>
    </row>
    <row r="495" spans="1:3" x14ac:dyDescent="0.55000000000000004">
      <c r="A495" s="18">
        <v>41595</v>
      </c>
      <c r="B495" s="15" t="s">
        <v>68</v>
      </c>
      <c r="C495" s="15">
        <v>38</v>
      </c>
    </row>
    <row r="496" spans="1:3" x14ac:dyDescent="0.55000000000000004">
      <c r="A496" s="18">
        <v>41585</v>
      </c>
      <c r="B496" s="15" t="s">
        <v>50</v>
      </c>
      <c r="C496" s="15">
        <v>17</v>
      </c>
    </row>
    <row r="497" spans="1:3" x14ac:dyDescent="0.55000000000000004">
      <c r="A497" s="18">
        <v>41561</v>
      </c>
      <c r="B497" s="15" t="s">
        <v>55</v>
      </c>
      <c r="C497" s="15">
        <v>56</v>
      </c>
    </row>
    <row r="498" spans="1:3" x14ac:dyDescent="0.55000000000000004">
      <c r="A498" s="18">
        <v>41616</v>
      </c>
      <c r="B498" s="15" t="s">
        <v>58</v>
      </c>
      <c r="C498" s="15">
        <v>15</v>
      </c>
    </row>
    <row r="499" spans="1:3" x14ac:dyDescent="0.55000000000000004">
      <c r="A499" s="18">
        <v>41617</v>
      </c>
      <c r="B499" s="15" t="s">
        <v>46</v>
      </c>
      <c r="C499" s="15">
        <v>11</v>
      </c>
    </row>
    <row r="500" spans="1:3" x14ac:dyDescent="0.55000000000000004">
      <c r="A500" s="18">
        <v>41645</v>
      </c>
      <c r="B500" s="15" t="s">
        <v>46</v>
      </c>
      <c r="C500" s="15">
        <v>41</v>
      </c>
    </row>
    <row r="501" spans="1:3" x14ac:dyDescent="0.55000000000000004">
      <c r="A501" s="18">
        <v>41537</v>
      </c>
      <c r="B501" s="15" t="s">
        <v>69</v>
      </c>
      <c r="C501" s="15">
        <v>26</v>
      </c>
    </row>
    <row r="502" spans="1:3" x14ac:dyDescent="0.55000000000000004">
      <c r="A502" s="18">
        <v>41505</v>
      </c>
      <c r="B502" s="15" t="s">
        <v>55</v>
      </c>
      <c r="C502" s="15">
        <v>15</v>
      </c>
    </row>
    <row r="503" spans="1:3" x14ac:dyDescent="0.55000000000000004">
      <c r="A503" s="18">
        <v>41558</v>
      </c>
      <c r="B503" s="15" t="s">
        <v>59</v>
      </c>
      <c r="C503" s="15">
        <v>59</v>
      </c>
    </row>
    <row r="504" spans="1:3" x14ac:dyDescent="0.55000000000000004">
      <c r="A504" s="18">
        <v>41616</v>
      </c>
      <c r="B504" s="15" t="s">
        <v>69</v>
      </c>
      <c r="C504" s="15">
        <v>37</v>
      </c>
    </row>
    <row r="505" spans="1:3" x14ac:dyDescent="0.55000000000000004">
      <c r="A505" s="18">
        <v>41526</v>
      </c>
      <c r="B505" s="15" t="s">
        <v>57</v>
      </c>
      <c r="C505" s="15">
        <v>13</v>
      </c>
    </row>
    <row r="506" spans="1:3" x14ac:dyDescent="0.55000000000000004">
      <c r="A506" s="18">
        <v>41618</v>
      </c>
      <c r="B506" s="15" t="s">
        <v>60</v>
      </c>
      <c r="C506" s="15">
        <v>37</v>
      </c>
    </row>
    <row r="507" spans="1:3" x14ac:dyDescent="0.55000000000000004">
      <c r="A507" s="18">
        <v>41510</v>
      </c>
      <c r="B507" s="15" t="s">
        <v>46</v>
      </c>
      <c r="C507" s="15">
        <v>35</v>
      </c>
    </row>
    <row r="508" spans="1:3" x14ac:dyDescent="0.55000000000000004">
      <c r="A508" s="18">
        <v>41565</v>
      </c>
      <c r="B508" s="15" t="s">
        <v>54</v>
      </c>
      <c r="C508" s="15">
        <v>26</v>
      </c>
    </row>
    <row r="509" spans="1:3" x14ac:dyDescent="0.55000000000000004">
      <c r="A509" s="18">
        <v>41561</v>
      </c>
      <c r="B509" s="15" t="s">
        <v>67</v>
      </c>
      <c r="C509" s="15">
        <v>31</v>
      </c>
    </row>
    <row r="510" spans="1:3" x14ac:dyDescent="0.55000000000000004">
      <c r="A510" s="18">
        <v>41552</v>
      </c>
      <c r="B510" s="15" t="s">
        <v>63</v>
      </c>
      <c r="C510" s="15">
        <v>10</v>
      </c>
    </row>
    <row r="511" spans="1:3" x14ac:dyDescent="0.55000000000000004">
      <c r="A511" s="18">
        <v>41539</v>
      </c>
      <c r="B511" s="15" t="s">
        <v>62</v>
      </c>
      <c r="C511" s="15">
        <v>14</v>
      </c>
    </row>
    <row r="512" spans="1:3" x14ac:dyDescent="0.55000000000000004">
      <c r="A512" s="18">
        <v>41603</v>
      </c>
      <c r="B512" s="15" t="s">
        <v>61</v>
      </c>
      <c r="C512" s="15">
        <v>35</v>
      </c>
    </row>
    <row r="513" spans="1:3" x14ac:dyDescent="0.55000000000000004">
      <c r="A513" s="18">
        <v>41627</v>
      </c>
      <c r="B513" s="15" t="s">
        <v>65</v>
      </c>
      <c r="C513" s="15">
        <v>46</v>
      </c>
    </row>
    <row r="514" spans="1:3" x14ac:dyDescent="0.55000000000000004">
      <c r="A514" s="18">
        <v>41626</v>
      </c>
      <c r="B514" s="15" t="s">
        <v>58</v>
      </c>
      <c r="C514" s="15">
        <v>53</v>
      </c>
    </row>
    <row r="515" spans="1:3" x14ac:dyDescent="0.55000000000000004">
      <c r="A515" s="18">
        <v>41618</v>
      </c>
      <c r="B515" s="15" t="s">
        <v>53</v>
      </c>
      <c r="C515" s="15">
        <v>57</v>
      </c>
    </row>
    <row r="516" spans="1:3" x14ac:dyDescent="0.55000000000000004">
      <c r="A516" s="18">
        <v>41604</v>
      </c>
      <c r="B516" s="15" t="s">
        <v>63</v>
      </c>
      <c r="C516" s="15">
        <v>31</v>
      </c>
    </row>
    <row r="517" spans="1:3" x14ac:dyDescent="0.55000000000000004">
      <c r="A517" s="18">
        <v>41601</v>
      </c>
      <c r="B517" s="15" t="s">
        <v>50</v>
      </c>
      <c r="C517" s="15">
        <v>20</v>
      </c>
    </row>
    <row r="518" spans="1:3" x14ac:dyDescent="0.55000000000000004">
      <c r="A518" s="18">
        <v>41531</v>
      </c>
      <c r="B518" s="15" t="s">
        <v>53</v>
      </c>
      <c r="C518" s="15">
        <v>11</v>
      </c>
    </row>
    <row r="519" spans="1:3" x14ac:dyDescent="0.55000000000000004">
      <c r="A519" s="18">
        <v>41503</v>
      </c>
      <c r="B519" s="15" t="s">
        <v>52</v>
      </c>
      <c r="C519" s="15">
        <v>25</v>
      </c>
    </row>
    <row r="520" spans="1:3" x14ac:dyDescent="0.55000000000000004">
      <c r="A520" s="18">
        <v>41616</v>
      </c>
      <c r="B520" s="15" t="s">
        <v>53</v>
      </c>
      <c r="C520" s="15">
        <v>35</v>
      </c>
    </row>
    <row r="521" spans="1:3" x14ac:dyDescent="0.55000000000000004">
      <c r="A521" s="18">
        <v>41621</v>
      </c>
      <c r="B521" s="15" t="s">
        <v>64</v>
      </c>
      <c r="C521" s="15">
        <v>55</v>
      </c>
    </row>
    <row r="522" spans="1:3" x14ac:dyDescent="0.55000000000000004">
      <c r="A522" s="18">
        <v>41546</v>
      </c>
      <c r="B522" s="15" t="s">
        <v>55</v>
      </c>
      <c r="C522" s="15">
        <v>51</v>
      </c>
    </row>
    <row r="523" spans="1:3" x14ac:dyDescent="0.55000000000000004">
      <c r="A523" s="18">
        <v>41547</v>
      </c>
      <c r="B523" s="15" t="s">
        <v>51</v>
      </c>
      <c r="C523" s="15">
        <v>25</v>
      </c>
    </row>
    <row r="524" spans="1:3" x14ac:dyDescent="0.55000000000000004">
      <c r="A524" s="18">
        <v>41556</v>
      </c>
      <c r="B524" s="15" t="s">
        <v>47</v>
      </c>
      <c r="C524" s="15">
        <v>21</v>
      </c>
    </row>
    <row r="525" spans="1:3" x14ac:dyDescent="0.55000000000000004">
      <c r="A525" s="18">
        <v>41574</v>
      </c>
      <c r="B525" s="15" t="s">
        <v>50</v>
      </c>
      <c r="C525" s="15">
        <v>28</v>
      </c>
    </row>
    <row r="526" spans="1:3" x14ac:dyDescent="0.55000000000000004">
      <c r="A526" s="18">
        <v>41545</v>
      </c>
      <c r="B526" s="15" t="s">
        <v>51</v>
      </c>
      <c r="C526" s="15">
        <v>53</v>
      </c>
    </row>
    <row r="527" spans="1:3" x14ac:dyDescent="0.55000000000000004">
      <c r="A527" s="18">
        <v>41645</v>
      </c>
      <c r="B527" s="15" t="s">
        <v>46</v>
      </c>
      <c r="C527" s="15">
        <v>17</v>
      </c>
    </row>
    <row r="528" spans="1:3" x14ac:dyDescent="0.55000000000000004">
      <c r="A528" s="18">
        <v>41513</v>
      </c>
      <c r="B528" s="15" t="s">
        <v>48</v>
      </c>
      <c r="C528" s="15">
        <v>52</v>
      </c>
    </row>
    <row r="529" spans="1:3" x14ac:dyDescent="0.55000000000000004">
      <c r="A529" s="18">
        <v>41579</v>
      </c>
      <c r="B529" s="15" t="s">
        <v>46</v>
      </c>
      <c r="C529" s="15">
        <v>51</v>
      </c>
    </row>
    <row r="530" spans="1:3" x14ac:dyDescent="0.55000000000000004">
      <c r="A530" s="18">
        <v>41501</v>
      </c>
      <c r="B530" s="15" t="s">
        <v>69</v>
      </c>
      <c r="C530" s="15">
        <v>17</v>
      </c>
    </row>
    <row r="531" spans="1:3" x14ac:dyDescent="0.55000000000000004">
      <c r="A531" s="18">
        <v>41552</v>
      </c>
      <c r="B531" s="15" t="s">
        <v>63</v>
      </c>
      <c r="C531" s="15">
        <v>48</v>
      </c>
    </row>
    <row r="532" spans="1:3" x14ac:dyDescent="0.55000000000000004">
      <c r="A532" s="18">
        <v>41642</v>
      </c>
      <c r="B532" s="15" t="s">
        <v>65</v>
      </c>
      <c r="C532" s="15">
        <v>33</v>
      </c>
    </row>
    <row r="533" spans="1:3" x14ac:dyDescent="0.55000000000000004">
      <c r="A533" s="18">
        <v>41594</v>
      </c>
      <c r="B533" s="15" t="s">
        <v>58</v>
      </c>
      <c r="C533" s="15">
        <v>23</v>
      </c>
    </row>
    <row r="534" spans="1:3" x14ac:dyDescent="0.55000000000000004">
      <c r="A534" s="18">
        <v>41504</v>
      </c>
      <c r="B534" s="15" t="s">
        <v>64</v>
      </c>
      <c r="C534" s="15">
        <v>25</v>
      </c>
    </row>
    <row r="535" spans="1:3" x14ac:dyDescent="0.55000000000000004">
      <c r="A535" s="18">
        <v>41615</v>
      </c>
      <c r="B535" s="15" t="s">
        <v>56</v>
      </c>
      <c r="C535" s="15">
        <v>11</v>
      </c>
    </row>
    <row r="536" spans="1:3" x14ac:dyDescent="0.55000000000000004">
      <c r="A536" s="18">
        <v>41503</v>
      </c>
      <c r="B536" s="15" t="s">
        <v>48</v>
      </c>
      <c r="C536" s="15">
        <v>40</v>
      </c>
    </row>
    <row r="537" spans="1:3" x14ac:dyDescent="0.55000000000000004">
      <c r="A537" s="18">
        <v>41561</v>
      </c>
      <c r="B537" s="15" t="s">
        <v>57</v>
      </c>
      <c r="C537" s="15">
        <v>53</v>
      </c>
    </row>
    <row r="538" spans="1:3" x14ac:dyDescent="0.55000000000000004">
      <c r="A538" s="18">
        <v>41570</v>
      </c>
      <c r="B538" s="15" t="s">
        <v>45</v>
      </c>
      <c r="C538" s="15">
        <v>29</v>
      </c>
    </row>
    <row r="539" spans="1:3" x14ac:dyDescent="0.55000000000000004">
      <c r="A539" s="18">
        <v>41560</v>
      </c>
      <c r="B539" s="15" t="s">
        <v>51</v>
      </c>
      <c r="C539" s="15">
        <v>21</v>
      </c>
    </row>
    <row r="540" spans="1:3" x14ac:dyDescent="0.55000000000000004">
      <c r="A540" s="18">
        <v>41533</v>
      </c>
      <c r="B540" s="15" t="s">
        <v>58</v>
      </c>
      <c r="C540" s="15">
        <v>49</v>
      </c>
    </row>
    <row r="541" spans="1:3" x14ac:dyDescent="0.55000000000000004">
      <c r="A541" s="18">
        <v>41500</v>
      </c>
      <c r="B541" s="15" t="s">
        <v>61</v>
      </c>
      <c r="C541" s="15">
        <v>57</v>
      </c>
    </row>
    <row r="542" spans="1:3" x14ac:dyDescent="0.55000000000000004">
      <c r="A542" s="18">
        <v>41604</v>
      </c>
      <c r="B542" s="15" t="s">
        <v>45</v>
      </c>
      <c r="C542" s="15">
        <v>27</v>
      </c>
    </row>
    <row r="543" spans="1:3" x14ac:dyDescent="0.55000000000000004">
      <c r="A543" s="18">
        <v>41626</v>
      </c>
      <c r="B543" s="15" t="s">
        <v>60</v>
      </c>
      <c r="C543" s="15">
        <v>32</v>
      </c>
    </row>
    <row r="544" spans="1:3" x14ac:dyDescent="0.55000000000000004">
      <c r="A544" s="18">
        <v>41501</v>
      </c>
      <c r="B544" s="15" t="s">
        <v>48</v>
      </c>
      <c r="C544" s="15">
        <v>57</v>
      </c>
    </row>
    <row r="545" spans="1:3" x14ac:dyDescent="0.55000000000000004">
      <c r="A545" s="18">
        <v>41573</v>
      </c>
      <c r="B545" s="15" t="s">
        <v>67</v>
      </c>
      <c r="C545" s="15">
        <v>34</v>
      </c>
    </row>
    <row r="546" spans="1:3" x14ac:dyDescent="0.55000000000000004">
      <c r="A546" s="18">
        <v>41513</v>
      </c>
      <c r="B546" s="15" t="s">
        <v>56</v>
      </c>
      <c r="C546" s="15">
        <v>56</v>
      </c>
    </row>
    <row r="547" spans="1:3" x14ac:dyDescent="0.55000000000000004">
      <c r="A547" s="18">
        <v>41546</v>
      </c>
      <c r="B547" s="15" t="s">
        <v>67</v>
      </c>
      <c r="C547" s="15">
        <v>48</v>
      </c>
    </row>
    <row r="548" spans="1:3" x14ac:dyDescent="0.55000000000000004">
      <c r="A548" s="18">
        <v>41533</v>
      </c>
      <c r="B548" s="15" t="s">
        <v>49</v>
      </c>
      <c r="C548" s="15">
        <v>38</v>
      </c>
    </row>
    <row r="549" spans="1:3" x14ac:dyDescent="0.55000000000000004">
      <c r="A549" s="18">
        <v>41543</v>
      </c>
      <c r="B549" s="15" t="s">
        <v>54</v>
      </c>
      <c r="C549" s="15">
        <v>11</v>
      </c>
    </row>
    <row r="550" spans="1:3" x14ac:dyDescent="0.55000000000000004">
      <c r="A550" s="18">
        <v>41637</v>
      </c>
      <c r="B550" s="15" t="s">
        <v>52</v>
      </c>
      <c r="C550" s="15">
        <v>17</v>
      </c>
    </row>
    <row r="551" spans="1:3" x14ac:dyDescent="0.55000000000000004">
      <c r="A551" s="18">
        <v>41510</v>
      </c>
      <c r="B551" s="15" t="s">
        <v>51</v>
      </c>
      <c r="C551" s="15">
        <v>50</v>
      </c>
    </row>
    <row r="552" spans="1:3" x14ac:dyDescent="0.55000000000000004">
      <c r="A552" s="18">
        <v>41583</v>
      </c>
      <c r="B552" s="15" t="s">
        <v>63</v>
      </c>
      <c r="C552" s="15">
        <v>53</v>
      </c>
    </row>
    <row r="553" spans="1:3" x14ac:dyDescent="0.55000000000000004">
      <c r="A553" s="18">
        <v>41542</v>
      </c>
      <c r="B553" s="15" t="s">
        <v>59</v>
      </c>
      <c r="C553" s="15">
        <v>40</v>
      </c>
    </row>
    <row r="554" spans="1:3" x14ac:dyDescent="0.55000000000000004">
      <c r="A554" s="18">
        <v>41589</v>
      </c>
      <c r="B554" s="15" t="s">
        <v>65</v>
      </c>
      <c r="C554" s="15">
        <v>32</v>
      </c>
    </row>
    <row r="555" spans="1:3" x14ac:dyDescent="0.55000000000000004">
      <c r="A555" s="18">
        <v>41552</v>
      </c>
      <c r="B555" s="15" t="s">
        <v>57</v>
      </c>
      <c r="C555" s="15">
        <v>11</v>
      </c>
    </row>
    <row r="556" spans="1:3" x14ac:dyDescent="0.55000000000000004">
      <c r="A556" s="18">
        <v>41647</v>
      </c>
      <c r="B556" s="15" t="s">
        <v>56</v>
      </c>
      <c r="C556" s="15">
        <v>17</v>
      </c>
    </row>
    <row r="557" spans="1:3" x14ac:dyDescent="0.55000000000000004">
      <c r="A557" s="18">
        <v>41528</v>
      </c>
      <c r="B557" s="15" t="s">
        <v>56</v>
      </c>
      <c r="C557" s="15">
        <v>57</v>
      </c>
    </row>
    <row r="558" spans="1:3" x14ac:dyDescent="0.55000000000000004">
      <c r="A558" s="18">
        <v>41538</v>
      </c>
      <c r="B558" s="15" t="s">
        <v>62</v>
      </c>
      <c r="C558" s="15">
        <v>27</v>
      </c>
    </row>
    <row r="559" spans="1:3" x14ac:dyDescent="0.55000000000000004">
      <c r="A559" s="18">
        <v>41504</v>
      </c>
      <c r="B559" s="15" t="s">
        <v>67</v>
      </c>
      <c r="C559" s="15">
        <v>28</v>
      </c>
    </row>
    <row r="560" spans="1:3" x14ac:dyDescent="0.55000000000000004">
      <c r="A560" s="18">
        <v>41611</v>
      </c>
      <c r="B560" s="15" t="s">
        <v>50</v>
      </c>
      <c r="C560" s="15">
        <v>33</v>
      </c>
    </row>
    <row r="561" spans="1:3" x14ac:dyDescent="0.55000000000000004">
      <c r="A561" s="18">
        <v>41570</v>
      </c>
      <c r="B561" s="15" t="s">
        <v>69</v>
      </c>
      <c r="C561" s="15">
        <v>20</v>
      </c>
    </row>
    <row r="562" spans="1:3" x14ac:dyDescent="0.55000000000000004">
      <c r="A562" s="18">
        <v>41559</v>
      </c>
      <c r="B562" s="15" t="s">
        <v>66</v>
      </c>
      <c r="C562" s="15">
        <v>54</v>
      </c>
    </row>
    <row r="563" spans="1:3" x14ac:dyDescent="0.55000000000000004">
      <c r="A563" s="18">
        <v>41543</v>
      </c>
      <c r="B563" s="15" t="s">
        <v>62</v>
      </c>
      <c r="C563" s="15">
        <v>42</v>
      </c>
    </row>
    <row r="564" spans="1:3" x14ac:dyDescent="0.55000000000000004">
      <c r="A564" s="18">
        <v>41563</v>
      </c>
      <c r="B564" s="15" t="s">
        <v>50</v>
      </c>
      <c r="C564" s="15">
        <v>19</v>
      </c>
    </row>
    <row r="565" spans="1:3" x14ac:dyDescent="0.55000000000000004">
      <c r="A565" s="18">
        <v>41570</v>
      </c>
      <c r="B565" s="15" t="s">
        <v>56</v>
      </c>
      <c r="C565" s="15">
        <v>23</v>
      </c>
    </row>
    <row r="566" spans="1:3" x14ac:dyDescent="0.55000000000000004">
      <c r="A566" s="18">
        <v>41577</v>
      </c>
      <c r="B566" s="15" t="s">
        <v>46</v>
      </c>
      <c r="C566" s="15">
        <v>53</v>
      </c>
    </row>
    <row r="567" spans="1:3" x14ac:dyDescent="0.55000000000000004">
      <c r="A567" s="18">
        <v>41630</v>
      </c>
      <c r="B567" s="15" t="s">
        <v>57</v>
      </c>
      <c r="C567" s="15">
        <v>33</v>
      </c>
    </row>
    <row r="568" spans="1:3" x14ac:dyDescent="0.55000000000000004">
      <c r="A568" s="18">
        <v>41633</v>
      </c>
      <c r="B568" s="15" t="s">
        <v>60</v>
      </c>
      <c r="C568" s="15">
        <v>43</v>
      </c>
    </row>
    <row r="569" spans="1:3" x14ac:dyDescent="0.55000000000000004">
      <c r="A569" s="18">
        <v>41649</v>
      </c>
      <c r="B569" s="15" t="s">
        <v>55</v>
      </c>
      <c r="C569" s="15">
        <v>44</v>
      </c>
    </row>
    <row r="570" spans="1:3" x14ac:dyDescent="0.55000000000000004">
      <c r="A570" s="18">
        <v>41622</v>
      </c>
      <c r="B570" s="15" t="s">
        <v>67</v>
      </c>
      <c r="C570" s="15">
        <v>58</v>
      </c>
    </row>
    <row r="571" spans="1:3" x14ac:dyDescent="0.55000000000000004">
      <c r="A571" s="18">
        <v>41563</v>
      </c>
      <c r="B571" s="15" t="s">
        <v>49</v>
      </c>
      <c r="C571" s="15">
        <v>55</v>
      </c>
    </row>
    <row r="572" spans="1:3" x14ac:dyDescent="0.55000000000000004">
      <c r="A572" s="18">
        <v>41554</v>
      </c>
      <c r="B572" s="15" t="s">
        <v>56</v>
      </c>
      <c r="C572" s="15">
        <v>50</v>
      </c>
    </row>
    <row r="573" spans="1:3" x14ac:dyDescent="0.55000000000000004">
      <c r="A573" s="18">
        <v>41548</v>
      </c>
      <c r="B573" s="15" t="s">
        <v>49</v>
      </c>
      <c r="C573" s="15">
        <v>35</v>
      </c>
    </row>
    <row r="574" spans="1:3" x14ac:dyDescent="0.55000000000000004">
      <c r="A574" s="18">
        <v>41592</v>
      </c>
      <c r="B574" s="15" t="s">
        <v>57</v>
      </c>
      <c r="C574" s="15">
        <v>12</v>
      </c>
    </row>
    <row r="575" spans="1:3" x14ac:dyDescent="0.55000000000000004">
      <c r="A575" s="18">
        <v>41541</v>
      </c>
      <c r="B575" s="15" t="s">
        <v>45</v>
      </c>
      <c r="C575" s="15">
        <v>41</v>
      </c>
    </row>
    <row r="576" spans="1:3" x14ac:dyDescent="0.55000000000000004">
      <c r="A576" s="18">
        <v>41572</v>
      </c>
      <c r="B576" s="15" t="s">
        <v>45</v>
      </c>
      <c r="C576" s="15">
        <v>31</v>
      </c>
    </row>
    <row r="577" spans="1:3" x14ac:dyDescent="0.55000000000000004">
      <c r="A577" s="18">
        <v>41561</v>
      </c>
      <c r="B577" s="15" t="s">
        <v>45</v>
      </c>
      <c r="C577" s="15">
        <v>35</v>
      </c>
    </row>
    <row r="578" spans="1:3" x14ac:dyDescent="0.55000000000000004">
      <c r="A578" s="18">
        <v>41572</v>
      </c>
      <c r="B578" s="15" t="s">
        <v>54</v>
      </c>
      <c r="C578" s="15">
        <v>27</v>
      </c>
    </row>
    <row r="579" spans="1:3" x14ac:dyDescent="0.55000000000000004">
      <c r="A579" s="18">
        <v>41588</v>
      </c>
      <c r="B579" s="15" t="s">
        <v>46</v>
      </c>
      <c r="C579" s="15">
        <v>34</v>
      </c>
    </row>
    <row r="580" spans="1:3" x14ac:dyDescent="0.55000000000000004">
      <c r="A580" s="18">
        <v>41643</v>
      </c>
      <c r="B580" s="15" t="s">
        <v>57</v>
      </c>
      <c r="C580" s="15">
        <v>14</v>
      </c>
    </row>
    <row r="581" spans="1:3" x14ac:dyDescent="0.55000000000000004">
      <c r="A581" s="18">
        <v>41577</v>
      </c>
      <c r="B581" s="15" t="s">
        <v>54</v>
      </c>
      <c r="C581" s="15">
        <v>57</v>
      </c>
    </row>
    <row r="582" spans="1:3" x14ac:dyDescent="0.55000000000000004">
      <c r="A582" s="18">
        <v>41544</v>
      </c>
      <c r="B582" s="15" t="s">
        <v>46</v>
      </c>
      <c r="C582" s="15">
        <v>34</v>
      </c>
    </row>
    <row r="583" spans="1:3" x14ac:dyDescent="0.55000000000000004">
      <c r="A583" s="18">
        <v>41535</v>
      </c>
      <c r="B583" s="15" t="s">
        <v>61</v>
      </c>
      <c r="C583" s="15">
        <v>26</v>
      </c>
    </row>
    <row r="584" spans="1:3" x14ac:dyDescent="0.55000000000000004">
      <c r="A584" s="18">
        <v>41524</v>
      </c>
      <c r="B584" s="15" t="s">
        <v>68</v>
      </c>
      <c r="C584" s="15">
        <v>44</v>
      </c>
    </row>
    <row r="585" spans="1:3" x14ac:dyDescent="0.55000000000000004">
      <c r="A585" s="18">
        <v>41583</v>
      </c>
      <c r="B585" s="15" t="s">
        <v>46</v>
      </c>
      <c r="C585" s="15">
        <v>24</v>
      </c>
    </row>
    <row r="586" spans="1:3" x14ac:dyDescent="0.55000000000000004">
      <c r="A586" s="18">
        <v>41562</v>
      </c>
      <c r="B586" s="15" t="s">
        <v>51</v>
      </c>
      <c r="C586" s="15">
        <v>12</v>
      </c>
    </row>
    <row r="587" spans="1:3" x14ac:dyDescent="0.55000000000000004">
      <c r="A587" s="18">
        <v>41541</v>
      </c>
      <c r="B587" s="15" t="s">
        <v>64</v>
      </c>
      <c r="C587" s="15">
        <v>38</v>
      </c>
    </row>
    <row r="588" spans="1:3" x14ac:dyDescent="0.55000000000000004">
      <c r="A588" s="18">
        <v>41500</v>
      </c>
      <c r="B588" s="15" t="s">
        <v>59</v>
      </c>
      <c r="C588" s="15">
        <v>47</v>
      </c>
    </row>
    <row r="589" spans="1:3" x14ac:dyDescent="0.55000000000000004">
      <c r="A589" s="18">
        <v>41540</v>
      </c>
      <c r="B589" s="15" t="s">
        <v>46</v>
      </c>
      <c r="C589" s="15">
        <v>34</v>
      </c>
    </row>
    <row r="590" spans="1:3" x14ac:dyDescent="0.55000000000000004">
      <c r="A590" s="18">
        <v>41625</v>
      </c>
      <c r="B590" s="15" t="s">
        <v>50</v>
      </c>
      <c r="C590" s="15">
        <v>59</v>
      </c>
    </row>
    <row r="591" spans="1:3" x14ac:dyDescent="0.55000000000000004">
      <c r="A591" s="18">
        <v>41519</v>
      </c>
      <c r="B591" s="15" t="s">
        <v>66</v>
      </c>
      <c r="C591" s="15">
        <v>59</v>
      </c>
    </row>
    <row r="592" spans="1:3" x14ac:dyDescent="0.55000000000000004">
      <c r="A592" s="18">
        <v>41572</v>
      </c>
      <c r="B592" s="15" t="s">
        <v>47</v>
      </c>
      <c r="C592" s="15">
        <v>29</v>
      </c>
    </row>
    <row r="593" spans="1:3" x14ac:dyDescent="0.55000000000000004">
      <c r="A593" s="18">
        <v>41609</v>
      </c>
      <c r="B593" s="15" t="s">
        <v>69</v>
      </c>
      <c r="C593" s="15">
        <v>11</v>
      </c>
    </row>
    <row r="594" spans="1:3" x14ac:dyDescent="0.55000000000000004">
      <c r="A594" s="18">
        <v>41508</v>
      </c>
      <c r="B594" s="15" t="s">
        <v>54</v>
      </c>
      <c r="C594" s="15">
        <v>58</v>
      </c>
    </row>
    <row r="595" spans="1:3" x14ac:dyDescent="0.55000000000000004">
      <c r="A595" s="18">
        <v>41585</v>
      </c>
      <c r="B595" s="15" t="s">
        <v>61</v>
      </c>
      <c r="C595" s="15">
        <v>33</v>
      </c>
    </row>
    <row r="596" spans="1:3" x14ac:dyDescent="0.55000000000000004">
      <c r="A596" s="18">
        <v>41510</v>
      </c>
      <c r="B596" s="15" t="s">
        <v>53</v>
      </c>
      <c r="C596" s="15">
        <v>23</v>
      </c>
    </row>
    <row r="597" spans="1:3" x14ac:dyDescent="0.55000000000000004">
      <c r="A597" s="18">
        <v>41527</v>
      </c>
      <c r="B597" s="15" t="s">
        <v>50</v>
      </c>
      <c r="C597" s="15">
        <v>36</v>
      </c>
    </row>
    <row r="598" spans="1:3" x14ac:dyDescent="0.55000000000000004">
      <c r="A598" s="18">
        <v>41521</v>
      </c>
      <c r="B598" s="15" t="s">
        <v>57</v>
      </c>
      <c r="C598" s="15">
        <v>20</v>
      </c>
    </row>
    <row r="599" spans="1:3" x14ac:dyDescent="0.55000000000000004">
      <c r="A599" s="18">
        <v>41576</v>
      </c>
      <c r="B599" s="15" t="s">
        <v>63</v>
      </c>
      <c r="C599" s="15">
        <v>39</v>
      </c>
    </row>
    <row r="600" spans="1:3" x14ac:dyDescent="0.55000000000000004">
      <c r="A600" s="18">
        <v>41531</v>
      </c>
      <c r="B600" s="15" t="s">
        <v>57</v>
      </c>
      <c r="C600" s="15">
        <v>53</v>
      </c>
    </row>
    <row r="601" spans="1:3" x14ac:dyDescent="0.55000000000000004">
      <c r="A601" s="18">
        <v>41559</v>
      </c>
      <c r="B601" s="15" t="s">
        <v>58</v>
      </c>
      <c r="C601" s="15">
        <v>49</v>
      </c>
    </row>
    <row r="602" spans="1:3" x14ac:dyDescent="0.55000000000000004">
      <c r="A602" s="18">
        <v>41514</v>
      </c>
      <c r="B602" s="15" t="s">
        <v>53</v>
      </c>
      <c r="C602" s="15">
        <v>28</v>
      </c>
    </row>
    <row r="603" spans="1:3" x14ac:dyDescent="0.55000000000000004">
      <c r="A603" s="18">
        <v>41573</v>
      </c>
      <c r="B603" s="15" t="s">
        <v>69</v>
      </c>
      <c r="C603" s="15">
        <v>27</v>
      </c>
    </row>
    <row r="604" spans="1:3" x14ac:dyDescent="0.55000000000000004">
      <c r="A604" s="18">
        <v>41626</v>
      </c>
      <c r="B604" s="15" t="s">
        <v>50</v>
      </c>
      <c r="C604" s="15">
        <v>20</v>
      </c>
    </row>
    <row r="605" spans="1:3" x14ac:dyDescent="0.55000000000000004">
      <c r="A605" s="18">
        <v>41641</v>
      </c>
      <c r="B605" s="15" t="s">
        <v>56</v>
      </c>
      <c r="C605" s="15">
        <v>18</v>
      </c>
    </row>
    <row r="606" spans="1:3" x14ac:dyDescent="0.55000000000000004">
      <c r="A606" s="18">
        <v>41598</v>
      </c>
      <c r="B606" s="15" t="s">
        <v>47</v>
      </c>
      <c r="C606" s="15">
        <v>35</v>
      </c>
    </row>
    <row r="607" spans="1:3" x14ac:dyDescent="0.55000000000000004">
      <c r="A607" s="18">
        <v>41645</v>
      </c>
      <c r="B607" s="15" t="s">
        <v>57</v>
      </c>
      <c r="C607" s="15">
        <v>36</v>
      </c>
    </row>
    <row r="608" spans="1:3" x14ac:dyDescent="0.55000000000000004">
      <c r="A608" s="18">
        <v>41533</v>
      </c>
      <c r="B608" s="15" t="s">
        <v>63</v>
      </c>
      <c r="C608" s="15">
        <v>48</v>
      </c>
    </row>
    <row r="609" spans="1:3" x14ac:dyDescent="0.55000000000000004">
      <c r="A609" s="18">
        <v>41518</v>
      </c>
      <c r="B609" s="15" t="s">
        <v>52</v>
      </c>
      <c r="C609" s="15">
        <v>22</v>
      </c>
    </row>
    <row r="610" spans="1:3" x14ac:dyDescent="0.55000000000000004">
      <c r="A610" s="18">
        <v>41521</v>
      </c>
      <c r="B610" s="15" t="s">
        <v>68</v>
      </c>
      <c r="C610" s="15">
        <v>31</v>
      </c>
    </row>
    <row r="611" spans="1:3" x14ac:dyDescent="0.55000000000000004">
      <c r="A611" s="18">
        <v>41632</v>
      </c>
      <c r="B611" s="15" t="s">
        <v>63</v>
      </c>
      <c r="C611" s="15">
        <v>30</v>
      </c>
    </row>
    <row r="612" spans="1:3" x14ac:dyDescent="0.55000000000000004">
      <c r="A612" s="18">
        <v>41591</v>
      </c>
      <c r="B612" s="15" t="s">
        <v>63</v>
      </c>
      <c r="C612" s="15">
        <v>44</v>
      </c>
    </row>
    <row r="613" spans="1:3" x14ac:dyDescent="0.55000000000000004">
      <c r="A613" s="18">
        <v>41508</v>
      </c>
      <c r="B613" s="15" t="s">
        <v>67</v>
      </c>
      <c r="C613" s="15">
        <v>15</v>
      </c>
    </row>
    <row r="614" spans="1:3" x14ac:dyDescent="0.55000000000000004">
      <c r="A614" s="18">
        <v>41548</v>
      </c>
      <c r="B614" s="15" t="s">
        <v>67</v>
      </c>
      <c r="C614" s="15">
        <v>52</v>
      </c>
    </row>
    <row r="615" spans="1:3" x14ac:dyDescent="0.55000000000000004">
      <c r="A615" s="18">
        <v>41546</v>
      </c>
      <c r="B615" s="15" t="s">
        <v>64</v>
      </c>
      <c r="C615" s="15">
        <v>44</v>
      </c>
    </row>
    <row r="616" spans="1:3" x14ac:dyDescent="0.55000000000000004">
      <c r="A616" s="18">
        <v>41533</v>
      </c>
      <c r="B616" s="15" t="s">
        <v>54</v>
      </c>
      <c r="C616" s="15">
        <v>56</v>
      </c>
    </row>
    <row r="617" spans="1:3" x14ac:dyDescent="0.55000000000000004">
      <c r="A617" s="18">
        <v>41518</v>
      </c>
      <c r="B617" s="15" t="s">
        <v>55</v>
      </c>
      <c r="C617" s="15">
        <v>50</v>
      </c>
    </row>
    <row r="618" spans="1:3" x14ac:dyDescent="0.55000000000000004">
      <c r="A618" s="18">
        <v>41602</v>
      </c>
      <c r="B618" s="15" t="s">
        <v>68</v>
      </c>
      <c r="C618" s="15">
        <v>10</v>
      </c>
    </row>
    <row r="619" spans="1:3" x14ac:dyDescent="0.55000000000000004">
      <c r="A619" s="18">
        <v>41528</v>
      </c>
      <c r="B619" s="15" t="s">
        <v>48</v>
      </c>
      <c r="C619" s="15">
        <v>57</v>
      </c>
    </row>
    <row r="620" spans="1:3" x14ac:dyDescent="0.55000000000000004">
      <c r="A620" s="18">
        <v>41607</v>
      </c>
      <c r="B620" s="15" t="s">
        <v>48</v>
      </c>
      <c r="C620" s="15">
        <v>53</v>
      </c>
    </row>
    <row r="621" spans="1:3" x14ac:dyDescent="0.55000000000000004">
      <c r="A621" s="18">
        <v>41633</v>
      </c>
      <c r="B621" s="15" t="s">
        <v>65</v>
      </c>
      <c r="C621" s="15">
        <v>17</v>
      </c>
    </row>
    <row r="622" spans="1:3" x14ac:dyDescent="0.55000000000000004">
      <c r="A622" s="18">
        <v>41589</v>
      </c>
      <c r="B622" s="15" t="s">
        <v>58</v>
      </c>
      <c r="C622" s="15">
        <v>23</v>
      </c>
    </row>
    <row r="623" spans="1:3" x14ac:dyDescent="0.55000000000000004">
      <c r="A623" s="18">
        <v>41586</v>
      </c>
      <c r="B623" s="15" t="s">
        <v>45</v>
      </c>
      <c r="C623" s="15">
        <v>48</v>
      </c>
    </row>
    <row r="624" spans="1:3" x14ac:dyDescent="0.55000000000000004">
      <c r="A624" s="18">
        <v>41566</v>
      </c>
      <c r="B624" s="15" t="s">
        <v>59</v>
      </c>
      <c r="C624" s="15">
        <v>58</v>
      </c>
    </row>
    <row r="625" spans="1:3" x14ac:dyDescent="0.55000000000000004">
      <c r="A625" s="18">
        <v>41551</v>
      </c>
      <c r="B625" s="15" t="s">
        <v>69</v>
      </c>
      <c r="C625" s="15">
        <v>36</v>
      </c>
    </row>
    <row r="626" spans="1:3" x14ac:dyDescent="0.55000000000000004">
      <c r="A626" s="18">
        <v>41560</v>
      </c>
      <c r="B626" s="15" t="s">
        <v>66</v>
      </c>
      <c r="C626" s="15">
        <v>57</v>
      </c>
    </row>
    <row r="627" spans="1:3" x14ac:dyDescent="0.55000000000000004">
      <c r="A627" s="18">
        <v>41507</v>
      </c>
      <c r="B627" s="15" t="s">
        <v>54</v>
      </c>
      <c r="C627" s="15">
        <v>43</v>
      </c>
    </row>
    <row r="628" spans="1:3" x14ac:dyDescent="0.55000000000000004">
      <c r="A628" s="18">
        <v>41621</v>
      </c>
      <c r="B628" s="15" t="s">
        <v>56</v>
      </c>
      <c r="C628" s="15">
        <v>43</v>
      </c>
    </row>
    <row r="629" spans="1:3" x14ac:dyDescent="0.55000000000000004">
      <c r="A629" s="18">
        <v>41500</v>
      </c>
      <c r="B629" s="15" t="s">
        <v>58</v>
      </c>
      <c r="C629" s="15">
        <v>27</v>
      </c>
    </row>
    <row r="630" spans="1:3" x14ac:dyDescent="0.55000000000000004">
      <c r="A630" s="18">
        <v>41520</v>
      </c>
      <c r="B630" s="15" t="s">
        <v>68</v>
      </c>
      <c r="C630" s="15">
        <v>11</v>
      </c>
    </row>
    <row r="631" spans="1:3" x14ac:dyDescent="0.55000000000000004">
      <c r="A631" s="18">
        <v>41615</v>
      </c>
      <c r="B631" s="15" t="s">
        <v>54</v>
      </c>
      <c r="C631" s="15">
        <v>18</v>
      </c>
    </row>
    <row r="632" spans="1:3" x14ac:dyDescent="0.55000000000000004">
      <c r="A632" s="18">
        <v>41590</v>
      </c>
      <c r="B632" s="15" t="s">
        <v>54</v>
      </c>
      <c r="C632" s="15">
        <v>28</v>
      </c>
    </row>
    <row r="633" spans="1:3" x14ac:dyDescent="0.55000000000000004">
      <c r="A633" s="18">
        <v>41502</v>
      </c>
      <c r="B633" s="15" t="s">
        <v>61</v>
      </c>
      <c r="C633" s="15">
        <v>37</v>
      </c>
    </row>
    <row r="634" spans="1:3" x14ac:dyDescent="0.55000000000000004">
      <c r="A634" s="18">
        <v>41511</v>
      </c>
      <c r="B634" s="15" t="s">
        <v>46</v>
      </c>
      <c r="C634" s="15">
        <v>41</v>
      </c>
    </row>
    <row r="635" spans="1:3" x14ac:dyDescent="0.55000000000000004">
      <c r="A635" s="18">
        <v>41623</v>
      </c>
      <c r="B635" s="15" t="s">
        <v>59</v>
      </c>
      <c r="C635" s="15">
        <v>22</v>
      </c>
    </row>
    <row r="636" spans="1:3" x14ac:dyDescent="0.55000000000000004">
      <c r="A636" s="18">
        <v>41572</v>
      </c>
      <c r="B636" s="15" t="s">
        <v>56</v>
      </c>
      <c r="C636" s="15">
        <v>37</v>
      </c>
    </row>
    <row r="637" spans="1:3" x14ac:dyDescent="0.55000000000000004">
      <c r="A637" s="18">
        <v>41621</v>
      </c>
      <c r="B637" s="15" t="s">
        <v>58</v>
      </c>
      <c r="C637" s="15">
        <v>39</v>
      </c>
    </row>
    <row r="638" spans="1:3" x14ac:dyDescent="0.55000000000000004">
      <c r="A638" s="18">
        <v>41608</v>
      </c>
      <c r="B638" s="15" t="s">
        <v>47</v>
      </c>
      <c r="C638" s="15">
        <v>45</v>
      </c>
    </row>
    <row r="639" spans="1:3" x14ac:dyDescent="0.55000000000000004">
      <c r="A639" s="18">
        <v>41573</v>
      </c>
      <c r="B639" s="15" t="s">
        <v>67</v>
      </c>
      <c r="C639" s="15">
        <v>39</v>
      </c>
    </row>
    <row r="640" spans="1:3" x14ac:dyDescent="0.55000000000000004">
      <c r="A640" s="18">
        <v>41522</v>
      </c>
      <c r="B640" s="15" t="s">
        <v>49</v>
      </c>
      <c r="C640" s="15">
        <v>44</v>
      </c>
    </row>
    <row r="641" spans="1:3" x14ac:dyDescent="0.55000000000000004">
      <c r="A641" s="18">
        <v>41527</v>
      </c>
      <c r="B641" s="15" t="s">
        <v>55</v>
      </c>
      <c r="C641" s="15">
        <v>32</v>
      </c>
    </row>
    <row r="642" spans="1:3" x14ac:dyDescent="0.55000000000000004">
      <c r="A642" s="18">
        <v>41565</v>
      </c>
      <c r="B642" s="15" t="s">
        <v>52</v>
      </c>
      <c r="C642" s="15">
        <v>28</v>
      </c>
    </row>
    <row r="643" spans="1:3" x14ac:dyDescent="0.55000000000000004">
      <c r="A643" s="18">
        <v>41552</v>
      </c>
      <c r="B643" s="15" t="s">
        <v>63</v>
      </c>
      <c r="C643" s="15">
        <v>57</v>
      </c>
    </row>
    <row r="644" spans="1:3" x14ac:dyDescent="0.55000000000000004">
      <c r="A644" s="18">
        <v>41510</v>
      </c>
      <c r="B644" s="15" t="s">
        <v>59</v>
      </c>
      <c r="C644" s="15">
        <v>11</v>
      </c>
    </row>
    <row r="645" spans="1:3" x14ac:dyDescent="0.55000000000000004">
      <c r="A645" s="18">
        <v>41541</v>
      </c>
      <c r="B645" s="15" t="s">
        <v>55</v>
      </c>
      <c r="C645" s="15">
        <v>37</v>
      </c>
    </row>
    <row r="646" spans="1:3" x14ac:dyDescent="0.55000000000000004">
      <c r="A646" s="18">
        <v>41576</v>
      </c>
      <c r="B646" s="15" t="s">
        <v>65</v>
      </c>
      <c r="C646" s="15">
        <v>35</v>
      </c>
    </row>
    <row r="647" spans="1:3" x14ac:dyDescent="0.55000000000000004">
      <c r="A647" s="18">
        <v>41633</v>
      </c>
      <c r="B647" s="15" t="s">
        <v>60</v>
      </c>
      <c r="C647" s="15">
        <v>51</v>
      </c>
    </row>
    <row r="648" spans="1:3" x14ac:dyDescent="0.55000000000000004">
      <c r="A648" s="18">
        <v>41572</v>
      </c>
      <c r="B648" s="15" t="s">
        <v>59</v>
      </c>
      <c r="C648" s="15">
        <v>18</v>
      </c>
    </row>
    <row r="649" spans="1:3" x14ac:dyDescent="0.55000000000000004">
      <c r="A649" s="18">
        <v>41586</v>
      </c>
      <c r="B649" s="15" t="s">
        <v>60</v>
      </c>
      <c r="C649" s="15">
        <v>56</v>
      </c>
    </row>
    <row r="650" spans="1:3" x14ac:dyDescent="0.55000000000000004">
      <c r="A650" s="18">
        <v>41588</v>
      </c>
      <c r="B650" s="15" t="s">
        <v>66</v>
      </c>
      <c r="C650" s="15">
        <v>29</v>
      </c>
    </row>
    <row r="651" spans="1:3" x14ac:dyDescent="0.55000000000000004">
      <c r="A651" s="18">
        <v>41506</v>
      </c>
      <c r="B651" s="15" t="s">
        <v>49</v>
      </c>
      <c r="C651" s="15">
        <v>13</v>
      </c>
    </row>
    <row r="652" spans="1:3" x14ac:dyDescent="0.55000000000000004">
      <c r="A652" s="18">
        <v>41641</v>
      </c>
      <c r="B652" s="15" t="s">
        <v>60</v>
      </c>
      <c r="C652" s="15">
        <v>35</v>
      </c>
    </row>
    <row r="653" spans="1:3" x14ac:dyDescent="0.55000000000000004">
      <c r="A653" s="18">
        <v>41646</v>
      </c>
      <c r="B653" s="15" t="s">
        <v>61</v>
      </c>
      <c r="C653" s="15">
        <v>12</v>
      </c>
    </row>
    <row r="654" spans="1:3" x14ac:dyDescent="0.55000000000000004">
      <c r="A654" s="18">
        <v>41628</v>
      </c>
      <c r="B654" s="15" t="s">
        <v>60</v>
      </c>
      <c r="C654" s="15">
        <v>19</v>
      </c>
    </row>
    <row r="655" spans="1:3" x14ac:dyDescent="0.55000000000000004">
      <c r="A655" s="18">
        <v>41575</v>
      </c>
      <c r="B655" s="15" t="s">
        <v>56</v>
      </c>
      <c r="C655" s="15">
        <v>44</v>
      </c>
    </row>
    <row r="656" spans="1:3" x14ac:dyDescent="0.55000000000000004">
      <c r="A656" s="18">
        <v>41539</v>
      </c>
      <c r="B656" s="15" t="s">
        <v>69</v>
      </c>
      <c r="C656" s="15">
        <v>33</v>
      </c>
    </row>
    <row r="657" spans="1:3" x14ac:dyDescent="0.55000000000000004">
      <c r="A657" s="18">
        <v>41642</v>
      </c>
      <c r="B657" s="15" t="s">
        <v>60</v>
      </c>
      <c r="C657" s="15">
        <v>56</v>
      </c>
    </row>
    <row r="658" spans="1:3" x14ac:dyDescent="0.55000000000000004">
      <c r="A658" s="18">
        <v>41577</v>
      </c>
      <c r="B658" s="15" t="s">
        <v>61</v>
      </c>
      <c r="C658" s="15">
        <v>49</v>
      </c>
    </row>
    <row r="659" spans="1:3" x14ac:dyDescent="0.55000000000000004">
      <c r="A659" s="18">
        <v>41595</v>
      </c>
      <c r="B659" s="15" t="s">
        <v>45</v>
      </c>
      <c r="C659" s="15">
        <v>29</v>
      </c>
    </row>
    <row r="660" spans="1:3" x14ac:dyDescent="0.55000000000000004">
      <c r="A660" s="18">
        <v>41614</v>
      </c>
      <c r="B660" s="15" t="s">
        <v>52</v>
      </c>
      <c r="C660" s="15">
        <v>29</v>
      </c>
    </row>
    <row r="661" spans="1:3" x14ac:dyDescent="0.55000000000000004">
      <c r="A661" s="18">
        <v>41577</v>
      </c>
      <c r="B661" s="15" t="s">
        <v>53</v>
      </c>
      <c r="C661" s="15">
        <v>40</v>
      </c>
    </row>
    <row r="662" spans="1:3" x14ac:dyDescent="0.55000000000000004">
      <c r="A662" s="18">
        <v>41650</v>
      </c>
      <c r="B662" s="15" t="s">
        <v>54</v>
      </c>
      <c r="C662" s="15">
        <v>18</v>
      </c>
    </row>
    <row r="663" spans="1:3" x14ac:dyDescent="0.55000000000000004">
      <c r="A663" s="18">
        <v>41576</v>
      </c>
      <c r="B663" s="15" t="s">
        <v>64</v>
      </c>
      <c r="C663" s="15">
        <v>42</v>
      </c>
    </row>
    <row r="664" spans="1:3" x14ac:dyDescent="0.55000000000000004">
      <c r="A664" s="18">
        <v>41640</v>
      </c>
      <c r="B664" s="15" t="s">
        <v>50</v>
      </c>
      <c r="C664" s="15">
        <v>22</v>
      </c>
    </row>
    <row r="665" spans="1:3" x14ac:dyDescent="0.55000000000000004">
      <c r="A665" s="18">
        <v>41518</v>
      </c>
      <c r="B665" s="15" t="s">
        <v>48</v>
      </c>
      <c r="C665" s="15">
        <v>41</v>
      </c>
    </row>
    <row r="666" spans="1:3" x14ac:dyDescent="0.55000000000000004">
      <c r="A666" s="18">
        <v>41521</v>
      </c>
      <c r="B666" s="15" t="s">
        <v>65</v>
      </c>
      <c r="C666" s="15">
        <v>39</v>
      </c>
    </row>
    <row r="667" spans="1:3" x14ac:dyDescent="0.55000000000000004">
      <c r="A667" s="18">
        <v>41599</v>
      </c>
      <c r="B667" s="15" t="s">
        <v>49</v>
      </c>
      <c r="C667" s="15">
        <v>25</v>
      </c>
    </row>
    <row r="668" spans="1:3" x14ac:dyDescent="0.55000000000000004">
      <c r="A668" s="18">
        <v>41596</v>
      </c>
      <c r="B668" s="15" t="s">
        <v>61</v>
      </c>
      <c r="C668" s="15">
        <v>48</v>
      </c>
    </row>
    <row r="669" spans="1:3" x14ac:dyDescent="0.55000000000000004">
      <c r="A669" s="18">
        <v>41579</v>
      </c>
      <c r="B669" s="15" t="s">
        <v>46</v>
      </c>
      <c r="C669" s="15">
        <v>56</v>
      </c>
    </row>
    <row r="670" spans="1:3" x14ac:dyDescent="0.55000000000000004">
      <c r="A670" s="18">
        <v>41624</v>
      </c>
      <c r="B670" s="15" t="s">
        <v>55</v>
      </c>
      <c r="C670" s="15">
        <v>30</v>
      </c>
    </row>
    <row r="671" spans="1:3" x14ac:dyDescent="0.55000000000000004">
      <c r="A671" s="18">
        <v>41516</v>
      </c>
      <c r="B671" s="15" t="s">
        <v>58</v>
      </c>
      <c r="C671" s="15">
        <v>33</v>
      </c>
    </row>
    <row r="672" spans="1:3" x14ac:dyDescent="0.55000000000000004">
      <c r="A672" s="18">
        <v>41507</v>
      </c>
      <c r="B672" s="15" t="s">
        <v>68</v>
      </c>
      <c r="C672" s="15">
        <v>23</v>
      </c>
    </row>
    <row r="673" spans="1:3" x14ac:dyDescent="0.55000000000000004">
      <c r="A673" s="18">
        <v>41617</v>
      </c>
      <c r="B673" s="15" t="s">
        <v>50</v>
      </c>
      <c r="C673" s="15">
        <v>37</v>
      </c>
    </row>
    <row r="674" spans="1:3" x14ac:dyDescent="0.55000000000000004">
      <c r="A674" s="18">
        <v>41550</v>
      </c>
      <c r="B674" s="15" t="s">
        <v>53</v>
      </c>
      <c r="C674" s="15">
        <v>33</v>
      </c>
    </row>
    <row r="675" spans="1:3" x14ac:dyDescent="0.55000000000000004">
      <c r="A675" s="18">
        <v>41584</v>
      </c>
      <c r="B675" s="15" t="s">
        <v>55</v>
      </c>
      <c r="C675" s="15">
        <v>15</v>
      </c>
    </row>
    <row r="676" spans="1:3" x14ac:dyDescent="0.55000000000000004">
      <c r="A676" s="18">
        <v>41522</v>
      </c>
      <c r="B676" s="15" t="s">
        <v>48</v>
      </c>
      <c r="C676" s="15">
        <v>51</v>
      </c>
    </row>
    <row r="677" spans="1:3" x14ac:dyDescent="0.55000000000000004">
      <c r="A677" s="18">
        <v>41592</v>
      </c>
      <c r="B677" s="15" t="s">
        <v>56</v>
      </c>
      <c r="C677" s="15">
        <v>54</v>
      </c>
    </row>
    <row r="678" spans="1:3" x14ac:dyDescent="0.55000000000000004">
      <c r="A678" s="18">
        <v>41520</v>
      </c>
      <c r="B678" s="15" t="s">
        <v>63</v>
      </c>
      <c r="C678" s="15">
        <v>36</v>
      </c>
    </row>
    <row r="679" spans="1:3" x14ac:dyDescent="0.55000000000000004">
      <c r="A679" s="18">
        <v>41512</v>
      </c>
      <c r="B679" s="15" t="s">
        <v>66</v>
      </c>
      <c r="C679" s="15">
        <v>37</v>
      </c>
    </row>
    <row r="680" spans="1:3" x14ac:dyDescent="0.55000000000000004">
      <c r="A680" s="18">
        <v>41542</v>
      </c>
      <c r="B680" s="15" t="s">
        <v>47</v>
      </c>
      <c r="C680" s="15">
        <v>16</v>
      </c>
    </row>
    <row r="681" spans="1:3" x14ac:dyDescent="0.55000000000000004">
      <c r="A681" s="18">
        <v>41516</v>
      </c>
      <c r="B681" s="15" t="s">
        <v>53</v>
      </c>
      <c r="C681" s="15">
        <v>53</v>
      </c>
    </row>
    <row r="682" spans="1:3" x14ac:dyDescent="0.55000000000000004">
      <c r="A682" s="18">
        <v>41611</v>
      </c>
      <c r="B682" s="15" t="s">
        <v>57</v>
      </c>
      <c r="C682" s="15">
        <v>21</v>
      </c>
    </row>
    <row r="683" spans="1:3" x14ac:dyDescent="0.55000000000000004">
      <c r="A683" s="18">
        <v>41514</v>
      </c>
      <c r="B683" s="15" t="s">
        <v>68</v>
      </c>
      <c r="C683" s="15">
        <v>30</v>
      </c>
    </row>
    <row r="684" spans="1:3" x14ac:dyDescent="0.55000000000000004">
      <c r="A684" s="18">
        <v>41646</v>
      </c>
      <c r="B684" s="15" t="s">
        <v>50</v>
      </c>
      <c r="C684" s="15">
        <v>50</v>
      </c>
    </row>
    <row r="685" spans="1:3" x14ac:dyDescent="0.55000000000000004">
      <c r="A685" s="18">
        <v>41560</v>
      </c>
      <c r="B685" s="15" t="s">
        <v>53</v>
      </c>
      <c r="C685" s="15">
        <v>38</v>
      </c>
    </row>
    <row r="686" spans="1:3" x14ac:dyDescent="0.55000000000000004">
      <c r="A686" s="18">
        <v>41585</v>
      </c>
      <c r="B686" s="15" t="s">
        <v>64</v>
      </c>
      <c r="C686" s="15">
        <v>16</v>
      </c>
    </row>
    <row r="687" spans="1:3" x14ac:dyDescent="0.55000000000000004">
      <c r="A687" s="18">
        <v>41501</v>
      </c>
      <c r="B687" s="15" t="s">
        <v>54</v>
      </c>
      <c r="C687" s="15">
        <v>14</v>
      </c>
    </row>
    <row r="688" spans="1:3" x14ac:dyDescent="0.55000000000000004">
      <c r="A688" s="18">
        <v>41556</v>
      </c>
      <c r="B688" s="15" t="s">
        <v>51</v>
      </c>
      <c r="C688" s="15">
        <v>55</v>
      </c>
    </row>
    <row r="689" spans="1:3" x14ac:dyDescent="0.55000000000000004">
      <c r="A689" s="18">
        <v>41611</v>
      </c>
      <c r="B689" s="15" t="s">
        <v>53</v>
      </c>
      <c r="C689" s="15">
        <v>58</v>
      </c>
    </row>
    <row r="690" spans="1:3" x14ac:dyDescent="0.55000000000000004">
      <c r="A690" s="18">
        <v>41504</v>
      </c>
      <c r="B690" s="15" t="s">
        <v>50</v>
      </c>
      <c r="C690" s="15">
        <v>32</v>
      </c>
    </row>
    <row r="691" spans="1:3" x14ac:dyDescent="0.55000000000000004">
      <c r="A691" s="18">
        <v>41636</v>
      </c>
      <c r="B691" s="15" t="s">
        <v>53</v>
      </c>
      <c r="C691" s="15">
        <v>33</v>
      </c>
    </row>
    <row r="692" spans="1:3" x14ac:dyDescent="0.55000000000000004">
      <c r="A692" s="18">
        <v>41636</v>
      </c>
      <c r="B692" s="15" t="s">
        <v>61</v>
      </c>
      <c r="C692" s="15">
        <v>57</v>
      </c>
    </row>
    <row r="693" spans="1:3" x14ac:dyDescent="0.55000000000000004">
      <c r="A693" s="18">
        <v>41643</v>
      </c>
      <c r="B693" s="15" t="s">
        <v>68</v>
      </c>
      <c r="C693" s="15">
        <v>11</v>
      </c>
    </row>
    <row r="694" spans="1:3" x14ac:dyDescent="0.55000000000000004">
      <c r="A694" s="18">
        <v>41530</v>
      </c>
      <c r="B694" s="15" t="s">
        <v>53</v>
      </c>
      <c r="C694" s="15">
        <v>31</v>
      </c>
    </row>
    <row r="695" spans="1:3" x14ac:dyDescent="0.55000000000000004">
      <c r="A695" s="18">
        <v>41589</v>
      </c>
      <c r="B695" s="15" t="s">
        <v>46</v>
      </c>
      <c r="C695" s="15">
        <v>59</v>
      </c>
    </row>
    <row r="696" spans="1:3" x14ac:dyDescent="0.55000000000000004">
      <c r="A696" s="18">
        <v>41500</v>
      </c>
      <c r="B696" s="15" t="s">
        <v>61</v>
      </c>
      <c r="C696" s="15">
        <v>31</v>
      </c>
    </row>
    <row r="697" spans="1:3" x14ac:dyDescent="0.55000000000000004">
      <c r="A697" s="18">
        <v>41577</v>
      </c>
      <c r="B697" s="15" t="s">
        <v>68</v>
      </c>
      <c r="C697" s="15">
        <v>24</v>
      </c>
    </row>
    <row r="698" spans="1:3" x14ac:dyDescent="0.55000000000000004">
      <c r="A698" s="18">
        <v>41520</v>
      </c>
      <c r="B698" s="15" t="s">
        <v>65</v>
      </c>
      <c r="C698" s="15">
        <v>21</v>
      </c>
    </row>
    <row r="699" spans="1:3" x14ac:dyDescent="0.55000000000000004">
      <c r="A699" s="18">
        <v>41602</v>
      </c>
      <c r="B699" s="15" t="s">
        <v>62</v>
      </c>
      <c r="C699" s="15">
        <v>37</v>
      </c>
    </row>
    <row r="700" spans="1:3" x14ac:dyDescent="0.55000000000000004">
      <c r="A700" s="18">
        <v>41562</v>
      </c>
      <c r="B700" s="15" t="s">
        <v>61</v>
      </c>
      <c r="C700" s="15">
        <v>41</v>
      </c>
    </row>
    <row r="701" spans="1:3" x14ac:dyDescent="0.55000000000000004">
      <c r="A701" s="18">
        <v>41641</v>
      </c>
      <c r="B701" s="15" t="s">
        <v>62</v>
      </c>
      <c r="C701" s="15">
        <v>42</v>
      </c>
    </row>
    <row r="702" spans="1:3" x14ac:dyDescent="0.55000000000000004">
      <c r="A702" s="18">
        <v>41524</v>
      </c>
      <c r="B702" s="15" t="s">
        <v>45</v>
      </c>
      <c r="C702" s="15">
        <v>11</v>
      </c>
    </row>
    <row r="703" spans="1:3" x14ac:dyDescent="0.55000000000000004">
      <c r="A703" s="18">
        <v>41535</v>
      </c>
      <c r="B703" s="15" t="s">
        <v>67</v>
      </c>
      <c r="C703" s="15">
        <v>58</v>
      </c>
    </row>
    <row r="704" spans="1:3" x14ac:dyDescent="0.55000000000000004">
      <c r="A704" s="18">
        <v>41606</v>
      </c>
      <c r="B704" s="15" t="s">
        <v>52</v>
      </c>
      <c r="C704" s="15">
        <v>32</v>
      </c>
    </row>
    <row r="705" spans="1:3" x14ac:dyDescent="0.55000000000000004">
      <c r="A705" s="18">
        <v>41512</v>
      </c>
      <c r="B705" s="15" t="s">
        <v>46</v>
      </c>
      <c r="C705" s="15">
        <v>19</v>
      </c>
    </row>
    <row r="706" spans="1:3" x14ac:dyDescent="0.55000000000000004">
      <c r="A706" s="18">
        <v>41625</v>
      </c>
      <c r="B706" s="15" t="s">
        <v>58</v>
      </c>
      <c r="C706" s="15">
        <v>39</v>
      </c>
    </row>
    <row r="707" spans="1:3" x14ac:dyDescent="0.55000000000000004">
      <c r="A707" s="18">
        <v>41504</v>
      </c>
      <c r="B707" s="15" t="s">
        <v>64</v>
      </c>
      <c r="C707" s="15">
        <v>17</v>
      </c>
    </row>
    <row r="708" spans="1:3" x14ac:dyDescent="0.55000000000000004">
      <c r="A708" s="18">
        <v>41606</v>
      </c>
      <c r="B708" s="15" t="s">
        <v>49</v>
      </c>
      <c r="C708" s="15">
        <v>53</v>
      </c>
    </row>
    <row r="709" spans="1:3" x14ac:dyDescent="0.55000000000000004">
      <c r="A709" s="18">
        <v>41576</v>
      </c>
      <c r="B709" s="15" t="s">
        <v>59</v>
      </c>
      <c r="C709" s="15">
        <v>52</v>
      </c>
    </row>
    <row r="710" spans="1:3" x14ac:dyDescent="0.55000000000000004">
      <c r="A710" s="18">
        <v>41563</v>
      </c>
      <c r="B710" s="15" t="s">
        <v>60</v>
      </c>
      <c r="C710" s="15">
        <v>59</v>
      </c>
    </row>
    <row r="711" spans="1:3" x14ac:dyDescent="0.55000000000000004">
      <c r="A711" s="18">
        <v>41637</v>
      </c>
      <c r="B711" s="15" t="s">
        <v>56</v>
      </c>
      <c r="C711" s="15">
        <v>18</v>
      </c>
    </row>
    <row r="712" spans="1:3" x14ac:dyDescent="0.55000000000000004">
      <c r="A712" s="18">
        <v>41527</v>
      </c>
      <c r="B712" s="15" t="s">
        <v>66</v>
      </c>
      <c r="C712" s="15">
        <v>33</v>
      </c>
    </row>
    <row r="713" spans="1:3" x14ac:dyDescent="0.55000000000000004">
      <c r="A713" s="18">
        <v>41535</v>
      </c>
      <c r="B713" s="15" t="s">
        <v>53</v>
      </c>
      <c r="C713" s="15">
        <v>11</v>
      </c>
    </row>
    <row r="714" spans="1:3" x14ac:dyDescent="0.55000000000000004">
      <c r="A714" s="18">
        <v>41602</v>
      </c>
      <c r="B714" s="15" t="s">
        <v>52</v>
      </c>
      <c r="C714" s="15">
        <v>28</v>
      </c>
    </row>
    <row r="715" spans="1:3" x14ac:dyDescent="0.55000000000000004">
      <c r="A715" s="18">
        <v>41515</v>
      </c>
      <c r="B715" s="15" t="s">
        <v>51</v>
      </c>
      <c r="C715" s="15">
        <v>45</v>
      </c>
    </row>
    <row r="716" spans="1:3" x14ac:dyDescent="0.55000000000000004">
      <c r="A716" s="18">
        <v>41540</v>
      </c>
      <c r="B716" s="15" t="s">
        <v>51</v>
      </c>
      <c r="C716" s="15">
        <v>17</v>
      </c>
    </row>
    <row r="717" spans="1:3" x14ac:dyDescent="0.55000000000000004">
      <c r="A717" s="18">
        <v>41632</v>
      </c>
      <c r="B717" s="15" t="s">
        <v>51</v>
      </c>
      <c r="C717" s="15">
        <v>27</v>
      </c>
    </row>
    <row r="718" spans="1:3" x14ac:dyDescent="0.55000000000000004">
      <c r="A718" s="18">
        <v>41539</v>
      </c>
      <c r="B718" s="15" t="s">
        <v>52</v>
      </c>
      <c r="C718" s="15">
        <v>39</v>
      </c>
    </row>
    <row r="719" spans="1:3" x14ac:dyDescent="0.55000000000000004">
      <c r="A719" s="18">
        <v>41632</v>
      </c>
      <c r="B719" s="15" t="s">
        <v>52</v>
      </c>
      <c r="C719" s="15">
        <v>27</v>
      </c>
    </row>
    <row r="720" spans="1:3" x14ac:dyDescent="0.55000000000000004">
      <c r="A720" s="18">
        <v>41596</v>
      </c>
      <c r="B720" s="15" t="s">
        <v>65</v>
      </c>
      <c r="C720" s="15">
        <v>22</v>
      </c>
    </row>
    <row r="721" spans="1:3" x14ac:dyDescent="0.55000000000000004">
      <c r="A721" s="18">
        <v>41603</v>
      </c>
      <c r="B721" s="15" t="s">
        <v>65</v>
      </c>
      <c r="C721" s="15">
        <v>39</v>
      </c>
    </row>
    <row r="722" spans="1:3" x14ac:dyDescent="0.55000000000000004">
      <c r="A722" s="18">
        <v>41634</v>
      </c>
      <c r="B722" s="15" t="s">
        <v>58</v>
      </c>
      <c r="C722" s="15">
        <v>11</v>
      </c>
    </row>
    <row r="723" spans="1:3" x14ac:dyDescent="0.55000000000000004">
      <c r="A723" s="18">
        <v>41562</v>
      </c>
      <c r="B723" s="15" t="s">
        <v>66</v>
      </c>
      <c r="C723" s="15">
        <v>11</v>
      </c>
    </row>
    <row r="724" spans="1:3" x14ac:dyDescent="0.55000000000000004">
      <c r="A724" s="18">
        <v>41640</v>
      </c>
      <c r="B724" s="15" t="s">
        <v>57</v>
      </c>
      <c r="C724" s="15">
        <v>17</v>
      </c>
    </row>
    <row r="725" spans="1:3" x14ac:dyDescent="0.55000000000000004">
      <c r="A725" s="18">
        <v>41607</v>
      </c>
      <c r="B725" s="15" t="s">
        <v>64</v>
      </c>
      <c r="C725" s="15">
        <v>29</v>
      </c>
    </row>
    <row r="726" spans="1:3" x14ac:dyDescent="0.55000000000000004">
      <c r="A726" s="18">
        <v>41586</v>
      </c>
      <c r="B726" s="15" t="s">
        <v>58</v>
      </c>
      <c r="C726" s="15">
        <v>44</v>
      </c>
    </row>
    <row r="727" spans="1:3" x14ac:dyDescent="0.55000000000000004">
      <c r="A727" s="18">
        <v>41564</v>
      </c>
      <c r="B727" s="15" t="s">
        <v>50</v>
      </c>
      <c r="C727" s="15">
        <v>17</v>
      </c>
    </row>
    <row r="728" spans="1:3" x14ac:dyDescent="0.55000000000000004">
      <c r="A728" s="18">
        <v>41648</v>
      </c>
      <c r="B728" s="15" t="s">
        <v>55</v>
      </c>
      <c r="C728" s="15">
        <v>18</v>
      </c>
    </row>
    <row r="729" spans="1:3" x14ac:dyDescent="0.55000000000000004">
      <c r="A729" s="18">
        <v>41632</v>
      </c>
      <c r="B729" s="15" t="s">
        <v>53</v>
      </c>
      <c r="C729" s="15">
        <v>11</v>
      </c>
    </row>
    <row r="730" spans="1:3" x14ac:dyDescent="0.55000000000000004">
      <c r="A730" s="18">
        <v>41565</v>
      </c>
      <c r="B730" s="15" t="s">
        <v>66</v>
      </c>
      <c r="C730" s="15">
        <v>22</v>
      </c>
    </row>
    <row r="731" spans="1:3" x14ac:dyDescent="0.55000000000000004">
      <c r="A731" s="18">
        <v>41535</v>
      </c>
      <c r="B731" s="15" t="s">
        <v>64</v>
      </c>
      <c r="C731" s="15">
        <v>27</v>
      </c>
    </row>
    <row r="732" spans="1:3" x14ac:dyDescent="0.55000000000000004">
      <c r="A732" s="18">
        <v>41578</v>
      </c>
      <c r="B732" s="15" t="s">
        <v>60</v>
      </c>
      <c r="C732" s="15">
        <v>25</v>
      </c>
    </row>
    <row r="733" spans="1:3" x14ac:dyDescent="0.55000000000000004">
      <c r="A733" s="18">
        <v>41528</v>
      </c>
      <c r="B733" s="15" t="s">
        <v>46</v>
      </c>
      <c r="C733" s="15">
        <v>50</v>
      </c>
    </row>
    <row r="734" spans="1:3" x14ac:dyDescent="0.55000000000000004">
      <c r="A734" s="18">
        <v>41643</v>
      </c>
      <c r="B734" s="15" t="s">
        <v>51</v>
      </c>
      <c r="C734" s="15">
        <v>54</v>
      </c>
    </row>
    <row r="735" spans="1:3" x14ac:dyDescent="0.55000000000000004">
      <c r="A735" s="18">
        <v>41598</v>
      </c>
      <c r="B735" s="15" t="s">
        <v>45</v>
      </c>
      <c r="C735" s="15">
        <v>25</v>
      </c>
    </row>
    <row r="736" spans="1:3" x14ac:dyDescent="0.55000000000000004">
      <c r="A736" s="18">
        <v>41611</v>
      </c>
      <c r="B736" s="15" t="s">
        <v>67</v>
      </c>
      <c r="C736" s="15">
        <v>39</v>
      </c>
    </row>
    <row r="737" spans="1:3" x14ac:dyDescent="0.55000000000000004">
      <c r="A737" s="18">
        <v>41573</v>
      </c>
      <c r="B737" s="15" t="s">
        <v>48</v>
      </c>
      <c r="C737" s="15">
        <v>49</v>
      </c>
    </row>
    <row r="738" spans="1:3" x14ac:dyDescent="0.55000000000000004">
      <c r="A738" s="18">
        <v>41535</v>
      </c>
      <c r="B738" s="15" t="s">
        <v>53</v>
      </c>
      <c r="C738" s="15">
        <v>22</v>
      </c>
    </row>
    <row r="739" spans="1:3" x14ac:dyDescent="0.55000000000000004">
      <c r="A739" s="18">
        <v>41575</v>
      </c>
      <c r="B739" s="15" t="s">
        <v>50</v>
      </c>
      <c r="C739" s="15">
        <v>49</v>
      </c>
    </row>
    <row r="740" spans="1:3" x14ac:dyDescent="0.55000000000000004">
      <c r="A740" s="18">
        <v>41555</v>
      </c>
      <c r="B740" s="15" t="s">
        <v>57</v>
      </c>
      <c r="C740" s="15">
        <v>26</v>
      </c>
    </row>
    <row r="741" spans="1:3" x14ac:dyDescent="0.55000000000000004">
      <c r="A741" s="18">
        <v>41618</v>
      </c>
      <c r="B741" s="15" t="s">
        <v>52</v>
      </c>
      <c r="C741" s="15">
        <v>13</v>
      </c>
    </row>
    <row r="742" spans="1:3" x14ac:dyDescent="0.55000000000000004">
      <c r="A742" s="18">
        <v>41623</v>
      </c>
      <c r="B742" s="15" t="s">
        <v>51</v>
      </c>
      <c r="C742" s="15">
        <v>25</v>
      </c>
    </row>
    <row r="743" spans="1:3" x14ac:dyDescent="0.55000000000000004">
      <c r="A743" s="18">
        <v>41503</v>
      </c>
      <c r="B743" s="15" t="s">
        <v>60</v>
      </c>
      <c r="C743" s="15">
        <v>24</v>
      </c>
    </row>
    <row r="744" spans="1:3" x14ac:dyDescent="0.55000000000000004">
      <c r="A744" s="18">
        <v>41562</v>
      </c>
      <c r="B744" s="15" t="s">
        <v>51</v>
      </c>
      <c r="C744" s="15">
        <v>27</v>
      </c>
    </row>
    <row r="745" spans="1:3" x14ac:dyDescent="0.55000000000000004">
      <c r="A745" s="18">
        <v>41593</v>
      </c>
      <c r="B745" s="15" t="s">
        <v>58</v>
      </c>
      <c r="C745" s="15">
        <v>23</v>
      </c>
    </row>
    <row r="746" spans="1:3" x14ac:dyDescent="0.55000000000000004">
      <c r="A746" s="18">
        <v>41634</v>
      </c>
      <c r="B746" s="15" t="s">
        <v>55</v>
      </c>
      <c r="C746" s="15">
        <v>32</v>
      </c>
    </row>
    <row r="747" spans="1:3" x14ac:dyDescent="0.55000000000000004">
      <c r="A747" s="18">
        <v>41646</v>
      </c>
      <c r="B747" s="15" t="s">
        <v>65</v>
      </c>
      <c r="C747" s="15">
        <v>36</v>
      </c>
    </row>
    <row r="748" spans="1:3" x14ac:dyDescent="0.55000000000000004">
      <c r="A748" s="18">
        <v>41533</v>
      </c>
      <c r="B748" s="15" t="s">
        <v>52</v>
      </c>
      <c r="C748" s="15">
        <v>44</v>
      </c>
    </row>
    <row r="749" spans="1:3" x14ac:dyDescent="0.55000000000000004">
      <c r="A749" s="18">
        <v>41576</v>
      </c>
      <c r="B749" s="15" t="s">
        <v>65</v>
      </c>
      <c r="C749" s="15">
        <v>59</v>
      </c>
    </row>
    <row r="750" spans="1:3" x14ac:dyDescent="0.55000000000000004">
      <c r="A750" s="18">
        <v>41572</v>
      </c>
      <c r="B750" s="15" t="s">
        <v>66</v>
      </c>
      <c r="C750" s="15">
        <v>23</v>
      </c>
    </row>
    <row r="751" spans="1:3" x14ac:dyDescent="0.55000000000000004">
      <c r="A751" s="18">
        <v>41577</v>
      </c>
      <c r="B751" s="15" t="s">
        <v>45</v>
      </c>
      <c r="C751" s="15">
        <v>56</v>
      </c>
    </row>
    <row r="752" spans="1:3" x14ac:dyDescent="0.55000000000000004">
      <c r="A752" s="18">
        <v>41629</v>
      </c>
      <c r="B752" s="15" t="s">
        <v>63</v>
      </c>
      <c r="C752" s="15">
        <v>53</v>
      </c>
    </row>
    <row r="753" spans="1:3" x14ac:dyDescent="0.55000000000000004">
      <c r="A753" s="18">
        <v>41548</v>
      </c>
      <c r="B753" s="15" t="s">
        <v>67</v>
      </c>
      <c r="C753" s="15">
        <v>32</v>
      </c>
    </row>
    <row r="754" spans="1:3" x14ac:dyDescent="0.55000000000000004">
      <c r="A754" s="18">
        <v>41600</v>
      </c>
      <c r="B754" s="15" t="s">
        <v>64</v>
      </c>
      <c r="C754" s="15">
        <v>40</v>
      </c>
    </row>
    <row r="755" spans="1:3" x14ac:dyDescent="0.55000000000000004">
      <c r="A755" s="18">
        <v>41515</v>
      </c>
      <c r="B755" s="15" t="s">
        <v>68</v>
      </c>
      <c r="C755" s="15">
        <v>29</v>
      </c>
    </row>
    <row r="756" spans="1:3" x14ac:dyDescent="0.55000000000000004">
      <c r="A756" s="18">
        <v>41556</v>
      </c>
      <c r="B756" s="15" t="s">
        <v>47</v>
      </c>
      <c r="C756" s="15">
        <v>40</v>
      </c>
    </row>
    <row r="757" spans="1:3" x14ac:dyDescent="0.55000000000000004">
      <c r="A757" s="18">
        <v>41565</v>
      </c>
      <c r="B757" s="15" t="s">
        <v>45</v>
      </c>
      <c r="C757" s="15">
        <v>11</v>
      </c>
    </row>
    <row r="758" spans="1:3" x14ac:dyDescent="0.55000000000000004">
      <c r="A758" s="18">
        <v>41612</v>
      </c>
      <c r="B758" s="15" t="s">
        <v>67</v>
      </c>
      <c r="C758" s="15">
        <v>47</v>
      </c>
    </row>
    <row r="759" spans="1:3" x14ac:dyDescent="0.55000000000000004">
      <c r="A759" s="18">
        <v>41648</v>
      </c>
      <c r="B759" s="15" t="s">
        <v>65</v>
      </c>
      <c r="C759" s="15">
        <v>51</v>
      </c>
    </row>
    <row r="760" spans="1:3" x14ac:dyDescent="0.55000000000000004">
      <c r="A760" s="18">
        <v>41583</v>
      </c>
      <c r="B760" s="15" t="s">
        <v>47</v>
      </c>
      <c r="C760" s="15">
        <v>14</v>
      </c>
    </row>
    <row r="761" spans="1:3" x14ac:dyDescent="0.55000000000000004">
      <c r="A761" s="18">
        <v>41649</v>
      </c>
      <c r="B761" s="15" t="s">
        <v>67</v>
      </c>
      <c r="C761" s="15">
        <v>56</v>
      </c>
    </row>
    <row r="762" spans="1:3" x14ac:dyDescent="0.55000000000000004">
      <c r="A762" s="18">
        <v>41530</v>
      </c>
      <c r="B762" s="15" t="s">
        <v>63</v>
      </c>
      <c r="C762" s="15">
        <v>15</v>
      </c>
    </row>
    <row r="763" spans="1:3" x14ac:dyDescent="0.55000000000000004">
      <c r="A763" s="18">
        <v>41613</v>
      </c>
      <c r="B763" s="15" t="s">
        <v>64</v>
      </c>
      <c r="C763" s="15">
        <v>26</v>
      </c>
    </row>
    <row r="764" spans="1:3" x14ac:dyDescent="0.55000000000000004">
      <c r="A764" s="18">
        <v>41548</v>
      </c>
      <c r="B764" s="15" t="s">
        <v>50</v>
      </c>
      <c r="C764" s="15">
        <v>33</v>
      </c>
    </row>
    <row r="765" spans="1:3" x14ac:dyDescent="0.55000000000000004">
      <c r="A765" s="18">
        <v>41542</v>
      </c>
      <c r="B765" s="15" t="s">
        <v>61</v>
      </c>
      <c r="C765" s="15">
        <v>23</v>
      </c>
    </row>
    <row r="766" spans="1:3" x14ac:dyDescent="0.55000000000000004">
      <c r="A766" s="18">
        <v>41562</v>
      </c>
      <c r="B766" s="15" t="s">
        <v>59</v>
      </c>
      <c r="C766" s="15">
        <v>15</v>
      </c>
    </row>
    <row r="767" spans="1:3" x14ac:dyDescent="0.55000000000000004">
      <c r="A767" s="18">
        <v>41607</v>
      </c>
      <c r="B767" s="15" t="s">
        <v>64</v>
      </c>
      <c r="C767" s="15">
        <v>18</v>
      </c>
    </row>
    <row r="768" spans="1:3" x14ac:dyDescent="0.55000000000000004">
      <c r="A768" s="18">
        <v>41607</v>
      </c>
      <c r="B768" s="15" t="s">
        <v>52</v>
      </c>
      <c r="C768" s="15">
        <v>32</v>
      </c>
    </row>
    <row r="769" spans="1:3" x14ac:dyDescent="0.55000000000000004">
      <c r="A769" s="18">
        <v>41591</v>
      </c>
      <c r="B769" s="15" t="s">
        <v>66</v>
      </c>
      <c r="C769" s="15">
        <v>40</v>
      </c>
    </row>
    <row r="770" spans="1:3" x14ac:dyDescent="0.55000000000000004">
      <c r="A770" s="18">
        <v>41646</v>
      </c>
      <c r="B770" s="15" t="s">
        <v>60</v>
      </c>
      <c r="C770" s="15">
        <v>13</v>
      </c>
    </row>
    <row r="771" spans="1:3" x14ac:dyDescent="0.55000000000000004">
      <c r="A771" s="18">
        <v>41514</v>
      </c>
      <c r="B771" s="15" t="s">
        <v>52</v>
      </c>
      <c r="C771" s="15">
        <v>17</v>
      </c>
    </row>
    <row r="772" spans="1:3" x14ac:dyDescent="0.55000000000000004">
      <c r="A772" s="18">
        <v>41634</v>
      </c>
      <c r="B772" s="15" t="s">
        <v>66</v>
      </c>
      <c r="C772" s="15">
        <v>51</v>
      </c>
    </row>
    <row r="773" spans="1:3" x14ac:dyDescent="0.55000000000000004">
      <c r="A773" s="18">
        <v>41626</v>
      </c>
      <c r="B773" s="15" t="s">
        <v>53</v>
      </c>
      <c r="C773" s="15">
        <v>29</v>
      </c>
    </row>
    <row r="774" spans="1:3" x14ac:dyDescent="0.55000000000000004">
      <c r="A774" s="18">
        <v>41508</v>
      </c>
      <c r="B774" s="15" t="s">
        <v>46</v>
      </c>
      <c r="C774" s="15">
        <v>21</v>
      </c>
    </row>
    <row r="775" spans="1:3" x14ac:dyDescent="0.55000000000000004">
      <c r="A775" s="18">
        <v>41604</v>
      </c>
      <c r="B775" s="15" t="s">
        <v>61</v>
      </c>
      <c r="C775" s="15">
        <v>18</v>
      </c>
    </row>
    <row r="776" spans="1:3" x14ac:dyDescent="0.55000000000000004">
      <c r="A776" s="18">
        <v>41632</v>
      </c>
      <c r="B776" s="15" t="s">
        <v>54</v>
      </c>
      <c r="C776" s="15">
        <v>51</v>
      </c>
    </row>
    <row r="777" spans="1:3" x14ac:dyDescent="0.55000000000000004">
      <c r="A777" s="18">
        <v>41514</v>
      </c>
      <c r="B777" s="15" t="s">
        <v>56</v>
      </c>
      <c r="C777" s="15">
        <v>47</v>
      </c>
    </row>
    <row r="778" spans="1:3" x14ac:dyDescent="0.55000000000000004">
      <c r="A778" s="18">
        <v>41516</v>
      </c>
      <c r="B778" s="15" t="s">
        <v>59</v>
      </c>
      <c r="C778" s="15">
        <v>54</v>
      </c>
    </row>
    <row r="779" spans="1:3" x14ac:dyDescent="0.55000000000000004">
      <c r="A779" s="18">
        <v>41531</v>
      </c>
      <c r="B779" s="15" t="s">
        <v>62</v>
      </c>
      <c r="C779" s="15">
        <v>32</v>
      </c>
    </row>
    <row r="780" spans="1:3" x14ac:dyDescent="0.55000000000000004">
      <c r="A780" s="18">
        <v>41584</v>
      </c>
      <c r="B780" s="15" t="s">
        <v>60</v>
      </c>
      <c r="C780" s="15">
        <v>29</v>
      </c>
    </row>
    <row r="781" spans="1:3" x14ac:dyDescent="0.55000000000000004">
      <c r="A781" s="18">
        <v>41519</v>
      </c>
      <c r="B781" s="15" t="s">
        <v>66</v>
      </c>
      <c r="C781" s="15">
        <v>45</v>
      </c>
    </row>
    <row r="782" spans="1:3" x14ac:dyDescent="0.55000000000000004">
      <c r="A782" s="18">
        <v>41617</v>
      </c>
      <c r="B782" s="15" t="s">
        <v>48</v>
      </c>
      <c r="C782" s="15">
        <v>23</v>
      </c>
    </row>
    <row r="783" spans="1:3" x14ac:dyDescent="0.55000000000000004">
      <c r="A783" s="18">
        <v>41635</v>
      </c>
      <c r="B783" s="15" t="s">
        <v>51</v>
      </c>
      <c r="C783" s="15">
        <v>47</v>
      </c>
    </row>
    <row r="784" spans="1:3" x14ac:dyDescent="0.55000000000000004">
      <c r="A784" s="18">
        <v>41640</v>
      </c>
      <c r="B784" s="15" t="s">
        <v>63</v>
      </c>
      <c r="C784" s="15">
        <v>17</v>
      </c>
    </row>
    <row r="785" spans="1:3" x14ac:dyDescent="0.55000000000000004">
      <c r="A785" s="18">
        <v>41620</v>
      </c>
      <c r="B785" s="15" t="s">
        <v>62</v>
      </c>
      <c r="C785" s="15">
        <v>42</v>
      </c>
    </row>
    <row r="786" spans="1:3" x14ac:dyDescent="0.55000000000000004">
      <c r="A786" s="18">
        <v>41539</v>
      </c>
      <c r="B786" s="15" t="s">
        <v>63</v>
      </c>
      <c r="C786" s="15">
        <v>56</v>
      </c>
    </row>
    <row r="787" spans="1:3" x14ac:dyDescent="0.55000000000000004">
      <c r="A787" s="18">
        <v>41600</v>
      </c>
      <c r="B787" s="15" t="s">
        <v>65</v>
      </c>
      <c r="C787" s="15">
        <v>27</v>
      </c>
    </row>
    <row r="788" spans="1:3" x14ac:dyDescent="0.55000000000000004">
      <c r="A788" s="18">
        <v>41648</v>
      </c>
      <c r="B788" s="15" t="s">
        <v>55</v>
      </c>
      <c r="C788" s="15">
        <v>45</v>
      </c>
    </row>
    <row r="789" spans="1:3" x14ac:dyDescent="0.55000000000000004">
      <c r="A789" s="18">
        <v>41508</v>
      </c>
      <c r="B789" s="15" t="s">
        <v>55</v>
      </c>
      <c r="C789" s="15">
        <v>37</v>
      </c>
    </row>
    <row r="790" spans="1:3" x14ac:dyDescent="0.55000000000000004">
      <c r="A790" s="18">
        <v>41570</v>
      </c>
      <c r="B790" s="15" t="s">
        <v>47</v>
      </c>
      <c r="C790" s="15">
        <v>34</v>
      </c>
    </row>
    <row r="791" spans="1:3" x14ac:dyDescent="0.55000000000000004">
      <c r="A791" s="18">
        <v>41565</v>
      </c>
      <c r="B791" s="15" t="s">
        <v>45</v>
      </c>
      <c r="C791" s="15">
        <v>58</v>
      </c>
    </row>
    <row r="792" spans="1:3" x14ac:dyDescent="0.55000000000000004">
      <c r="A792" s="18">
        <v>41636</v>
      </c>
      <c r="B792" s="15" t="s">
        <v>62</v>
      </c>
      <c r="C792" s="15">
        <v>23</v>
      </c>
    </row>
    <row r="793" spans="1:3" x14ac:dyDescent="0.55000000000000004">
      <c r="A793" s="18">
        <v>41613</v>
      </c>
      <c r="B793" s="15" t="s">
        <v>58</v>
      </c>
      <c r="C793" s="15">
        <v>54</v>
      </c>
    </row>
    <row r="794" spans="1:3" x14ac:dyDescent="0.55000000000000004">
      <c r="A794" s="18">
        <v>41547</v>
      </c>
      <c r="B794" s="15" t="s">
        <v>60</v>
      </c>
      <c r="C794" s="15">
        <v>58</v>
      </c>
    </row>
    <row r="795" spans="1:3" x14ac:dyDescent="0.55000000000000004">
      <c r="A795" s="18">
        <v>41537</v>
      </c>
      <c r="B795" s="15" t="s">
        <v>66</v>
      </c>
      <c r="C795" s="15">
        <v>23</v>
      </c>
    </row>
    <row r="796" spans="1:3" x14ac:dyDescent="0.55000000000000004">
      <c r="A796" s="18">
        <v>41644</v>
      </c>
      <c r="B796" s="15" t="s">
        <v>67</v>
      </c>
      <c r="C796" s="15">
        <v>51</v>
      </c>
    </row>
    <row r="797" spans="1:3" x14ac:dyDescent="0.55000000000000004">
      <c r="A797" s="18">
        <v>41595</v>
      </c>
      <c r="B797" s="15" t="s">
        <v>66</v>
      </c>
      <c r="C797" s="15">
        <v>38</v>
      </c>
    </row>
    <row r="798" spans="1:3" x14ac:dyDescent="0.55000000000000004">
      <c r="A798" s="18">
        <v>41597</v>
      </c>
      <c r="B798" s="15" t="s">
        <v>48</v>
      </c>
      <c r="C798" s="15">
        <v>32</v>
      </c>
    </row>
    <row r="799" spans="1:3" x14ac:dyDescent="0.55000000000000004">
      <c r="A799" s="18">
        <v>41601</v>
      </c>
      <c r="B799" s="15" t="s">
        <v>51</v>
      </c>
      <c r="C799" s="15">
        <v>33</v>
      </c>
    </row>
    <row r="800" spans="1:3" x14ac:dyDescent="0.55000000000000004">
      <c r="A800" s="18">
        <v>41616</v>
      </c>
      <c r="B800" s="15" t="s">
        <v>62</v>
      </c>
      <c r="C800" s="15">
        <v>47</v>
      </c>
    </row>
    <row r="801" spans="1:3" x14ac:dyDescent="0.55000000000000004">
      <c r="A801" s="18">
        <v>41529</v>
      </c>
      <c r="B801" s="15" t="s">
        <v>54</v>
      </c>
      <c r="C801" s="15">
        <v>16</v>
      </c>
    </row>
    <row r="802" spans="1:3" x14ac:dyDescent="0.55000000000000004">
      <c r="A802" s="18">
        <v>41628</v>
      </c>
      <c r="B802" s="15" t="s">
        <v>63</v>
      </c>
      <c r="C802" s="15">
        <v>18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0000FF"/>
  </sheetPr>
  <dimension ref="A1:G802"/>
  <sheetViews>
    <sheetView zoomScale="90" zoomScaleNormal="90" workbookViewId="0">
      <selection activeCell="A2" sqref="A2:A802"/>
    </sheetView>
  </sheetViews>
  <sheetFormatPr defaultRowHeight="14.4" x14ac:dyDescent="0.55000000000000004"/>
  <cols>
    <col min="1" max="1" width="22.578125" customWidth="1"/>
    <col min="2" max="2" width="18.15625" bestFit="1" customWidth="1"/>
    <col min="3" max="3" width="11" customWidth="1"/>
    <col min="5" max="5" width="13.15625" customWidth="1"/>
    <col min="6" max="6" width="13" customWidth="1"/>
    <col min="7" max="7" width="13.83984375" customWidth="1"/>
    <col min="11" max="11" width="13.15625" customWidth="1"/>
    <col min="13" max="13" width="10.83984375" customWidth="1"/>
    <col min="17" max="17" width="17.26171875" customWidth="1"/>
  </cols>
  <sheetData>
    <row r="1" spans="1:7" x14ac:dyDescent="0.55000000000000004">
      <c r="A1" s="17" t="s">
        <v>42</v>
      </c>
      <c r="B1" s="17" t="s">
        <v>43</v>
      </c>
      <c r="C1" s="17" t="s">
        <v>44</v>
      </c>
      <c r="E1" s="19" t="s">
        <v>70</v>
      </c>
      <c r="F1" s="18">
        <f>MIN($A$2:$A$802)</f>
        <v>41283</v>
      </c>
    </row>
    <row r="2" spans="1:7" x14ac:dyDescent="0.55000000000000004">
      <c r="A2" s="45" t="s">
        <v>71</v>
      </c>
      <c r="B2" s="15" t="s">
        <v>52</v>
      </c>
      <c r="C2" s="15">
        <v>51</v>
      </c>
      <c r="E2" s="19" t="s">
        <v>72</v>
      </c>
      <c r="F2" s="18">
        <f>MAX($A$2:$A$802)</f>
        <v>41944</v>
      </c>
    </row>
    <row r="3" spans="1:7" x14ac:dyDescent="0.55000000000000004">
      <c r="A3" s="45">
        <v>41526</v>
      </c>
      <c r="B3" s="15" t="s">
        <v>57</v>
      </c>
      <c r="C3" s="15">
        <v>12</v>
      </c>
    </row>
    <row r="4" spans="1:7" x14ac:dyDescent="0.55000000000000004">
      <c r="A4" s="45">
        <v>41587</v>
      </c>
      <c r="B4" s="15" t="s">
        <v>53</v>
      </c>
      <c r="C4" s="15">
        <v>38</v>
      </c>
    </row>
    <row r="5" spans="1:7" x14ac:dyDescent="0.55000000000000004">
      <c r="A5" s="45" t="s">
        <v>73</v>
      </c>
      <c r="B5" s="15" t="s">
        <v>49</v>
      </c>
      <c r="C5" s="15">
        <v>36</v>
      </c>
      <c r="E5" s="17" t="s">
        <v>74</v>
      </c>
      <c r="F5" s="17" t="s">
        <v>75</v>
      </c>
      <c r="G5" s="17" t="s">
        <v>37</v>
      </c>
    </row>
    <row r="6" spans="1:7" x14ac:dyDescent="0.55000000000000004">
      <c r="A6" s="45" t="s">
        <v>76</v>
      </c>
      <c r="B6" s="15" t="s">
        <v>49</v>
      </c>
      <c r="C6" s="15">
        <v>12</v>
      </c>
      <c r="E6" s="18">
        <f>F1</f>
        <v>41283</v>
      </c>
      <c r="F6" s="18">
        <f>EOMONTH(E6,0)</f>
        <v>41305</v>
      </c>
      <c r="G6" s="14">
        <f>SUMIFS($C$2:$C$802,$A$2:$A$802,"&gt;="&amp;E6,$A$2:$A$802,"&lt;="&amp;F6)</f>
        <v>593</v>
      </c>
    </row>
    <row r="7" spans="1:7" x14ac:dyDescent="0.55000000000000004">
      <c r="A7" s="45">
        <v>41435</v>
      </c>
      <c r="B7" s="15" t="s">
        <v>47</v>
      </c>
      <c r="C7" s="15">
        <v>26</v>
      </c>
      <c r="E7" s="18">
        <f>F6+1</f>
        <v>41306</v>
      </c>
      <c r="F7" s="18">
        <f>EOMONTH(E7,0)</f>
        <v>41333</v>
      </c>
      <c r="G7" s="14">
        <f t="shared" ref="G7:G11" si="0">SUMIFS($C$2:$C$802,$A$2:$A$802,"&gt;="&amp;E7,$A$2:$A$802,"&lt;="&amp;F7)</f>
        <v>906</v>
      </c>
    </row>
    <row r="8" spans="1:7" x14ac:dyDescent="0.55000000000000004">
      <c r="A8" s="45">
        <v>41883</v>
      </c>
      <c r="B8" s="15" t="s">
        <v>57</v>
      </c>
      <c r="C8" s="15">
        <v>13</v>
      </c>
      <c r="E8" s="18">
        <f t="shared" ref="E8:E11" si="1">F7+1</f>
        <v>41334</v>
      </c>
      <c r="F8" s="18">
        <f t="shared" ref="F8:F11" si="2">EOMONTH(E8,0)</f>
        <v>41364</v>
      </c>
      <c r="G8" s="14">
        <f t="shared" si="0"/>
        <v>527</v>
      </c>
    </row>
    <row r="9" spans="1:7" x14ac:dyDescent="0.55000000000000004">
      <c r="A9" s="45">
        <v>41345</v>
      </c>
      <c r="B9" s="15" t="s">
        <v>61</v>
      </c>
      <c r="C9" s="15">
        <v>29</v>
      </c>
      <c r="E9" s="18">
        <f t="shared" si="1"/>
        <v>41365</v>
      </c>
      <c r="F9" s="18">
        <f t="shared" si="2"/>
        <v>41394</v>
      </c>
      <c r="G9" s="14">
        <f t="shared" si="0"/>
        <v>591</v>
      </c>
    </row>
    <row r="10" spans="1:7" x14ac:dyDescent="0.55000000000000004">
      <c r="A10" s="45" t="s">
        <v>77</v>
      </c>
      <c r="B10" s="15" t="s">
        <v>51</v>
      </c>
      <c r="C10" s="15">
        <v>33</v>
      </c>
      <c r="E10" s="18">
        <f t="shared" si="1"/>
        <v>41395</v>
      </c>
      <c r="F10" s="18">
        <f t="shared" si="2"/>
        <v>41425</v>
      </c>
      <c r="G10" s="14">
        <f t="shared" si="0"/>
        <v>749</v>
      </c>
    </row>
    <row r="11" spans="1:7" x14ac:dyDescent="0.55000000000000004">
      <c r="A11" s="45" t="s">
        <v>78</v>
      </c>
      <c r="B11" s="15" t="s">
        <v>65</v>
      </c>
      <c r="C11" s="15">
        <v>48</v>
      </c>
      <c r="E11" s="18">
        <f t="shared" si="1"/>
        <v>41426</v>
      </c>
      <c r="F11" s="18">
        <f t="shared" si="2"/>
        <v>41455</v>
      </c>
      <c r="G11" s="14">
        <f t="shared" si="0"/>
        <v>709</v>
      </c>
    </row>
    <row r="12" spans="1:7" x14ac:dyDescent="0.55000000000000004">
      <c r="A12" s="45">
        <v>41620</v>
      </c>
      <c r="B12" s="15" t="s">
        <v>50</v>
      </c>
      <c r="C12" s="15">
        <v>45</v>
      </c>
      <c r="E12" s="20"/>
      <c r="F12" s="20"/>
    </row>
    <row r="13" spans="1:7" x14ac:dyDescent="0.55000000000000004">
      <c r="A13" s="45" t="s">
        <v>79</v>
      </c>
      <c r="B13" s="15" t="s">
        <v>47</v>
      </c>
      <c r="C13" s="15">
        <v>36</v>
      </c>
      <c r="E13" s="20"/>
      <c r="F13" s="20"/>
    </row>
    <row r="14" spans="1:7" x14ac:dyDescent="0.55000000000000004">
      <c r="A14" s="45" t="s">
        <v>80</v>
      </c>
      <c r="B14" s="15" t="s">
        <v>58</v>
      </c>
      <c r="C14" s="15">
        <v>54</v>
      </c>
    </row>
    <row r="15" spans="1:7" x14ac:dyDescent="0.55000000000000004">
      <c r="A15" s="45" t="s">
        <v>81</v>
      </c>
      <c r="B15" s="15" t="s">
        <v>47</v>
      </c>
      <c r="C15" s="15">
        <v>45</v>
      </c>
    </row>
    <row r="16" spans="1:7" x14ac:dyDescent="0.55000000000000004">
      <c r="A16" s="45">
        <v>41465</v>
      </c>
      <c r="B16" s="15" t="s">
        <v>56</v>
      </c>
      <c r="C16" s="15">
        <v>37</v>
      </c>
    </row>
    <row r="17" spans="1:3" x14ac:dyDescent="0.55000000000000004">
      <c r="A17" s="45" t="s">
        <v>82</v>
      </c>
      <c r="B17" s="15" t="s">
        <v>68</v>
      </c>
      <c r="C17" s="15">
        <v>41</v>
      </c>
    </row>
    <row r="18" spans="1:3" x14ac:dyDescent="0.55000000000000004">
      <c r="A18" s="45">
        <v>41589</v>
      </c>
      <c r="B18" s="15" t="s">
        <v>58</v>
      </c>
      <c r="C18" s="15">
        <v>46</v>
      </c>
    </row>
    <row r="19" spans="1:3" x14ac:dyDescent="0.55000000000000004">
      <c r="A19" s="45" t="s">
        <v>83</v>
      </c>
      <c r="B19" s="15" t="s">
        <v>69</v>
      </c>
      <c r="C19" s="15">
        <v>23</v>
      </c>
    </row>
    <row r="20" spans="1:3" x14ac:dyDescent="0.55000000000000004">
      <c r="A20" s="45" t="s">
        <v>84</v>
      </c>
      <c r="B20" s="15" t="s">
        <v>65</v>
      </c>
      <c r="C20" s="15">
        <v>27</v>
      </c>
    </row>
    <row r="21" spans="1:3" x14ac:dyDescent="0.55000000000000004">
      <c r="A21" s="45">
        <v>41529</v>
      </c>
      <c r="B21" s="15" t="s">
        <v>53</v>
      </c>
      <c r="C21" s="15">
        <v>55</v>
      </c>
    </row>
    <row r="22" spans="1:3" x14ac:dyDescent="0.55000000000000004">
      <c r="A22" s="45" t="s">
        <v>85</v>
      </c>
      <c r="B22" s="15" t="s">
        <v>47</v>
      </c>
      <c r="C22" s="15">
        <v>36</v>
      </c>
    </row>
    <row r="23" spans="1:3" x14ac:dyDescent="0.55000000000000004">
      <c r="A23" s="45" t="s">
        <v>86</v>
      </c>
      <c r="B23" s="15" t="s">
        <v>61</v>
      </c>
      <c r="C23" s="15">
        <v>15</v>
      </c>
    </row>
    <row r="24" spans="1:3" x14ac:dyDescent="0.55000000000000004">
      <c r="A24" s="45" t="s">
        <v>87</v>
      </c>
      <c r="B24" s="15" t="s">
        <v>62</v>
      </c>
      <c r="C24" s="15">
        <v>19</v>
      </c>
    </row>
    <row r="25" spans="1:3" x14ac:dyDescent="0.55000000000000004">
      <c r="A25" s="45">
        <v>41344</v>
      </c>
      <c r="B25" s="15" t="s">
        <v>62</v>
      </c>
      <c r="C25" s="15">
        <v>32</v>
      </c>
    </row>
    <row r="26" spans="1:3" x14ac:dyDescent="0.55000000000000004">
      <c r="A26" s="45" t="s">
        <v>88</v>
      </c>
      <c r="B26" s="15" t="s">
        <v>69</v>
      </c>
      <c r="C26" s="15">
        <v>30</v>
      </c>
    </row>
    <row r="27" spans="1:3" x14ac:dyDescent="0.55000000000000004">
      <c r="A27" s="45" t="s">
        <v>89</v>
      </c>
      <c r="B27" s="15" t="s">
        <v>62</v>
      </c>
      <c r="C27" s="15">
        <v>36</v>
      </c>
    </row>
    <row r="28" spans="1:3" x14ac:dyDescent="0.55000000000000004">
      <c r="A28" s="45" t="s">
        <v>80</v>
      </c>
      <c r="B28" s="15" t="s">
        <v>60</v>
      </c>
      <c r="C28" s="15">
        <v>43</v>
      </c>
    </row>
    <row r="29" spans="1:3" x14ac:dyDescent="0.55000000000000004">
      <c r="A29" s="45" t="s">
        <v>90</v>
      </c>
      <c r="B29" s="15" t="s">
        <v>65</v>
      </c>
      <c r="C29" s="15">
        <v>55</v>
      </c>
    </row>
    <row r="30" spans="1:3" x14ac:dyDescent="0.55000000000000004">
      <c r="A30" s="45">
        <v>41587</v>
      </c>
      <c r="B30" s="15" t="s">
        <v>46</v>
      </c>
      <c r="C30" s="15">
        <v>31</v>
      </c>
    </row>
    <row r="31" spans="1:3" x14ac:dyDescent="0.55000000000000004">
      <c r="A31" s="45" t="s">
        <v>88</v>
      </c>
      <c r="B31" s="15" t="s">
        <v>47</v>
      </c>
      <c r="C31" s="15">
        <v>14</v>
      </c>
    </row>
    <row r="32" spans="1:3" x14ac:dyDescent="0.55000000000000004">
      <c r="A32" s="45" t="s">
        <v>91</v>
      </c>
      <c r="B32" s="15" t="s">
        <v>57</v>
      </c>
      <c r="C32" s="15">
        <v>29</v>
      </c>
    </row>
    <row r="33" spans="1:3" x14ac:dyDescent="0.55000000000000004">
      <c r="A33" s="45">
        <v>41316</v>
      </c>
      <c r="B33" s="15" t="s">
        <v>54</v>
      </c>
      <c r="C33" s="15">
        <v>58</v>
      </c>
    </row>
    <row r="34" spans="1:3" x14ac:dyDescent="0.55000000000000004">
      <c r="A34" s="45" t="s">
        <v>85</v>
      </c>
      <c r="B34" s="15" t="s">
        <v>52</v>
      </c>
      <c r="C34" s="15">
        <v>37</v>
      </c>
    </row>
    <row r="35" spans="1:3" x14ac:dyDescent="0.55000000000000004">
      <c r="A35" s="45" t="s">
        <v>92</v>
      </c>
      <c r="B35" s="15" t="s">
        <v>54</v>
      </c>
      <c r="C35" s="15">
        <v>57</v>
      </c>
    </row>
    <row r="36" spans="1:3" x14ac:dyDescent="0.55000000000000004">
      <c r="A36" s="45" t="s">
        <v>93</v>
      </c>
      <c r="B36" s="15" t="s">
        <v>56</v>
      </c>
      <c r="C36" s="15">
        <v>43</v>
      </c>
    </row>
    <row r="37" spans="1:3" x14ac:dyDescent="0.55000000000000004">
      <c r="A37" s="45" t="s">
        <v>94</v>
      </c>
      <c r="B37" s="15" t="s">
        <v>48</v>
      </c>
      <c r="C37" s="15">
        <v>43</v>
      </c>
    </row>
    <row r="38" spans="1:3" x14ac:dyDescent="0.55000000000000004">
      <c r="A38" s="45" t="s">
        <v>95</v>
      </c>
      <c r="B38" s="15" t="s">
        <v>69</v>
      </c>
      <c r="C38" s="15">
        <v>49</v>
      </c>
    </row>
    <row r="39" spans="1:3" x14ac:dyDescent="0.55000000000000004">
      <c r="A39" s="45">
        <v>41404</v>
      </c>
      <c r="B39" s="15" t="s">
        <v>51</v>
      </c>
      <c r="C39" s="15">
        <v>56</v>
      </c>
    </row>
    <row r="40" spans="1:3" x14ac:dyDescent="0.55000000000000004">
      <c r="A40" s="45">
        <v>41345</v>
      </c>
      <c r="B40" s="15" t="s">
        <v>69</v>
      </c>
      <c r="C40" s="15">
        <v>58</v>
      </c>
    </row>
    <row r="41" spans="1:3" x14ac:dyDescent="0.55000000000000004">
      <c r="A41" s="45">
        <v>41495</v>
      </c>
      <c r="B41" s="15" t="s">
        <v>48</v>
      </c>
      <c r="C41" s="15">
        <v>17</v>
      </c>
    </row>
    <row r="42" spans="1:3" x14ac:dyDescent="0.55000000000000004">
      <c r="A42" s="45" t="s">
        <v>93</v>
      </c>
      <c r="B42" s="15" t="s">
        <v>52</v>
      </c>
      <c r="C42" s="15">
        <v>27</v>
      </c>
    </row>
    <row r="43" spans="1:3" x14ac:dyDescent="0.55000000000000004">
      <c r="A43" s="45" t="s">
        <v>96</v>
      </c>
      <c r="B43" s="15" t="s">
        <v>48</v>
      </c>
      <c r="C43" s="15">
        <v>26</v>
      </c>
    </row>
    <row r="44" spans="1:3" x14ac:dyDescent="0.55000000000000004">
      <c r="A44" s="45" t="s">
        <v>97</v>
      </c>
      <c r="B44" s="15" t="s">
        <v>54</v>
      </c>
      <c r="C44" s="15">
        <v>25</v>
      </c>
    </row>
    <row r="45" spans="1:3" x14ac:dyDescent="0.55000000000000004">
      <c r="A45" s="45">
        <v>41883</v>
      </c>
      <c r="B45" s="15" t="s">
        <v>57</v>
      </c>
      <c r="C45" s="15">
        <v>55</v>
      </c>
    </row>
    <row r="46" spans="1:3" x14ac:dyDescent="0.55000000000000004">
      <c r="A46" s="45" t="s">
        <v>83</v>
      </c>
      <c r="B46" s="15" t="s">
        <v>60</v>
      </c>
      <c r="C46" s="15">
        <v>31</v>
      </c>
    </row>
    <row r="47" spans="1:3" x14ac:dyDescent="0.55000000000000004">
      <c r="A47" s="45" t="s">
        <v>98</v>
      </c>
      <c r="B47" s="15" t="s">
        <v>45</v>
      </c>
      <c r="C47" s="15">
        <v>50</v>
      </c>
    </row>
    <row r="48" spans="1:3" x14ac:dyDescent="0.55000000000000004">
      <c r="A48" s="45" t="s">
        <v>76</v>
      </c>
      <c r="B48" s="15" t="s">
        <v>53</v>
      </c>
      <c r="C48" s="15">
        <v>42</v>
      </c>
    </row>
    <row r="49" spans="1:3" x14ac:dyDescent="0.55000000000000004">
      <c r="A49" s="45">
        <v>41671</v>
      </c>
      <c r="B49" s="15" t="s">
        <v>48</v>
      </c>
      <c r="C49" s="15">
        <v>40</v>
      </c>
    </row>
    <row r="50" spans="1:3" x14ac:dyDescent="0.55000000000000004">
      <c r="A50" s="45">
        <v>41375</v>
      </c>
      <c r="B50" s="15" t="s">
        <v>45</v>
      </c>
      <c r="C50" s="15">
        <v>35</v>
      </c>
    </row>
    <row r="51" spans="1:3" x14ac:dyDescent="0.55000000000000004">
      <c r="A51" s="45">
        <v>41374</v>
      </c>
      <c r="B51" s="15" t="s">
        <v>51</v>
      </c>
      <c r="C51" s="15">
        <v>17</v>
      </c>
    </row>
    <row r="52" spans="1:3" x14ac:dyDescent="0.55000000000000004">
      <c r="A52" s="45">
        <v>41286</v>
      </c>
      <c r="B52" s="15" t="s">
        <v>64</v>
      </c>
      <c r="C52" s="15">
        <v>17</v>
      </c>
    </row>
    <row r="53" spans="1:3" x14ac:dyDescent="0.55000000000000004">
      <c r="A53" s="45" t="s">
        <v>99</v>
      </c>
      <c r="B53" s="15" t="s">
        <v>48</v>
      </c>
      <c r="C53" s="15">
        <v>10</v>
      </c>
    </row>
    <row r="54" spans="1:3" x14ac:dyDescent="0.55000000000000004">
      <c r="A54" s="45" t="s">
        <v>100</v>
      </c>
      <c r="B54" s="15" t="s">
        <v>68</v>
      </c>
      <c r="C54" s="15">
        <v>17</v>
      </c>
    </row>
    <row r="55" spans="1:3" x14ac:dyDescent="0.55000000000000004">
      <c r="A55" s="45">
        <v>41375</v>
      </c>
      <c r="B55" s="15" t="s">
        <v>45</v>
      </c>
      <c r="C55" s="15">
        <v>27</v>
      </c>
    </row>
    <row r="56" spans="1:3" x14ac:dyDescent="0.55000000000000004">
      <c r="A56" s="45" t="s">
        <v>101</v>
      </c>
      <c r="B56" s="15" t="s">
        <v>55</v>
      </c>
      <c r="C56" s="15">
        <v>53</v>
      </c>
    </row>
    <row r="57" spans="1:3" x14ac:dyDescent="0.55000000000000004">
      <c r="A57" s="45" t="s">
        <v>102</v>
      </c>
      <c r="B57" s="15" t="s">
        <v>68</v>
      </c>
      <c r="C57" s="15">
        <v>59</v>
      </c>
    </row>
    <row r="58" spans="1:3" x14ac:dyDescent="0.55000000000000004">
      <c r="A58" s="45" t="s">
        <v>103</v>
      </c>
      <c r="B58" s="15" t="s">
        <v>62</v>
      </c>
      <c r="C58" s="15">
        <v>29</v>
      </c>
    </row>
    <row r="59" spans="1:3" x14ac:dyDescent="0.55000000000000004">
      <c r="A59" s="45" t="s">
        <v>104</v>
      </c>
      <c r="B59" s="15" t="s">
        <v>57</v>
      </c>
      <c r="C59" s="15">
        <v>49</v>
      </c>
    </row>
    <row r="60" spans="1:3" x14ac:dyDescent="0.55000000000000004">
      <c r="A60" s="45">
        <v>41465</v>
      </c>
      <c r="B60" s="15" t="s">
        <v>46</v>
      </c>
      <c r="C60" s="15">
        <v>33</v>
      </c>
    </row>
    <row r="61" spans="1:3" x14ac:dyDescent="0.55000000000000004">
      <c r="A61" s="45" t="s">
        <v>105</v>
      </c>
      <c r="B61" s="15" t="s">
        <v>65</v>
      </c>
      <c r="C61" s="15">
        <v>38</v>
      </c>
    </row>
    <row r="62" spans="1:3" x14ac:dyDescent="0.55000000000000004">
      <c r="A62" s="45">
        <v>41315</v>
      </c>
      <c r="B62" s="15" t="s">
        <v>68</v>
      </c>
      <c r="C62" s="15">
        <v>53</v>
      </c>
    </row>
    <row r="63" spans="1:3" x14ac:dyDescent="0.55000000000000004">
      <c r="A63" s="45" t="s">
        <v>106</v>
      </c>
      <c r="B63" s="15" t="s">
        <v>64</v>
      </c>
      <c r="C63" s="15">
        <v>41</v>
      </c>
    </row>
    <row r="64" spans="1:3" x14ac:dyDescent="0.55000000000000004">
      <c r="A64" s="45">
        <v>41852</v>
      </c>
      <c r="B64" s="15" t="s">
        <v>60</v>
      </c>
      <c r="C64" s="15">
        <v>56</v>
      </c>
    </row>
    <row r="65" spans="1:3" x14ac:dyDescent="0.55000000000000004">
      <c r="A65" s="45" t="s">
        <v>107</v>
      </c>
      <c r="B65" s="15" t="s">
        <v>61</v>
      </c>
      <c r="C65" s="15">
        <v>29</v>
      </c>
    </row>
    <row r="66" spans="1:3" x14ac:dyDescent="0.55000000000000004">
      <c r="A66" s="45" t="s">
        <v>108</v>
      </c>
      <c r="B66" s="15" t="s">
        <v>65</v>
      </c>
      <c r="C66" s="15">
        <v>55</v>
      </c>
    </row>
    <row r="67" spans="1:3" x14ac:dyDescent="0.55000000000000004">
      <c r="A67" s="45" t="s">
        <v>108</v>
      </c>
      <c r="B67" s="15" t="s">
        <v>65</v>
      </c>
      <c r="C67" s="15">
        <v>16</v>
      </c>
    </row>
    <row r="68" spans="1:3" x14ac:dyDescent="0.55000000000000004">
      <c r="A68" s="45" t="s">
        <v>109</v>
      </c>
      <c r="B68" s="15" t="s">
        <v>67</v>
      </c>
      <c r="C68" s="15">
        <v>46</v>
      </c>
    </row>
    <row r="69" spans="1:3" x14ac:dyDescent="0.55000000000000004">
      <c r="A69" s="45" t="s">
        <v>110</v>
      </c>
      <c r="B69" s="15" t="s">
        <v>64</v>
      </c>
      <c r="C69" s="15">
        <v>56</v>
      </c>
    </row>
    <row r="70" spans="1:3" x14ac:dyDescent="0.55000000000000004">
      <c r="A70" s="45">
        <v>41315</v>
      </c>
      <c r="B70" s="15" t="s">
        <v>63</v>
      </c>
      <c r="C70" s="15">
        <v>21</v>
      </c>
    </row>
    <row r="71" spans="1:3" x14ac:dyDescent="0.55000000000000004">
      <c r="A71" s="45" t="s">
        <v>111</v>
      </c>
      <c r="B71" s="15" t="s">
        <v>63</v>
      </c>
      <c r="C71" s="15">
        <v>41</v>
      </c>
    </row>
    <row r="72" spans="1:3" x14ac:dyDescent="0.55000000000000004">
      <c r="A72" s="45">
        <v>41284</v>
      </c>
      <c r="B72" s="15" t="s">
        <v>48</v>
      </c>
      <c r="C72" s="15">
        <v>25</v>
      </c>
    </row>
    <row r="73" spans="1:3" x14ac:dyDescent="0.55000000000000004">
      <c r="A73" s="45">
        <v>41497</v>
      </c>
      <c r="B73" s="15" t="s">
        <v>55</v>
      </c>
      <c r="C73" s="15">
        <v>17</v>
      </c>
    </row>
    <row r="74" spans="1:3" x14ac:dyDescent="0.55000000000000004">
      <c r="A74" s="45" t="s">
        <v>112</v>
      </c>
      <c r="B74" s="15" t="s">
        <v>61</v>
      </c>
      <c r="C74" s="15">
        <v>17</v>
      </c>
    </row>
    <row r="75" spans="1:3" x14ac:dyDescent="0.55000000000000004">
      <c r="A75" s="45" t="s">
        <v>103</v>
      </c>
      <c r="B75" s="15" t="s">
        <v>52</v>
      </c>
      <c r="C75" s="15">
        <v>45</v>
      </c>
    </row>
    <row r="76" spans="1:3" x14ac:dyDescent="0.55000000000000004">
      <c r="A76" s="45">
        <v>41791</v>
      </c>
      <c r="B76" s="15" t="s">
        <v>63</v>
      </c>
      <c r="C76" s="15">
        <v>46</v>
      </c>
    </row>
    <row r="77" spans="1:3" x14ac:dyDescent="0.55000000000000004">
      <c r="A77" s="45" t="s">
        <v>113</v>
      </c>
      <c r="B77" s="15" t="s">
        <v>60</v>
      </c>
      <c r="C77" s="15">
        <v>17</v>
      </c>
    </row>
    <row r="78" spans="1:3" x14ac:dyDescent="0.55000000000000004">
      <c r="A78" s="45" t="s">
        <v>114</v>
      </c>
      <c r="B78" s="15" t="s">
        <v>68</v>
      </c>
      <c r="C78" s="15">
        <v>26</v>
      </c>
    </row>
    <row r="79" spans="1:3" x14ac:dyDescent="0.55000000000000004">
      <c r="A79" s="45" t="s">
        <v>115</v>
      </c>
      <c r="B79" s="15" t="s">
        <v>51</v>
      </c>
      <c r="C79" s="15">
        <v>37</v>
      </c>
    </row>
    <row r="80" spans="1:3" x14ac:dyDescent="0.55000000000000004">
      <c r="A80" s="45" t="s">
        <v>116</v>
      </c>
      <c r="B80" s="15" t="s">
        <v>51</v>
      </c>
      <c r="C80" s="15">
        <v>54</v>
      </c>
    </row>
    <row r="81" spans="1:3" x14ac:dyDescent="0.55000000000000004">
      <c r="A81" s="45" t="s">
        <v>117</v>
      </c>
      <c r="B81" s="15" t="s">
        <v>53</v>
      </c>
      <c r="C81" s="15">
        <v>55</v>
      </c>
    </row>
    <row r="82" spans="1:3" x14ac:dyDescent="0.55000000000000004">
      <c r="A82" s="45" t="s">
        <v>93</v>
      </c>
      <c r="B82" s="15" t="s">
        <v>66</v>
      </c>
      <c r="C82" s="15">
        <v>53</v>
      </c>
    </row>
    <row r="83" spans="1:3" x14ac:dyDescent="0.55000000000000004">
      <c r="A83" s="45" t="s">
        <v>118</v>
      </c>
      <c r="B83" s="15" t="s">
        <v>54</v>
      </c>
      <c r="C83" s="15">
        <v>35</v>
      </c>
    </row>
    <row r="84" spans="1:3" x14ac:dyDescent="0.55000000000000004">
      <c r="A84" s="45" t="s">
        <v>78</v>
      </c>
      <c r="B84" s="15" t="s">
        <v>65</v>
      </c>
      <c r="C84" s="15">
        <v>36</v>
      </c>
    </row>
    <row r="85" spans="1:3" x14ac:dyDescent="0.55000000000000004">
      <c r="A85" s="45" t="s">
        <v>119</v>
      </c>
      <c r="B85" s="15" t="s">
        <v>60</v>
      </c>
      <c r="C85" s="15">
        <v>33</v>
      </c>
    </row>
    <row r="86" spans="1:3" x14ac:dyDescent="0.55000000000000004">
      <c r="A86" s="45" t="s">
        <v>116</v>
      </c>
      <c r="B86" s="15" t="s">
        <v>53</v>
      </c>
      <c r="C86" s="15">
        <v>33</v>
      </c>
    </row>
    <row r="87" spans="1:3" x14ac:dyDescent="0.55000000000000004">
      <c r="A87" s="45" t="s">
        <v>83</v>
      </c>
      <c r="B87" s="15" t="s">
        <v>65</v>
      </c>
      <c r="C87" s="15">
        <v>18</v>
      </c>
    </row>
    <row r="88" spans="1:3" x14ac:dyDescent="0.55000000000000004">
      <c r="A88" s="45" t="s">
        <v>85</v>
      </c>
      <c r="B88" s="15" t="s">
        <v>51</v>
      </c>
      <c r="C88" s="15">
        <v>36</v>
      </c>
    </row>
    <row r="89" spans="1:3" x14ac:dyDescent="0.55000000000000004">
      <c r="A89" s="45">
        <v>41821</v>
      </c>
      <c r="B89" s="15" t="s">
        <v>68</v>
      </c>
      <c r="C89" s="15">
        <v>22</v>
      </c>
    </row>
    <row r="90" spans="1:3" x14ac:dyDescent="0.55000000000000004">
      <c r="A90" s="45">
        <v>41467</v>
      </c>
      <c r="B90" s="15" t="s">
        <v>67</v>
      </c>
      <c r="C90" s="15">
        <v>17</v>
      </c>
    </row>
    <row r="91" spans="1:3" x14ac:dyDescent="0.55000000000000004">
      <c r="A91" s="45">
        <v>41405</v>
      </c>
      <c r="B91" s="15" t="s">
        <v>46</v>
      </c>
      <c r="C91" s="15">
        <v>45</v>
      </c>
    </row>
    <row r="92" spans="1:3" x14ac:dyDescent="0.55000000000000004">
      <c r="A92" s="45" t="s">
        <v>82</v>
      </c>
      <c r="B92" s="15" t="s">
        <v>50</v>
      </c>
      <c r="C92" s="15">
        <v>35</v>
      </c>
    </row>
    <row r="93" spans="1:3" x14ac:dyDescent="0.55000000000000004">
      <c r="A93" s="45" t="s">
        <v>95</v>
      </c>
      <c r="B93" s="15" t="s">
        <v>65</v>
      </c>
      <c r="C93" s="15">
        <v>29</v>
      </c>
    </row>
    <row r="94" spans="1:3" x14ac:dyDescent="0.55000000000000004">
      <c r="A94" s="45" t="s">
        <v>113</v>
      </c>
      <c r="B94" s="15" t="s">
        <v>63</v>
      </c>
      <c r="C94" s="15">
        <v>21</v>
      </c>
    </row>
    <row r="95" spans="1:3" x14ac:dyDescent="0.55000000000000004">
      <c r="A95" s="45">
        <v>41316</v>
      </c>
      <c r="B95" s="15" t="s">
        <v>45</v>
      </c>
      <c r="C95" s="15">
        <v>32</v>
      </c>
    </row>
    <row r="96" spans="1:3" x14ac:dyDescent="0.55000000000000004">
      <c r="A96" s="45">
        <v>41791</v>
      </c>
      <c r="B96" s="15" t="s">
        <v>55</v>
      </c>
      <c r="C96" s="15">
        <v>12</v>
      </c>
    </row>
    <row r="97" spans="1:3" x14ac:dyDescent="0.55000000000000004">
      <c r="A97" s="45" t="s">
        <v>80</v>
      </c>
      <c r="B97" s="15" t="s">
        <v>62</v>
      </c>
      <c r="C97" s="15">
        <v>43</v>
      </c>
    </row>
    <row r="98" spans="1:3" x14ac:dyDescent="0.55000000000000004">
      <c r="A98" s="45" t="s">
        <v>120</v>
      </c>
      <c r="B98" s="15" t="s">
        <v>49</v>
      </c>
      <c r="C98" s="15">
        <v>54</v>
      </c>
    </row>
    <row r="99" spans="1:3" x14ac:dyDescent="0.55000000000000004">
      <c r="A99" s="45">
        <v>41316</v>
      </c>
      <c r="B99" s="15" t="s">
        <v>57</v>
      </c>
      <c r="C99" s="15">
        <v>23</v>
      </c>
    </row>
    <row r="100" spans="1:3" x14ac:dyDescent="0.55000000000000004">
      <c r="A100" s="45" t="s">
        <v>121</v>
      </c>
      <c r="B100" s="15" t="s">
        <v>45</v>
      </c>
      <c r="C100" s="15">
        <v>37</v>
      </c>
    </row>
    <row r="101" spans="1:3" x14ac:dyDescent="0.55000000000000004">
      <c r="A101" s="45">
        <v>41640</v>
      </c>
      <c r="B101" s="15" t="s">
        <v>45</v>
      </c>
      <c r="C101" s="15">
        <v>31</v>
      </c>
    </row>
    <row r="102" spans="1:3" x14ac:dyDescent="0.55000000000000004">
      <c r="A102" s="45" t="s">
        <v>90</v>
      </c>
      <c r="B102" s="15" t="s">
        <v>65</v>
      </c>
      <c r="C102" s="15">
        <v>12</v>
      </c>
    </row>
    <row r="103" spans="1:3" x14ac:dyDescent="0.55000000000000004">
      <c r="A103" s="45">
        <v>41883</v>
      </c>
      <c r="B103" s="15" t="s">
        <v>51</v>
      </c>
      <c r="C103" s="15">
        <v>14</v>
      </c>
    </row>
    <row r="104" spans="1:3" x14ac:dyDescent="0.55000000000000004">
      <c r="A104" s="45">
        <v>41589</v>
      </c>
      <c r="B104" s="15" t="s">
        <v>54</v>
      </c>
      <c r="C104" s="15">
        <v>35</v>
      </c>
    </row>
    <row r="105" spans="1:3" x14ac:dyDescent="0.55000000000000004">
      <c r="A105" s="45">
        <v>41589</v>
      </c>
      <c r="B105" s="15" t="s">
        <v>67</v>
      </c>
      <c r="C105" s="15">
        <v>41</v>
      </c>
    </row>
    <row r="106" spans="1:3" x14ac:dyDescent="0.55000000000000004">
      <c r="A106" s="45">
        <v>41699</v>
      </c>
      <c r="B106" s="15" t="s">
        <v>59</v>
      </c>
      <c r="C106" s="15">
        <v>45</v>
      </c>
    </row>
    <row r="107" spans="1:3" x14ac:dyDescent="0.55000000000000004">
      <c r="A107" s="45">
        <v>41852</v>
      </c>
      <c r="B107" s="15" t="s">
        <v>47</v>
      </c>
      <c r="C107" s="15">
        <v>31</v>
      </c>
    </row>
    <row r="108" spans="1:3" x14ac:dyDescent="0.55000000000000004">
      <c r="A108" s="45" t="s">
        <v>96</v>
      </c>
      <c r="B108" s="15" t="s">
        <v>64</v>
      </c>
      <c r="C108" s="15">
        <v>29</v>
      </c>
    </row>
    <row r="109" spans="1:3" x14ac:dyDescent="0.55000000000000004">
      <c r="A109" s="45">
        <v>41403</v>
      </c>
      <c r="B109" s="15" t="s">
        <v>50</v>
      </c>
      <c r="C109" s="15">
        <v>55</v>
      </c>
    </row>
    <row r="110" spans="1:3" x14ac:dyDescent="0.55000000000000004">
      <c r="A110" s="45">
        <v>41620</v>
      </c>
      <c r="B110" s="15" t="s">
        <v>54</v>
      </c>
      <c r="C110" s="15">
        <v>16</v>
      </c>
    </row>
    <row r="111" spans="1:3" x14ac:dyDescent="0.55000000000000004">
      <c r="A111" s="45">
        <v>41496</v>
      </c>
      <c r="B111" s="15" t="s">
        <v>47</v>
      </c>
      <c r="C111" s="15">
        <v>58</v>
      </c>
    </row>
    <row r="112" spans="1:3" x14ac:dyDescent="0.55000000000000004">
      <c r="A112" s="45" t="s">
        <v>114</v>
      </c>
      <c r="B112" s="15" t="s">
        <v>50</v>
      </c>
      <c r="C112" s="15">
        <v>42</v>
      </c>
    </row>
    <row r="113" spans="1:3" x14ac:dyDescent="0.55000000000000004">
      <c r="A113" s="45" t="s">
        <v>114</v>
      </c>
      <c r="B113" s="15" t="s">
        <v>52</v>
      </c>
      <c r="C113" s="15">
        <v>16</v>
      </c>
    </row>
    <row r="114" spans="1:3" x14ac:dyDescent="0.55000000000000004">
      <c r="A114" s="45" t="s">
        <v>116</v>
      </c>
      <c r="B114" s="15" t="s">
        <v>52</v>
      </c>
      <c r="C114" s="15">
        <v>29</v>
      </c>
    </row>
    <row r="115" spans="1:3" x14ac:dyDescent="0.55000000000000004">
      <c r="A115" s="45" t="s">
        <v>107</v>
      </c>
      <c r="B115" s="15" t="s">
        <v>65</v>
      </c>
      <c r="C115" s="15">
        <v>39</v>
      </c>
    </row>
    <row r="116" spans="1:3" x14ac:dyDescent="0.55000000000000004">
      <c r="A116" s="45">
        <v>41465</v>
      </c>
      <c r="B116" s="15" t="s">
        <v>45</v>
      </c>
      <c r="C116" s="15">
        <v>46</v>
      </c>
    </row>
    <row r="117" spans="1:3" x14ac:dyDescent="0.55000000000000004">
      <c r="A117" s="45">
        <v>41760</v>
      </c>
      <c r="B117" s="15" t="s">
        <v>69</v>
      </c>
      <c r="C117" s="15">
        <v>18</v>
      </c>
    </row>
    <row r="118" spans="1:3" x14ac:dyDescent="0.55000000000000004">
      <c r="A118" s="45" t="s">
        <v>122</v>
      </c>
      <c r="B118" s="15" t="s">
        <v>67</v>
      </c>
      <c r="C118" s="15">
        <v>54</v>
      </c>
    </row>
    <row r="119" spans="1:3" x14ac:dyDescent="0.55000000000000004">
      <c r="A119" s="45">
        <v>41437</v>
      </c>
      <c r="B119" s="15" t="s">
        <v>62</v>
      </c>
      <c r="C119" s="15">
        <v>40</v>
      </c>
    </row>
    <row r="120" spans="1:3" x14ac:dyDescent="0.55000000000000004">
      <c r="A120" s="45">
        <v>41435</v>
      </c>
      <c r="B120" s="15" t="s">
        <v>62</v>
      </c>
      <c r="C120" s="15">
        <v>47</v>
      </c>
    </row>
    <row r="121" spans="1:3" x14ac:dyDescent="0.55000000000000004">
      <c r="A121" s="45" t="s">
        <v>102</v>
      </c>
      <c r="B121" s="15" t="s">
        <v>54</v>
      </c>
      <c r="C121" s="15">
        <v>54</v>
      </c>
    </row>
    <row r="122" spans="1:3" x14ac:dyDescent="0.55000000000000004">
      <c r="A122" s="45">
        <v>41620</v>
      </c>
      <c r="B122" s="15" t="s">
        <v>61</v>
      </c>
      <c r="C122" s="15">
        <v>38</v>
      </c>
    </row>
    <row r="123" spans="1:3" x14ac:dyDescent="0.55000000000000004">
      <c r="A123" s="45">
        <v>41342</v>
      </c>
      <c r="B123" s="15" t="s">
        <v>67</v>
      </c>
      <c r="C123" s="15">
        <v>21</v>
      </c>
    </row>
    <row r="124" spans="1:3" x14ac:dyDescent="0.55000000000000004">
      <c r="A124" s="45" t="s">
        <v>101</v>
      </c>
      <c r="B124" s="15" t="s">
        <v>62</v>
      </c>
      <c r="C124" s="15">
        <v>48</v>
      </c>
    </row>
    <row r="125" spans="1:3" x14ac:dyDescent="0.55000000000000004">
      <c r="A125" s="45" t="s">
        <v>116</v>
      </c>
      <c r="B125" s="15" t="s">
        <v>59</v>
      </c>
      <c r="C125" s="15">
        <v>36</v>
      </c>
    </row>
    <row r="126" spans="1:3" x14ac:dyDescent="0.55000000000000004">
      <c r="A126" s="45" t="s">
        <v>123</v>
      </c>
      <c r="B126" s="15" t="s">
        <v>55</v>
      </c>
      <c r="C126" s="15">
        <v>13</v>
      </c>
    </row>
    <row r="127" spans="1:3" x14ac:dyDescent="0.55000000000000004">
      <c r="A127" s="45">
        <v>41404</v>
      </c>
      <c r="B127" s="15" t="s">
        <v>46</v>
      </c>
      <c r="C127" s="15">
        <v>45</v>
      </c>
    </row>
    <row r="128" spans="1:3" x14ac:dyDescent="0.55000000000000004">
      <c r="A128" s="45">
        <v>41437</v>
      </c>
      <c r="B128" s="15" t="s">
        <v>68</v>
      </c>
      <c r="C128" s="15">
        <v>15</v>
      </c>
    </row>
    <row r="129" spans="1:3" x14ac:dyDescent="0.55000000000000004">
      <c r="A129" s="45" t="s">
        <v>95</v>
      </c>
      <c r="B129" s="15" t="s">
        <v>53</v>
      </c>
      <c r="C129" s="15">
        <v>21</v>
      </c>
    </row>
    <row r="130" spans="1:3" x14ac:dyDescent="0.55000000000000004">
      <c r="A130" s="45">
        <v>41498</v>
      </c>
      <c r="B130" s="15" t="s">
        <v>64</v>
      </c>
      <c r="C130" s="15">
        <v>14</v>
      </c>
    </row>
    <row r="131" spans="1:3" x14ac:dyDescent="0.55000000000000004">
      <c r="A131" s="45" t="s">
        <v>99</v>
      </c>
      <c r="B131" s="15" t="s">
        <v>63</v>
      </c>
      <c r="C131" s="15">
        <v>35</v>
      </c>
    </row>
    <row r="132" spans="1:3" x14ac:dyDescent="0.55000000000000004">
      <c r="A132" s="45">
        <v>41464</v>
      </c>
      <c r="B132" s="15" t="s">
        <v>63</v>
      </c>
      <c r="C132" s="15">
        <v>54</v>
      </c>
    </row>
    <row r="133" spans="1:3" x14ac:dyDescent="0.55000000000000004">
      <c r="A133" s="45" t="s">
        <v>80</v>
      </c>
      <c r="B133" s="15" t="s">
        <v>50</v>
      </c>
      <c r="C133" s="15">
        <v>10</v>
      </c>
    </row>
    <row r="134" spans="1:3" x14ac:dyDescent="0.55000000000000004">
      <c r="A134" s="45" t="s">
        <v>76</v>
      </c>
      <c r="B134" s="15" t="s">
        <v>48</v>
      </c>
      <c r="C134" s="15">
        <v>28</v>
      </c>
    </row>
    <row r="135" spans="1:3" x14ac:dyDescent="0.55000000000000004">
      <c r="A135" s="45" t="s">
        <v>124</v>
      </c>
      <c r="B135" s="15" t="s">
        <v>45</v>
      </c>
      <c r="C135" s="15">
        <v>34</v>
      </c>
    </row>
    <row r="136" spans="1:3" x14ac:dyDescent="0.55000000000000004">
      <c r="A136" s="45" t="s">
        <v>125</v>
      </c>
      <c r="B136" s="15" t="s">
        <v>48</v>
      </c>
      <c r="C136" s="15">
        <v>45</v>
      </c>
    </row>
    <row r="137" spans="1:3" x14ac:dyDescent="0.55000000000000004">
      <c r="A137" s="45" t="s">
        <v>92</v>
      </c>
      <c r="B137" s="15" t="s">
        <v>58</v>
      </c>
      <c r="C137" s="15">
        <v>16</v>
      </c>
    </row>
    <row r="138" spans="1:3" x14ac:dyDescent="0.55000000000000004">
      <c r="A138" s="45">
        <v>41285</v>
      </c>
      <c r="B138" s="15" t="s">
        <v>69</v>
      </c>
      <c r="C138" s="15">
        <v>28</v>
      </c>
    </row>
    <row r="139" spans="1:3" x14ac:dyDescent="0.55000000000000004">
      <c r="A139" s="45" t="s">
        <v>126</v>
      </c>
      <c r="B139" s="15" t="s">
        <v>56</v>
      </c>
      <c r="C139" s="15">
        <v>56</v>
      </c>
    </row>
    <row r="140" spans="1:3" x14ac:dyDescent="0.55000000000000004">
      <c r="A140" s="45" t="s">
        <v>126</v>
      </c>
      <c r="B140" s="15" t="s">
        <v>47</v>
      </c>
      <c r="C140" s="15">
        <v>16</v>
      </c>
    </row>
    <row r="141" spans="1:3" x14ac:dyDescent="0.55000000000000004">
      <c r="A141" s="45" t="s">
        <v>87</v>
      </c>
      <c r="B141" s="15" t="s">
        <v>51</v>
      </c>
      <c r="C141" s="15">
        <v>29</v>
      </c>
    </row>
    <row r="142" spans="1:3" x14ac:dyDescent="0.55000000000000004">
      <c r="A142" s="45" t="s">
        <v>102</v>
      </c>
      <c r="B142" s="15" t="s">
        <v>62</v>
      </c>
      <c r="C142" s="15">
        <v>59</v>
      </c>
    </row>
    <row r="143" spans="1:3" x14ac:dyDescent="0.55000000000000004">
      <c r="A143" s="45" t="s">
        <v>127</v>
      </c>
      <c r="B143" s="15" t="s">
        <v>55</v>
      </c>
      <c r="C143" s="15">
        <v>36</v>
      </c>
    </row>
    <row r="144" spans="1:3" x14ac:dyDescent="0.55000000000000004">
      <c r="A144" s="45" t="s">
        <v>98</v>
      </c>
      <c r="B144" s="15" t="s">
        <v>60</v>
      </c>
      <c r="C144" s="15">
        <v>40</v>
      </c>
    </row>
    <row r="145" spans="1:3" x14ac:dyDescent="0.55000000000000004">
      <c r="A145" s="45" t="s">
        <v>124</v>
      </c>
      <c r="B145" s="15" t="s">
        <v>66</v>
      </c>
      <c r="C145" s="15">
        <v>19</v>
      </c>
    </row>
    <row r="146" spans="1:3" x14ac:dyDescent="0.55000000000000004">
      <c r="A146" s="45" t="s">
        <v>82</v>
      </c>
      <c r="B146" s="15" t="s">
        <v>60</v>
      </c>
      <c r="C146" s="15">
        <v>14</v>
      </c>
    </row>
    <row r="147" spans="1:3" x14ac:dyDescent="0.55000000000000004">
      <c r="A147" s="45">
        <v>41529</v>
      </c>
      <c r="B147" s="15" t="s">
        <v>69</v>
      </c>
      <c r="C147" s="15">
        <v>41</v>
      </c>
    </row>
    <row r="148" spans="1:3" x14ac:dyDescent="0.55000000000000004">
      <c r="A148" s="45" t="s">
        <v>128</v>
      </c>
      <c r="B148" s="15" t="s">
        <v>46</v>
      </c>
      <c r="C148" s="15">
        <v>26</v>
      </c>
    </row>
    <row r="149" spans="1:3" x14ac:dyDescent="0.55000000000000004">
      <c r="A149" s="45" t="s">
        <v>83</v>
      </c>
      <c r="B149" s="15" t="s">
        <v>60</v>
      </c>
      <c r="C149" s="15">
        <v>22</v>
      </c>
    </row>
    <row r="150" spans="1:3" x14ac:dyDescent="0.55000000000000004">
      <c r="A150" s="45" t="s">
        <v>129</v>
      </c>
      <c r="B150" s="15" t="s">
        <v>52</v>
      </c>
      <c r="C150" s="15">
        <v>36</v>
      </c>
    </row>
    <row r="151" spans="1:3" x14ac:dyDescent="0.55000000000000004">
      <c r="A151" s="45">
        <v>41618</v>
      </c>
      <c r="B151" s="15" t="s">
        <v>47</v>
      </c>
      <c r="C151" s="15">
        <v>38</v>
      </c>
    </row>
    <row r="152" spans="1:3" x14ac:dyDescent="0.55000000000000004">
      <c r="A152" s="45">
        <v>41345</v>
      </c>
      <c r="B152" s="15" t="s">
        <v>65</v>
      </c>
      <c r="C152" s="15">
        <v>20</v>
      </c>
    </row>
    <row r="153" spans="1:3" x14ac:dyDescent="0.55000000000000004">
      <c r="A153" s="45" t="s">
        <v>102</v>
      </c>
      <c r="B153" s="15" t="s">
        <v>68</v>
      </c>
      <c r="C153" s="15">
        <v>25</v>
      </c>
    </row>
    <row r="154" spans="1:3" x14ac:dyDescent="0.55000000000000004">
      <c r="A154" s="45">
        <v>41315</v>
      </c>
      <c r="B154" s="15" t="s">
        <v>51</v>
      </c>
      <c r="C154" s="15">
        <v>22</v>
      </c>
    </row>
    <row r="155" spans="1:3" x14ac:dyDescent="0.55000000000000004">
      <c r="A155" s="45">
        <v>41285</v>
      </c>
      <c r="B155" s="15" t="s">
        <v>50</v>
      </c>
      <c r="C155" s="15">
        <v>15</v>
      </c>
    </row>
    <row r="156" spans="1:3" x14ac:dyDescent="0.55000000000000004">
      <c r="A156" s="45">
        <v>41559</v>
      </c>
      <c r="B156" s="15" t="s">
        <v>52</v>
      </c>
      <c r="C156" s="15">
        <v>47</v>
      </c>
    </row>
    <row r="157" spans="1:3" x14ac:dyDescent="0.55000000000000004">
      <c r="A157" s="45" t="s">
        <v>130</v>
      </c>
      <c r="B157" s="15" t="s">
        <v>65</v>
      </c>
      <c r="C157" s="15">
        <v>20</v>
      </c>
    </row>
    <row r="158" spans="1:3" x14ac:dyDescent="0.55000000000000004">
      <c r="A158" s="45" t="s">
        <v>131</v>
      </c>
      <c r="B158" s="15" t="s">
        <v>63</v>
      </c>
      <c r="C158" s="15">
        <v>46</v>
      </c>
    </row>
    <row r="159" spans="1:3" x14ac:dyDescent="0.55000000000000004">
      <c r="A159" s="45">
        <v>41315</v>
      </c>
      <c r="B159" s="15" t="s">
        <v>64</v>
      </c>
      <c r="C159" s="15">
        <v>47</v>
      </c>
    </row>
    <row r="160" spans="1:3" x14ac:dyDescent="0.55000000000000004">
      <c r="A160" s="45" t="s">
        <v>111</v>
      </c>
      <c r="B160" s="15" t="s">
        <v>50</v>
      </c>
      <c r="C160" s="15">
        <v>27</v>
      </c>
    </row>
    <row r="161" spans="1:3" x14ac:dyDescent="0.55000000000000004">
      <c r="A161" s="45">
        <v>41559</v>
      </c>
      <c r="B161" s="15" t="s">
        <v>67</v>
      </c>
      <c r="C161" s="15">
        <v>24</v>
      </c>
    </row>
    <row r="162" spans="1:3" x14ac:dyDescent="0.55000000000000004">
      <c r="A162" s="45" t="s">
        <v>98</v>
      </c>
      <c r="B162" s="15" t="s">
        <v>61</v>
      </c>
      <c r="C162" s="15">
        <v>59</v>
      </c>
    </row>
    <row r="163" spans="1:3" x14ac:dyDescent="0.55000000000000004">
      <c r="A163" s="45" t="s">
        <v>102</v>
      </c>
      <c r="B163" s="15" t="s">
        <v>54</v>
      </c>
      <c r="C163" s="15">
        <v>16</v>
      </c>
    </row>
    <row r="164" spans="1:3" x14ac:dyDescent="0.55000000000000004">
      <c r="A164" s="45">
        <v>41284</v>
      </c>
      <c r="B164" s="15" t="s">
        <v>56</v>
      </c>
      <c r="C164" s="15">
        <v>12</v>
      </c>
    </row>
    <row r="165" spans="1:3" x14ac:dyDescent="0.55000000000000004">
      <c r="A165" s="45">
        <v>41528</v>
      </c>
      <c r="B165" s="15" t="s">
        <v>50</v>
      </c>
      <c r="C165" s="15">
        <v>23</v>
      </c>
    </row>
    <row r="166" spans="1:3" x14ac:dyDescent="0.55000000000000004">
      <c r="A166" s="45">
        <v>41590</v>
      </c>
      <c r="B166" s="15" t="s">
        <v>59</v>
      </c>
      <c r="C166" s="15">
        <v>49</v>
      </c>
    </row>
    <row r="167" spans="1:3" x14ac:dyDescent="0.55000000000000004">
      <c r="A167" s="45">
        <v>41558</v>
      </c>
      <c r="B167" s="15" t="s">
        <v>60</v>
      </c>
      <c r="C167" s="15">
        <v>17</v>
      </c>
    </row>
    <row r="168" spans="1:3" x14ac:dyDescent="0.55000000000000004">
      <c r="A168" s="45" t="s">
        <v>116</v>
      </c>
      <c r="B168" s="15" t="s">
        <v>59</v>
      </c>
      <c r="C168" s="15">
        <v>19</v>
      </c>
    </row>
    <row r="169" spans="1:3" x14ac:dyDescent="0.55000000000000004">
      <c r="A169" s="45" t="s">
        <v>132</v>
      </c>
      <c r="B169" s="15" t="s">
        <v>61</v>
      </c>
      <c r="C169" s="15">
        <v>57</v>
      </c>
    </row>
    <row r="170" spans="1:3" x14ac:dyDescent="0.55000000000000004">
      <c r="A170" s="45" t="s">
        <v>133</v>
      </c>
      <c r="B170" s="15" t="s">
        <v>52</v>
      </c>
      <c r="C170" s="15">
        <v>42</v>
      </c>
    </row>
    <row r="171" spans="1:3" x14ac:dyDescent="0.55000000000000004">
      <c r="A171" s="45" t="s">
        <v>77</v>
      </c>
      <c r="B171" s="15" t="s">
        <v>63</v>
      </c>
      <c r="C171" s="15">
        <v>31</v>
      </c>
    </row>
    <row r="172" spans="1:3" x14ac:dyDescent="0.55000000000000004">
      <c r="A172" s="45" t="s">
        <v>134</v>
      </c>
      <c r="B172" s="15" t="s">
        <v>51</v>
      </c>
      <c r="C172" s="15">
        <v>54</v>
      </c>
    </row>
    <row r="173" spans="1:3" x14ac:dyDescent="0.55000000000000004">
      <c r="A173" s="45">
        <v>41883</v>
      </c>
      <c r="B173" s="15" t="s">
        <v>47</v>
      </c>
      <c r="C173" s="15">
        <v>52</v>
      </c>
    </row>
    <row r="174" spans="1:3" x14ac:dyDescent="0.55000000000000004">
      <c r="A174" s="45">
        <v>41699</v>
      </c>
      <c r="B174" s="15" t="s">
        <v>63</v>
      </c>
      <c r="C174" s="15">
        <v>52</v>
      </c>
    </row>
    <row r="175" spans="1:3" x14ac:dyDescent="0.55000000000000004">
      <c r="A175" s="45" t="s">
        <v>98</v>
      </c>
      <c r="B175" s="15" t="s">
        <v>48</v>
      </c>
      <c r="C175" s="15">
        <v>10</v>
      </c>
    </row>
    <row r="176" spans="1:3" x14ac:dyDescent="0.55000000000000004">
      <c r="A176" s="45">
        <v>41527</v>
      </c>
      <c r="B176" s="15" t="s">
        <v>49</v>
      </c>
      <c r="C176" s="15">
        <v>35</v>
      </c>
    </row>
    <row r="177" spans="1:3" x14ac:dyDescent="0.55000000000000004">
      <c r="A177" s="45" t="s">
        <v>102</v>
      </c>
      <c r="B177" s="15" t="s">
        <v>47</v>
      </c>
      <c r="C177" s="15">
        <v>10</v>
      </c>
    </row>
    <row r="178" spans="1:3" x14ac:dyDescent="0.55000000000000004">
      <c r="A178" s="45" t="s">
        <v>135</v>
      </c>
      <c r="B178" s="15" t="s">
        <v>58</v>
      </c>
      <c r="C178" s="15">
        <v>53</v>
      </c>
    </row>
    <row r="179" spans="1:3" x14ac:dyDescent="0.55000000000000004">
      <c r="A179" s="45" t="s">
        <v>108</v>
      </c>
      <c r="B179" s="15" t="s">
        <v>68</v>
      </c>
      <c r="C179" s="15">
        <v>51</v>
      </c>
    </row>
    <row r="180" spans="1:3" x14ac:dyDescent="0.55000000000000004">
      <c r="A180" s="45" t="s">
        <v>121</v>
      </c>
      <c r="B180" s="15" t="s">
        <v>66</v>
      </c>
      <c r="C180" s="15">
        <v>17</v>
      </c>
    </row>
    <row r="181" spans="1:3" x14ac:dyDescent="0.55000000000000004">
      <c r="A181" s="45" t="s">
        <v>132</v>
      </c>
      <c r="B181" s="15" t="s">
        <v>57</v>
      </c>
      <c r="C181" s="15">
        <v>26</v>
      </c>
    </row>
    <row r="182" spans="1:3" x14ac:dyDescent="0.55000000000000004">
      <c r="A182" s="45" t="s">
        <v>77</v>
      </c>
      <c r="B182" s="15" t="s">
        <v>56</v>
      </c>
      <c r="C182" s="15">
        <v>37</v>
      </c>
    </row>
    <row r="183" spans="1:3" x14ac:dyDescent="0.55000000000000004">
      <c r="A183" s="45" t="s">
        <v>136</v>
      </c>
      <c r="B183" s="15" t="s">
        <v>46</v>
      </c>
      <c r="C183" s="15">
        <v>57</v>
      </c>
    </row>
    <row r="184" spans="1:3" x14ac:dyDescent="0.55000000000000004">
      <c r="A184" s="45">
        <v>41791</v>
      </c>
      <c r="B184" s="15" t="s">
        <v>49</v>
      </c>
      <c r="C184" s="15">
        <v>45</v>
      </c>
    </row>
    <row r="185" spans="1:3" x14ac:dyDescent="0.55000000000000004">
      <c r="A185" s="45">
        <v>41373</v>
      </c>
      <c r="B185" s="15" t="s">
        <v>60</v>
      </c>
      <c r="C185" s="15">
        <v>15</v>
      </c>
    </row>
    <row r="186" spans="1:3" x14ac:dyDescent="0.55000000000000004">
      <c r="A186" s="45">
        <v>41374</v>
      </c>
      <c r="B186" s="15" t="s">
        <v>62</v>
      </c>
      <c r="C186" s="15">
        <v>46</v>
      </c>
    </row>
    <row r="187" spans="1:3" x14ac:dyDescent="0.55000000000000004">
      <c r="A187" s="45">
        <v>41375</v>
      </c>
      <c r="B187" s="15" t="s">
        <v>56</v>
      </c>
      <c r="C187" s="15">
        <v>57</v>
      </c>
    </row>
    <row r="188" spans="1:3" x14ac:dyDescent="0.55000000000000004">
      <c r="A188" s="45" t="s">
        <v>126</v>
      </c>
      <c r="B188" s="15" t="s">
        <v>59</v>
      </c>
      <c r="C188" s="15">
        <v>54</v>
      </c>
    </row>
    <row r="189" spans="1:3" x14ac:dyDescent="0.55000000000000004">
      <c r="A189" s="45">
        <v>41314</v>
      </c>
      <c r="B189" s="15" t="s">
        <v>67</v>
      </c>
      <c r="C189" s="15">
        <v>17</v>
      </c>
    </row>
    <row r="190" spans="1:3" x14ac:dyDescent="0.55000000000000004">
      <c r="A190" s="45" t="s">
        <v>137</v>
      </c>
      <c r="B190" s="15" t="s">
        <v>50</v>
      </c>
      <c r="C190" s="15">
        <v>30</v>
      </c>
    </row>
    <row r="191" spans="1:3" x14ac:dyDescent="0.55000000000000004">
      <c r="A191" s="45" t="s">
        <v>138</v>
      </c>
      <c r="B191" s="15" t="s">
        <v>54</v>
      </c>
      <c r="C191" s="15">
        <v>38</v>
      </c>
    </row>
    <row r="192" spans="1:3" x14ac:dyDescent="0.55000000000000004">
      <c r="A192" s="45">
        <v>41913</v>
      </c>
      <c r="B192" s="15" t="s">
        <v>52</v>
      </c>
      <c r="C192" s="15">
        <v>39</v>
      </c>
    </row>
    <row r="193" spans="1:3" x14ac:dyDescent="0.55000000000000004">
      <c r="A193" s="45" t="s">
        <v>119</v>
      </c>
      <c r="B193" s="15" t="s">
        <v>66</v>
      </c>
      <c r="C193" s="15">
        <v>22</v>
      </c>
    </row>
    <row r="194" spans="1:3" x14ac:dyDescent="0.55000000000000004">
      <c r="A194" s="45">
        <v>41404</v>
      </c>
      <c r="B194" s="15" t="s">
        <v>59</v>
      </c>
      <c r="C194" s="15">
        <v>56</v>
      </c>
    </row>
    <row r="195" spans="1:3" x14ac:dyDescent="0.55000000000000004">
      <c r="A195" s="45">
        <v>41284</v>
      </c>
      <c r="B195" s="15" t="s">
        <v>67</v>
      </c>
      <c r="C195" s="15">
        <v>34</v>
      </c>
    </row>
    <row r="196" spans="1:3" x14ac:dyDescent="0.55000000000000004">
      <c r="A196" s="45" t="s">
        <v>110</v>
      </c>
      <c r="B196" s="15" t="s">
        <v>68</v>
      </c>
      <c r="C196" s="15">
        <v>15</v>
      </c>
    </row>
    <row r="197" spans="1:3" x14ac:dyDescent="0.55000000000000004">
      <c r="A197" s="45">
        <v>41821</v>
      </c>
      <c r="B197" s="15" t="s">
        <v>63</v>
      </c>
      <c r="C197" s="15">
        <v>45</v>
      </c>
    </row>
    <row r="198" spans="1:3" x14ac:dyDescent="0.55000000000000004">
      <c r="A198" s="45">
        <v>41315</v>
      </c>
      <c r="B198" s="15" t="s">
        <v>55</v>
      </c>
      <c r="C198" s="15">
        <v>48</v>
      </c>
    </row>
    <row r="199" spans="1:3" x14ac:dyDescent="0.55000000000000004">
      <c r="A199" s="45">
        <v>41376</v>
      </c>
      <c r="B199" s="15" t="s">
        <v>62</v>
      </c>
      <c r="C199" s="15">
        <v>19</v>
      </c>
    </row>
    <row r="200" spans="1:3" x14ac:dyDescent="0.55000000000000004">
      <c r="A200" s="45" t="s">
        <v>86</v>
      </c>
      <c r="B200" s="15" t="s">
        <v>53</v>
      </c>
      <c r="C200" s="15">
        <v>14</v>
      </c>
    </row>
    <row r="201" spans="1:3" x14ac:dyDescent="0.55000000000000004">
      <c r="A201" s="45">
        <v>41699</v>
      </c>
      <c r="B201" s="15" t="s">
        <v>49</v>
      </c>
      <c r="C201" s="15">
        <v>29</v>
      </c>
    </row>
    <row r="202" spans="1:3" x14ac:dyDescent="0.55000000000000004">
      <c r="A202" s="45" t="s">
        <v>93</v>
      </c>
      <c r="B202" s="15" t="s">
        <v>65</v>
      </c>
      <c r="C202" s="15">
        <v>52</v>
      </c>
    </row>
    <row r="203" spans="1:3" x14ac:dyDescent="0.55000000000000004">
      <c r="A203" s="45" t="s">
        <v>134</v>
      </c>
      <c r="B203" s="15" t="s">
        <v>46</v>
      </c>
      <c r="C203" s="15">
        <v>31</v>
      </c>
    </row>
    <row r="204" spans="1:3" x14ac:dyDescent="0.55000000000000004">
      <c r="A204" s="45">
        <v>41619</v>
      </c>
      <c r="B204" s="15" t="s">
        <v>53</v>
      </c>
      <c r="C204" s="15">
        <v>30</v>
      </c>
    </row>
    <row r="205" spans="1:3" x14ac:dyDescent="0.55000000000000004">
      <c r="A205" s="45">
        <v>41529</v>
      </c>
      <c r="B205" s="15" t="s">
        <v>67</v>
      </c>
      <c r="C205" s="15">
        <v>16</v>
      </c>
    </row>
    <row r="206" spans="1:3" x14ac:dyDescent="0.55000000000000004">
      <c r="A206" s="45">
        <v>41559</v>
      </c>
      <c r="B206" s="15" t="s">
        <v>63</v>
      </c>
      <c r="C206" s="15">
        <v>40</v>
      </c>
    </row>
    <row r="207" spans="1:3" x14ac:dyDescent="0.55000000000000004">
      <c r="A207" s="45">
        <v>41528</v>
      </c>
      <c r="B207" s="15" t="s">
        <v>45</v>
      </c>
      <c r="C207" s="15">
        <v>43</v>
      </c>
    </row>
    <row r="208" spans="1:3" x14ac:dyDescent="0.55000000000000004">
      <c r="A208" s="45" t="s">
        <v>139</v>
      </c>
      <c r="B208" s="15" t="s">
        <v>60</v>
      </c>
      <c r="C208" s="15">
        <v>33</v>
      </c>
    </row>
    <row r="209" spans="1:3" x14ac:dyDescent="0.55000000000000004">
      <c r="A209" s="45">
        <v>41436</v>
      </c>
      <c r="B209" s="15" t="s">
        <v>63</v>
      </c>
      <c r="C209" s="15">
        <v>26</v>
      </c>
    </row>
    <row r="210" spans="1:3" x14ac:dyDescent="0.55000000000000004">
      <c r="A210" s="45" t="s">
        <v>131</v>
      </c>
      <c r="B210" s="15" t="s">
        <v>63</v>
      </c>
      <c r="C210" s="15">
        <v>34</v>
      </c>
    </row>
    <row r="211" spans="1:3" x14ac:dyDescent="0.55000000000000004">
      <c r="A211" s="45" t="s">
        <v>73</v>
      </c>
      <c r="B211" s="15" t="s">
        <v>66</v>
      </c>
      <c r="C211" s="15">
        <v>15</v>
      </c>
    </row>
    <row r="212" spans="1:3" x14ac:dyDescent="0.55000000000000004">
      <c r="A212" s="45" t="s">
        <v>126</v>
      </c>
      <c r="B212" s="15" t="s">
        <v>54</v>
      </c>
      <c r="C212" s="15">
        <v>55</v>
      </c>
    </row>
    <row r="213" spans="1:3" x14ac:dyDescent="0.55000000000000004">
      <c r="A213" s="45" t="s">
        <v>92</v>
      </c>
      <c r="B213" s="15" t="s">
        <v>47</v>
      </c>
      <c r="C213" s="15">
        <v>28</v>
      </c>
    </row>
    <row r="214" spans="1:3" x14ac:dyDescent="0.55000000000000004">
      <c r="A214" s="45">
        <v>41883</v>
      </c>
      <c r="B214" s="15" t="s">
        <v>69</v>
      </c>
      <c r="C214" s="15">
        <v>19</v>
      </c>
    </row>
    <row r="215" spans="1:3" x14ac:dyDescent="0.55000000000000004">
      <c r="A215" s="45">
        <v>41375</v>
      </c>
      <c r="B215" s="15" t="s">
        <v>46</v>
      </c>
      <c r="C215" s="15">
        <v>34</v>
      </c>
    </row>
    <row r="216" spans="1:3" x14ac:dyDescent="0.55000000000000004">
      <c r="A216" s="45">
        <v>41286</v>
      </c>
      <c r="B216" s="15" t="s">
        <v>62</v>
      </c>
      <c r="C216" s="15">
        <v>43</v>
      </c>
    </row>
    <row r="217" spans="1:3" x14ac:dyDescent="0.55000000000000004">
      <c r="A217" s="45">
        <v>41343</v>
      </c>
      <c r="B217" s="15" t="s">
        <v>57</v>
      </c>
      <c r="C217" s="15">
        <v>25</v>
      </c>
    </row>
    <row r="218" spans="1:3" x14ac:dyDescent="0.55000000000000004">
      <c r="A218" s="45" t="s">
        <v>140</v>
      </c>
      <c r="B218" s="15" t="s">
        <v>60</v>
      </c>
      <c r="C218" s="15">
        <v>19</v>
      </c>
    </row>
    <row r="219" spans="1:3" x14ac:dyDescent="0.55000000000000004">
      <c r="A219" s="45" t="s">
        <v>113</v>
      </c>
      <c r="B219" s="15" t="s">
        <v>48</v>
      </c>
      <c r="C219" s="15">
        <v>28</v>
      </c>
    </row>
    <row r="220" spans="1:3" x14ac:dyDescent="0.55000000000000004">
      <c r="A220" s="45" t="s">
        <v>71</v>
      </c>
      <c r="B220" s="15" t="s">
        <v>48</v>
      </c>
      <c r="C220" s="15">
        <v>54</v>
      </c>
    </row>
    <row r="221" spans="1:3" x14ac:dyDescent="0.55000000000000004">
      <c r="A221" s="45" t="s">
        <v>141</v>
      </c>
      <c r="B221" s="15" t="s">
        <v>52</v>
      </c>
      <c r="C221" s="15">
        <v>42</v>
      </c>
    </row>
    <row r="222" spans="1:3" x14ac:dyDescent="0.55000000000000004">
      <c r="A222" s="45" t="s">
        <v>140</v>
      </c>
      <c r="B222" s="15" t="s">
        <v>62</v>
      </c>
      <c r="C222" s="15">
        <v>47</v>
      </c>
    </row>
    <row r="223" spans="1:3" x14ac:dyDescent="0.55000000000000004">
      <c r="A223" s="45">
        <v>41588</v>
      </c>
      <c r="B223" s="15" t="s">
        <v>69</v>
      </c>
      <c r="C223" s="15">
        <v>35</v>
      </c>
    </row>
    <row r="224" spans="1:3" x14ac:dyDescent="0.55000000000000004">
      <c r="A224" s="45">
        <v>41283</v>
      </c>
      <c r="B224" s="15" t="s">
        <v>64</v>
      </c>
      <c r="C224" s="15">
        <v>25</v>
      </c>
    </row>
    <row r="225" spans="1:3" x14ac:dyDescent="0.55000000000000004">
      <c r="A225" s="45" t="s">
        <v>142</v>
      </c>
      <c r="B225" s="15" t="s">
        <v>61</v>
      </c>
      <c r="C225" s="15">
        <v>27</v>
      </c>
    </row>
    <row r="226" spans="1:3" x14ac:dyDescent="0.55000000000000004">
      <c r="A226" s="45" t="s">
        <v>143</v>
      </c>
      <c r="B226" s="15" t="s">
        <v>67</v>
      </c>
      <c r="C226" s="15">
        <v>54</v>
      </c>
    </row>
    <row r="227" spans="1:3" x14ac:dyDescent="0.55000000000000004">
      <c r="A227" s="45">
        <v>41640</v>
      </c>
      <c r="B227" s="15" t="s">
        <v>60</v>
      </c>
      <c r="C227" s="15">
        <v>54</v>
      </c>
    </row>
    <row r="228" spans="1:3" x14ac:dyDescent="0.55000000000000004">
      <c r="A228" s="45" t="s">
        <v>144</v>
      </c>
      <c r="B228" s="15" t="s">
        <v>45</v>
      </c>
      <c r="C228" s="15">
        <v>26</v>
      </c>
    </row>
    <row r="229" spans="1:3" x14ac:dyDescent="0.55000000000000004">
      <c r="A229" s="45" t="s">
        <v>77</v>
      </c>
      <c r="B229" s="15" t="s">
        <v>63</v>
      </c>
      <c r="C229" s="15">
        <v>45</v>
      </c>
    </row>
    <row r="230" spans="1:3" x14ac:dyDescent="0.55000000000000004">
      <c r="A230" s="45">
        <v>41315</v>
      </c>
      <c r="B230" s="15" t="s">
        <v>48</v>
      </c>
      <c r="C230" s="15">
        <v>54</v>
      </c>
    </row>
    <row r="231" spans="1:3" x14ac:dyDescent="0.55000000000000004">
      <c r="A231" s="45" t="s">
        <v>84</v>
      </c>
      <c r="B231" s="15" t="s">
        <v>52</v>
      </c>
      <c r="C231" s="15">
        <v>35</v>
      </c>
    </row>
    <row r="232" spans="1:3" x14ac:dyDescent="0.55000000000000004">
      <c r="A232" s="45" t="s">
        <v>79</v>
      </c>
      <c r="B232" s="15" t="s">
        <v>57</v>
      </c>
      <c r="C232" s="15">
        <v>32</v>
      </c>
    </row>
    <row r="233" spans="1:3" x14ac:dyDescent="0.55000000000000004">
      <c r="A233" s="45" t="s">
        <v>76</v>
      </c>
      <c r="B233" s="15" t="s">
        <v>56</v>
      </c>
      <c r="C233" s="15">
        <v>32</v>
      </c>
    </row>
    <row r="234" spans="1:3" x14ac:dyDescent="0.55000000000000004">
      <c r="A234" s="45" t="s">
        <v>144</v>
      </c>
      <c r="B234" s="15" t="s">
        <v>45</v>
      </c>
      <c r="C234" s="15">
        <v>38</v>
      </c>
    </row>
    <row r="235" spans="1:3" x14ac:dyDescent="0.55000000000000004">
      <c r="A235" s="45">
        <v>41467</v>
      </c>
      <c r="B235" s="15" t="s">
        <v>67</v>
      </c>
      <c r="C235" s="15">
        <v>42</v>
      </c>
    </row>
    <row r="236" spans="1:3" x14ac:dyDescent="0.55000000000000004">
      <c r="A236" s="45">
        <v>41559</v>
      </c>
      <c r="B236" s="15" t="s">
        <v>48</v>
      </c>
      <c r="C236" s="15">
        <v>47</v>
      </c>
    </row>
    <row r="237" spans="1:3" x14ac:dyDescent="0.55000000000000004">
      <c r="A237" s="45">
        <v>41465</v>
      </c>
      <c r="B237" s="15" t="s">
        <v>48</v>
      </c>
      <c r="C237" s="15">
        <v>40</v>
      </c>
    </row>
    <row r="238" spans="1:3" x14ac:dyDescent="0.55000000000000004">
      <c r="A238" s="45" t="s">
        <v>134</v>
      </c>
      <c r="B238" s="15" t="s">
        <v>64</v>
      </c>
      <c r="C238" s="15">
        <v>48</v>
      </c>
    </row>
    <row r="239" spans="1:3" x14ac:dyDescent="0.55000000000000004">
      <c r="A239" s="45">
        <v>41316</v>
      </c>
      <c r="B239" s="15" t="s">
        <v>52</v>
      </c>
      <c r="C239" s="15">
        <v>12</v>
      </c>
    </row>
    <row r="240" spans="1:3" x14ac:dyDescent="0.55000000000000004">
      <c r="A240" s="45">
        <v>41437</v>
      </c>
      <c r="B240" s="15" t="s">
        <v>65</v>
      </c>
      <c r="C240" s="15">
        <v>42</v>
      </c>
    </row>
    <row r="241" spans="1:3" x14ac:dyDescent="0.55000000000000004">
      <c r="A241" s="45">
        <v>41434</v>
      </c>
      <c r="B241" s="15" t="s">
        <v>50</v>
      </c>
      <c r="C241" s="15">
        <v>32</v>
      </c>
    </row>
    <row r="242" spans="1:3" x14ac:dyDescent="0.55000000000000004">
      <c r="A242" s="45" t="s">
        <v>109</v>
      </c>
      <c r="B242" s="15" t="s">
        <v>47</v>
      </c>
      <c r="C242" s="15">
        <v>47</v>
      </c>
    </row>
    <row r="243" spans="1:3" x14ac:dyDescent="0.55000000000000004">
      <c r="A243" s="45" t="s">
        <v>122</v>
      </c>
      <c r="B243" s="15" t="s">
        <v>66</v>
      </c>
      <c r="C243" s="15">
        <v>55</v>
      </c>
    </row>
    <row r="244" spans="1:3" x14ac:dyDescent="0.55000000000000004">
      <c r="A244" s="45" t="s">
        <v>145</v>
      </c>
      <c r="B244" s="15" t="s">
        <v>63</v>
      </c>
      <c r="C244" s="15">
        <v>17</v>
      </c>
    </row>
    <row r="245" spans="1:3" x14ac:dyDescent="0.55000000000000004">
      <c r="A245" s="45" t="s">
        <v>146</v>
      </c>
      <c r="B245" s="15" t="s">
        <v>58</v>
      </c>
      <c r="C245" s="15">
        <v>32</v>
      </c>
    </row>
    <row r="246" spans="1:3" x14ac:dyDescent="0.55000000000000004">
      <c r="A246" s="45">
        <v>41760</v>
      </c>
      <c r="B246" s="15" t="s">
        <v>62</v>
      </c>
      <c r="C246" s="15">
        <v>24</v>
      </c>
    </row>
    <row r="247" spans="1:3" x14ac:dyDescent="0.55000000000000004">
      <c r="A247" s="45" t="s">
        <v>147</v>
      </c>
      <c r="B247" s="15" t="s">
        <v>59</v>
      </c>
      <c r="C247" s="15">
        <v>12</v>
      </c>
    </row>
    <row r="248" spans="1:3" x14ac:dyDescent="0.55000000000000004">
      <c r="A248" s="45">
        <v>41343</v>
      </c>
      <c r="B248" s="15" t="s">
        <v>64</v>
      </c>
      <c r="C248" s="15">
        <v>38</v>
      </c>
    </row>
    <row r="249" spans="1:3" x14ac:dyDescent="0.55000000000000004">
      <c r="A249" s="45">
        <v>41314</v>
      </c>
      <c r="B249" s="15" t="s">
        <v>50</v>
      </c>
      <c r="C249" s="15">
        <v>40</v>
      </c>
    </row>
    <row r="250" spans="1:3" x14ac:dyDescent="0.55000000000000004">
      <c r="A250" s="45">
        <v>41590</v>
      </c>
      <c r="B250" s="15" t="s">
        <v>49</v>
      </c>
      <c r="C250" s="15">
        <v>23</v>
      </c>
    </row>
    <row r="251" spans="1:3" x14ac:dyDescent="0.55000000000000004">
      <c r="A251" s="45" t="s">
        <v>140</v>
      </c>
      <c r="B251" s="15" t="s">
        <v>49</v>
      </c>
      <c r="C251" s="15">
        <v>48</v>
      </c>
    </row>
    <row r="252" spans="1:3" x14ac:dyDescent="0.55000000000000004">
      <c r="A252" s="45" t="s">
        <v>108</v>
      </c>
      <c r="B252" s="15" t="s">
        <v>68</v>
      </c>
      <c r="C252" s="15">
        <v>30</v>
      </c>
    </row>
    <row r="253" spans="1:3" x14ac:dyDescent="0.55000000000000004">
      <c r="A253" s="45">
        <v>41285</v>
      </c>
      <c r="B253" s="15" t="s">
        <v>53</v>
      </c>
      <c r="C253" s="15">
        <v>56</v>
      </c>
    </row>
    <row r="254" spans="1:3" x14ac:dyDescent="0.55000000000000004">
      <c r="A254" s="45">
        <v>41284</v>
      </c>
      <c r="B254" s="15" t="s">
        <v>45</v>
      </c>
      <c r="C254" s="15">
        <v>37</v>
      </c>
    </row>
    <row r="255" spans="1:3" x14ac:dyDescent="0.55000000000000004">
      <c r="A255" s="45">
        <v>41588</v>
      </c>
      <c r="B255" s="15" t="s">
        <v>53</v>
      </c>
      <c r="C255" s="15">
        <v>49</v>
      </c>
    </row>
    <row r="256" spans="1:3" x14ac:dyDescent="0.55000000000000004">
      <c r="A256" s="45">
        <v>41671</v>
      </c>
      <c r="B256" s="15" t="s">
        <v>62</v>
      </c>
      <c r="C256" s="15">
        <v>15</v>
      </c>
    </row>
    <row r="257" spans="1:3" x14ac:dyDescent="0.55000000000000004">
      <c r="A257" s="45" t="s">
        <v>148</v>
      </c>
      <c r="B257" s="15" t="s">
        <v>67</v>
      </c>
      <c r="C257" s="15">
        <v>30</v>
      </c>
    </row>
    <row r="258" spans="1:3" x14ac:dyDescent="0.55000000000000004">
      <c r="A258" s="45" t="s">
        <v>149</v>
      </c>
      <c r="B258" s="15" t="s">
        <v>68</v>
      </c>
      <c r="C258" s="15">
        <v>32</v>
      </c>
    </row>
    <row r="259" spans="1:3" x14ac:dyDescent="0.55000000000000004">
      <c r="A259" s="45" t="s">
        <v>92</v>
      </c>
      <c r="B259" s="15" t="s">
        <v>66</v>
      </c>
      <c r="C259" s="15">
        <v>41</v>
      </c>
    </row>
    <row r="260" spans="1:3" x14ac:dyDescent="0.55000000000000004">
      <c r="A260" s="45" t="s">
        <v>86</v>
      </c>
      <c r="B260" s="15" t="s">
        <v>49</v>
      </c>
      <c r="C260" s="15">
        <v>24</v>
      </c>
    </row>
    <row r="261" spans="1:3" x14ac:dyDescent="0.55000000000000004">
      <c r="A261" s="45">
        <v>41406</v>
      </c>
      <c r="B261" s="15" t="s">
        <v>63</v>
      </c>
      <c r="C261" s="15">
        <v>35</v>
      </c>
    </row>
    <row r="262" spans="1:3" x14ac:dyDescent="0.55000000000000004">
      <c r="A262" s="45">
        <v>41760</v>
      </c>
      <c r="B262" s="15" t="s">
        <v>61</v>
      </c>
      <c r="C262" s="15">
        <v>51</v>
      </c>
    </row>
    <row r="263" spans="1:3" x14ac:dyDescent="0.55000000000000004">
      <c r="A263" s="45" t="s">
        <v>139</v>
      </c>
      <c r="B263" s="15" t="s">
        <v>50</v>
      </c>
      <c r="C263" s="15">
        <v>58</v>
      </c>
    </row>
    <row r="264" spans="1:3" x14ac:dyDescent="0.55000000000000004">
      <c r="A264" s="45" t="s">
        <v>108</v>
      </c>
      <c r="B264" s="15" t="s">
        <v>52</v>
      </c>
      <c r="C264" s="15">
        <v>42</v>
      </c>
    </row>
    <row r="265" spans="1:3" x14ac:dyDescent="0.55000000000000004">
      <c r="A265" s="45">
        <v>41590</v>
      </c>
      <c r="B265" s="15" t="s">
        <v>62</v>
      </c>
      <c r="C265" s="15">
        <v>59</v>
      </c>
    </row>
    <row r="266" spans="1:3" x14ac:dyDescent="0.55000000000000004">
      <c r="A266" s="45" t="s">
        <v>87</v>
      </c>
      <c r="B266" s="15" t="s">
        <v>49</v>
      </c>
      <c r="C266" s="15">
        <v>30</v>
      </c>
    </row>
    <row r="267" spans="1:3" x14ac:dyDescent="0.55000000000000004">
      <c r="A267" s="45" t="s">
        <v>125</v>
      </c>
      <c r="B267" s="15" t="s">
        <v>53</v>
      </c>
      <c r="C267" s="15">
        <v>59</v>
      </c>
    </row>
    <row r="268" spans="1:3" x14ac:dyDescent="0.55000000000000004">
      <c r="A268" s="45" t="s">
        <v>122</v>
      </c>
      <c r="B268" s="15" t="s">
        <v>47</v>
      </c>
      <c r="C268" s="15">
        <v>17</v>
      </c>
    </row>
    <row r="269" spans="1:3" x14ac:dyDescent="0.55000000000000004">
      <c r="A269" s="45" t="s">
        <v>88</v>
      </c>
      <c r="B269" s="15" t="s">
        <v>68</v>
      </c>
      <c r="C269" s="15">
        <v>47</v>
      </c>
    </row>
    <row r="270" spans="1:3" x14ac:dyDescent="0.55000000000000004">
      <c r="A270" s="45" t="s">
        <v>112</v>
      </c>
      <c r="B270" s="15" t="s">
        <v>68</v>
      </c>
      <c r="C270" s="15">
        <v>53</v>
      </c>
    </row>
    <row r="271" spans="1:3" x14ac:dyDescent="0.55000000000000004">
      <c r="A271" s="45">
        <v>41559</v>
      </c>
      <c r="B271" s="15" t="s">
        <v>60</v>
      </c>
      <c r="C271" s="15">
        <v>17</v>
      </c>
    </row>
    <row r="272" spans="1:3" x14ac:dyDescent="0.55000000000000004">
      <c r="A272" s="45">
        <v>41730</v>
      </c>
      <c r="B272" s="15" t="s">
        <v>51</v>
      </c>
      <c r="C272" s="15">
        <v>11</v>
      </c>
    </row>
    <row r="273" spans="1:3" x14ac:dyDescent="0.55000000000000004">
      <c r="A273" s="45" t="s">
        <v>76</v>
      </c>
      <c r="B273" s="15" t="s">
        <v>56</v>
      </c>
      <c r="C273" s="15">
        <v>58</v>
      </c>
    </row>
    <row r="274" spans="1:3" x14ac:dyDescent="0.55000000000000004">
      <c r="A274" s="45">
        <v>41314</v>
      </c>
      <c r="B274" s="15" t="s">
        <v>66</v>
      </c>
      <c r="C274" s="15">
        <v>46</v>
      </c>
    </row>
    <row r="275" spans="1:3" x14ac:dyDescent="0.55000000000000004">
      <c r="A275" s="45" t="s">
        <v>128</v>
      </c>
      <c r="B275" s="15" t="s">
        <v>61</v>
      </c>
      <c r="C275" s="15">
        <v>49</v>
      </c>
    </row>
    <row r="276" spans="1:3" x14ac:dyDescent="0.55000000000000004">
      <c r="A276" s="45" t="s">
        <v>101</v>
      </c>
      <c r="B276" s="15" t="s">
        <v>56</v>
      </c>
      <c r="C276" s="15">
        <v>16</v>
      </c>
    </row>
    <row r="277" spans="1:3" x14ac:dyDescent="0.55000000000000004">
      <c r="A277" s="45">
        <v>41315</v>
      </c>
      <c r="B277" s="15" t="s">
        <v>54</v>
      </c>
      <c r="C277" s="15">
        <v>32</v>
      </c>
    </row>
    <row r="278" spans="1:3" x14ac:dyDescent="0.55000000000000004">
      <c r="A278" s="45" t="s">
        <v>134</v>
      </c>
      <c r="B278" s="15" t="s">
        <v>58</v>
      </c>
      <c r="C278" s="15">
        <v>32</v>
      </c>
    </row>
    <row r="279" spans="1:3" x14ac:dyDescent="0.55000000000000004">
      <c r="A279" s="45" t="s">
        <v>90</v>
      </c>
      <c r="B279" s="15" t="s">
        <v>46</v>
      </c>
      <c r="C279" s="15">
        <v>19</v>
      </c>
    </row>
    <row r="280" spans="1:3" x14ac:dyDescent="0.55000000000000004">
      <c r="A280" s="45" t="s">
        <v>97</v>
      </c>
      <c r="B280" s="15" t="s">
        <v>55</v>
      </c>
      <c r="C280" s="15">
        <v>32</v>
      </c>
    </row>
    <row r="281" spans="1:3" x14ac:dyDescent="0.55000000000000004">
      <c r="A281" s="45" t="s">
        <v>139</v>
      </c>
      <c r="B281" s="15" t="s">
        <v>56</v>
      </c>
      <c r="C281" s="15">
        <v>13</v>
      </c>
    </row>
    <row r="282" spans="1:3" x14ac:dyDescent="0.55000000000000004">
      <c r="A282" s="45" t="s">
        <v>141</v>
      </c>
      <c r="B282" s="15" t="s">
        <v>69</v>
      </c>
      <c r="C282" s="15">
        <v>52</v>
      </c>
    </row>
    <row r="283" spans="1:3" x14ac:dyDescent="0.55000000000000004">
      <c r="A283" s="45" t="s">
        <v>123</v>
      </c>
      <c r="B283" s="15" t="s">
        <v>48</v>
      </c>
      <c r="C283" s="15">
        <v>59</v>
      </c>
    </row>
    <row r="284" spans="1:3" x14ac:dyDescent="0.55000000000000004">
      <c r="A284" s="45" t="s">
        <v>93</v>
      </c>
      <c r="B284" s="15" t="s">
        <v>65</v>
      </c>
      <c r="C284" s="15">
        <v>48</v>
      </c>
    </row>
    <row r="285" spans="1:3" x14ac:dyDescent="0.55000000000000004">
      <c r="A285" s="45" t="s">
        <v>85</v>
      </c>
      <c r="B285" s="15" t="s">
        <v>67</v>
      </c>
      <c r="C285" s="15">
        <v>46</v>
      </c>
    </row>
    <row r="286" spans="1:3" x14ac:dyDescent="0.55000000000000004">
      <c r="A286" s="45" t="s">
        <v>93</v>
      </c>
      <c r="B286" s="15" t="s">
        <v>63</v>
      </c>
      <c r="C286" s="15">
        <v>43</v>
      </c>
    </row>
    <row r="287" spans="1:3" x14ac:dyDescent="0.55000000000000004">
      <c r="A287" s="45" t="s">
        <v>85</v>
      </c>
      <c r="B287" s="15" t="s">
        <v>65</v>
      </c>
      <c r="C287" s="15">
        <v>45</v>
      </c>
    </row>
    <row r="288" spans="1:3" x14ac:dyDescent="0.55000000000000004">
      <c r="A288" s="45" t="s">
        <v>79</v>
      </c>
      <c r="B288" s="15" t="s">
        <v>62</v>
      </c>
      <c r="C288" s="15">
        <v>56</v>
      </c>
    </row>
    <row r="289" spans="1:3" x14ac:dyDescent="0.55000000000000004">
      <c r="A289" s="45" t="s">
        <v>150</v>
      </c>
      <c r="B289" s="15" t="s">
        <v>53</v>
      </c>
      <c r="C289" s="15">
        <v>10</v>
      </c>
    </row>
    <row r="290" spans="1:3" x14ac:dyDescent="0.55000000000000004">
      <c r="A290" s="45" t="s">
        <v>149</v>
      </c>
      <c r="B290" s="15" t="s">
        <v>65</v>
      </c>
      <c r="C290" s="15">
        <v>57</v>
      </c>
    </row>
    <row r="291" spans="1:3" x14ac:dyDescent="0.55000000000000004">
      <c r="A291" s="45" t="s">
        <v>90</v>
      </c>
      <c r="B291" s="15" t="s">
        <v>54</v>
      </c>
      <c r="C291" s="15">
        <v>50</v>
      </c>
    </row>
    <row r="292" spans="1:3" x14ac:dyDescent="0.55000000000000004">
      <c r="A292" s="45">
        <v>41913</v>
      </c>
      <c r="B292" s="15" t="s">
        <v>53</v>
      </c>
      <c r="C292" s="15">
        <v>40</v>
      </c>
    </row>
    <row r="293" spans="1:3" x14ac:dyDescent="0.55000000000000004">
      <c r="A293" s="45" t="s">
        <v>91</v>
      </c>
      <c r="B293" s="15" t="s">
        <v>51</v>
      </c>
      <c r="C293" s="15">
        <v>33</v>
      </c>
    </row>
    <row r="294" spans="1:3" x14ac:dyDescent="0.55000000000000004">
      <c r="A294" s="45" t="s">
        <v>150</v>
      </c>
      <c r="B294" s="15" t="s">
        <v>46</v>
      </c>
      <c r="C294" s="15">
        <v>24</v>
      </c>
    </row>
    <row r="295" spans="1:3" x14ac:dyDescent="0.55000000000000004">
      <c r="A295" s="45" t="s">
        <v>111</v>
      </c>
      <c r="B295" s="15" t="s">
        <v>47</v>
      </c>
      <c r="C295" s="15">
        <v>38</v>
      </c>
    </row>
    <row r="296" spans="1:3" x14ac:dyDescent="0.55000000000000004">
      <c r="A296" s="45">
        <v>41467</v>
      </c>
      <c r="B296" s="15" t="s">
        <v>46</v>
      </c>
      <c r="C296" s="15">
        <v>49</v>
      </c>
    </row>
    <row r="297" spans="1:3" x14ac:dyDescent="0.55000000000000004">
      <c r="A297" s="45" t="s">
        <v>102</v>
      </c>
      <c r="B297" s="15" t="s">
        <v>50</v>
      </c>
      <c r="C297" s="15">
        <v>11</v>
      </c>
    </row>
    <row r="298" spans="1:3" x14ac:dyDescent="0.55000000000000004">
      <c r="A298" s="45" t="s">
        <v>79</v>
      </c>
      <c r="B298" s="15" t="s">
        <v>69</v>
      </c>
      <c r="C298" s="15">
        <v>57</v>
      </c>
    </row>
    <row r="299" spans="1:3" x14ac:dyDescent="0.55000000000000004">
      <c r="A299" s="45" t="s">
        <v>84</v>
      </c>
      <c r="B299" s="15" t="s">
        <v>49</v>
      </c>
      <c r="C299" s="15">
        <v>19</v>
      </c>
    </row>
    <row r="300" spans="1:3" x14ac:dyDescent="0.55000000000000004">
      <c r="A300" s="45" t="s">
        <v>131</v>
      </c>
      <c r="B300" s="15" t="s">
        <v>65</v>
      </c>
      <c r="C300" s="15">
        <v>45</v>
      </c>
    </row>
    <row r="301" spans="1:3" x14ac:dyDescent="0.55000000000000004">
      <c r="A301" s="45">
        <v>41343</v>
      </c>
      <c r="B301" s="15" t="s">
        <v>68</v>
      </c>
      <c r="C301" s="15">
        <v>38</v>
      </c>
    </row>
    <row r="302" spans="1:3" x14ac:dyDescent="0.55000000000000004">
      <c r="A302" s="45">
        <v>41730</v>
      </c>
      <c r="B302" s="15" t="s">
        <v>50</v>
      </c>
      <c r="C302" s="15">
        <v>32</v>
      </c>
    </row>
    <row r="303" spans="1:3" x14ac:dyDescent="0.55000000000000004">
      <c r="A303" s="45" t="s">
        <v>118</v>
      </c>
      <c r="B303" s="15" t="s">
        <v>56</v>
      </c>
      <c r="C303" s="15">
        <v>54</v>
      </c>
    </row>
    <row r="304" spans="1:3" x14ac:dyDescent="0.55000000000000004">
      <c r="A304" s="45" t="s">
        <v>79</v>
      </c>
      <c r="B304" s="15" t="s">
        <v>65</v>
      </c>
      <c r="C304" s="15">
        <v>18</v>
      </c>
    </row>
    <row r="305" spans="1:3" x14ac:dyDescent="0.55000000000000004">
      <c r="A305" s="45" t="s">
        <v>148</v>
      </c>
      <c r="B305" s="15" t="s">
        <v>48</v>
      </c>
      <c r="C305" s="15">
        <v>56</v>
      </c>
    </row>
    <row r="306" spans="1:3" x14ac:dyDescent="0.55000000000000004">
      <c r="A306" s="45">
        <v>41589</v>
      </c>
      <c r="B306" s="15" t="s">
        <v>65</v>
      </c>
      <c r="C306" s="15">
        <v>50</v>
      </c>
    </row>
    <row r="307" spans="1:3" x14ac:dyDescent="0.55000000000000004">
      <c r="A307" s="45" t="s">
        <v>118</v>
      </c>
      <c r="B307" s="15" t="s">
        <v>62</v>
      </c>
      <c r="C307" s="15">
        <v>10</v>
      </c>
    </row>
    <row r="308" spans="1:3" x14ac:dyDescent="0.55000000000000004">
      <c r="A308" s="45" t="s">
        <v>151</v>
      </c>
      <c r="B308" s="15" t="s">
        <v>66</v>
      </c>
      <c r="C308" s="15">
        <v>42</v>
      </c>
    </row>
    <row r="309" spans="1:3" x14ac:dyDescent="0.55000000000000004">
      <c r="A309" s="45">
        <v>41496</v>
      </c>
      <c r="B309" s="15" t="s">
        <v>66</v>
      </c>
      <c r="C309" s="15">
        <v>14</v>
      </c>
    </row>
    <row r="310" spans="1:3" x14ac:dyDescent="0.55000000000000004">
      <c r="A310" s="45">
        <v>41437</v>
      </c>
      <c r="B310" s="15" t="s">
        <v>48</v>
      </c>
      <c r="C310" s="15">
        <v>57</v>
      </c>
    </row>
    <row r="311" spans="1:3" x14ac:dyDescent="0.55000000000000004">
      <c r="A311" s="45">
        <v>41314</v>
      </c>
      <c r="B311" s="15" t="s">
        <v>59</v>
      </c>
      <c r="C311" s="15">
        <v>53</v>
      </c>
    </row>
    <row r="312" spans="1:3" x14ac:dyDescent="0.55000000000000004">
      <c r="A312" s="45">
        <v>41852</v>
      </c>
      <c r="B312" s="15" t="s">
        <v>51</v>
      </c>
      <c r="C312" s="15">
        <v>43</v>
      </c>
    </row>
    <row r="313" spans="1:3" x14ac:dyDescent="0.55000000000000004">
      <c r="A313" s="45">
        <v>41434</v>
      </c>
      <c r="B313" s="15" t="s">
        <v>64</v>
      </c>
      <c r="C313" s="15">
        <v>37</v>
      </c>
    </row>
    <row r="314" spans="1:3" x14ac:dyDescent="0.55000000000000004">
      <c r="A314" s="45" t="s">
        <v>118</v>
      </c>
      <c r="B314" s="15" t="s">
        <v>68</v>
      </c>
      <c r="C314" s="15">
        <v>54</v>
      </c>
    </row>
    <row r="315" spans="1:3" x14ac:dyDescent="0.55000000000000004">
      <c r="A315" s="45" t="s">
        <v>115</v>
      </c>
      <c r="B315" s="15" t="s">
        <v>66</v>
      </c>
      <c r="C315" s="15">
        <v>55</v>
      </c>
    </row>
    <row r="316" spans="1:3" x14ac:dyDescent="0.55000000000000004">
      <c r="A316" s="45" t="s">
        <v>152</v>
      </c>
      <c r="B316" s="15" t="s">
        <v>47</v>
      </c>
      <c r="C316" s="15">
        <v>48</v>
      </c>
    </row>
    <row r="317" spans="1:3" x14ac:dyDescent="0.55000000000000004">
      <c r="A317" s="45">
        <v>41617</v>
      </c>
      <c r="B317" s="15" t="s">
        <v>51</v>
      </c>
      <c r="C317" s="15">
        <v>28</v>
      </c>
    </row>
    <row r="318" spans="1:3" x14ac:dyDescent="0.55000000000000004">
      <c r="A318" s="45">
        <v>41944</v>
      </c>
      <c r="B318" s="15" t="s">
        <v>66</v>
      </c>
      <c r="C318" s="15">
        <v>16</v>
      </c>
    </row>
    <row r="319" spans="1:3" x14ac:dyDescent="0.55000000000000004">
      <c r="A319" s="45" t="s">
        <v>101</v>
      </c>
      <c r="B319" s="15" t="s">
        <v>55</v>
      </c>
      <c r="C319" s="15">
        <v>47</v>
      </c>
    </row>
    <row r="320" spans="1:3" x14ac:dyDescent="0.55000000000000004">
      <c r="A320" s="45">
        <v>41286</v>
      </c>
      <c r="B320" s="15" t="s">
        <v>45</v>
      </c>
      <c r="C320" s="15">
        <v>17</v>
      </c>
    </row>
    <row r="321" spans="1:3" x14ac:dyDescent="0.55000000000000004">
      <c r="A321" s="45" t="s">
        <v>77</v>
      </c>
      <c r="B321" s="15" t="s">
        <v>65</v>
      </c>
      <c r="C321" s="15">
        <v>53</v>
      </c>
    </row>
    <row r="322" spans="1:3" x14ac:dyDescent="0.55000000000000004">
      <c r="A322" s="45" t="s">
        <v>91</v>
      </c>
      <c r="B322" s="15" t="s">
        <v>58</v>
      </c>
      <c r="C322" s="15">
        <v>45</v>
      </c>
    </row>
    <row r="323" spans="1:3" x14ac:dyDescent="0.55000000000000004">
      <c r="A323" s="45" t="s">
        <v>83</v>
      </c>
      <c r="B323" s="15" t="s">
        <v>60</v>
      </c>
      <c r="C323" s="15">
        <v>57</v>
      </c>
    </row>
    <row r="324" spans="1:3" x14ac:dyDescent="0.55000000000000004">
      <c r="A324" s="45" t="s">
        <v>129</v>
      </c>
      <c r="B324" s="15" t="s">
        <v>48</v>
      </c>
      <c r="C324" s="15">
        <v>52</v>
      </c>
    </row>
    <row r="325" spans="1:3" x14ac:dyDescent="0.55000000000000004">
      <c r="A325" s="45">
        <v>41821</v>
      </c>
      <c r="B325" s="15" t="s">
        <v>63</v>
      </c>
      <c r="C325" s="15">
        <v>39</v>
      </c>
    </row>
    <row r="326" spans="1:3" x14ac:dyDescent="0.55000000000000004">
      <c r="A326" s="45" t="s">
        <v>77</v>
      </c>
      <c r="B326" s="15" t="s">
        <v>58</v>
      </c>
      <c r="C326" s="15">
        <v>42</v>
      </c>
    </row>
    <row r="327" spans="1:3" x14ac:dyDescent="0.55000000000000004">
      <c r="A327" s="45" t="s">
        <v>153</v>
      </c>
      <c r="B327" s="15" t="s">
        <v>64</v>
      </c>
      <c r="C327" s="15">
        <v>50</v>
      </c>
    </row>
    <row r="328" spans="1:3" x14ac:dyDescent="0.55000000000000004">
      <c r="A328" s="45" t="s">
        <v>84</v>
      </c>
      <c r="B328" s="15" t="s">
        <v>69</v>
      </c>
      <c r="C328" s="15">
        <v>53</v>
      </c>
    </row>
    <row r="329" spans="1:3" x14ac:dyDescent="0.55000000000000004">
      <c r="A329" s="45">
        <v>41640</v>
      </c>
      <c r="B329" s="15" t="s">
        <v>46</v>
      </c>
      <c r="C329" s="15">
        <v>23</v>
      </c>
    </row>
    <row r="330" spans="1:3" x14ac:dyDescent="0.55000000000000004">
      <c r="A330" s="45" t="s">
        <v>141</v>
      </c>
      <c r="B330" s="15" t="s">
        <v>53</v>
      </c>
      <c r="C330" s="15">
        <v>38</v>
      </c>
    </row>
    <row r="331" spans="1:3" x14ac:dyDescent="0.55000000000000004">
      <c r="A331" s="45" t="s">
        <v>147</v>
      </c>
      <c r="B331" s="15" t="s">
        <v>53</v>
      </c>
      <c r="C331" s="15">
        <v>56</v>
      </c>
    </row>
    <row r="332" spans="1:3" x14ac:dyDescent="0.55000000000000004">
      <c r="A332" s="45">
        <v>41526</v>
      </c>
      <c r="B332" s="15" t="s">
        <v>62</v>
      </c>
      <c r="C332" s="15">
        <v>37</v>
      </c>
    </row>
    <row r="333" spans="1:3" x14ac:dyDescent="0.55000000000000004">
      <c r="A333" s="45" t="s">
        <v>97</v>
      </c>
      <c r="B333" s="15" t="s">
        <v>55</v>
      </c>
      <c r="C333" s="15">
        <v>56</v>
      </c>
    </row>
    <row r="334" spans="1:3" x14ac:dyDescent="0.55000000000000004">
      <c r="A334" s="45" t="s">
        <v>152</v>
      </c>
      <c r="B334" s="15" t="s">
        <v>48</v>
      </c>
      <c r="C334" s="15">
        <v>43</v>
      </c>
    </row>
    <row r="335" spans="1:3" x14ac:dyDescent="0.55000000000000004">
      <c r="A335" s="45" t="s">
        <v>114</v>
      </c>
      <c r="B335" s="15" t="s">
        <v>56</v>
      </c>
      <c r="C335" s="15">
        <v>36</v>
      </c>
    </row>
    <row r="336" spans="1:3" x14ac:dyDescent="0.55000000000000004">
      <c r="A336" s="45" t="s">
        <v>73</v>
      </c>
      <c r="B336" s="15" t="s">
        <v>45</v>
      </c>
      <c r="C336" s="15">
        <v>51</v>
      </c>
    </row>
    <row r="337" spans="1:3" x14ac:dyDescent="0.55000000000000004">
      <c r="A337" s="45">
        <v>41699</v>
      </c>
      <c r="B337" s="15" t="s">
        <v>56</v>
      </c>
      <c r="C337" s="15">
        <v>15</v>
      </c>
    </row>
    <row r="338" spans="1:3" x14ac:dyDescent="0.55000000000000004">
      <c r="A338" s="45" t="s">
        <v>144</v>
      </c>
      <c r="B338" s="15" t="s">
        <v>47</v>
      </c>
      <c r="C338" s="15">
        <v>14</v>
      </c>
    </row>
    <row r="339" spans="1:3" x14ac:dyDescent="0.55000000000000004">
      <c r="A339" s="45">
        <v>41640</v>
      </c>
      <c r="B339" s="15" t="s">
        <v>59</v>
      </c>
      <c r="C339" s="15">
        <v>59</v>
      </c>
    </row>
    <row r="340" spans="1:3" x14ac:dyDescent="0.55000000000000004">
      <c r="A340" s="45">
        <v>41403</v>
      </c>
      <c r="B340" s="15" t="s">
        <v>51</v>
      </c>
      <c r="C340" s="15">
        <v>14</v>
      </c>
    </row>
    <row r="341" spans="1:3" x14ac:dyDescent="0.55000000000000004">
      <c r="A341" s="45" t="s">
        <v>85</v>
      </c>
      <c r="B341" s="15" t="s">
        <v>66</v>
      </c>
      <c r="C341" s="15">
        <v>24</v>
      </c>
    </row>
    <row r="342" spans="1:3" x14ac:dyDescent="0.55000000000000004">
      <c r="A342" s="45" t="s">
        <v>97</v>
      </c>
      <c r="B342" s="15" t="s">
        <v>68</v>
      </c>
      <c r="C342" s="15">
        <v>20</v>
      </c>
    </row>
    <row r="343" spans="1:3" x14ac:dyDescent="0.55000000000000004">
      <c r="A343" s="45" t="s">
        <v>126</v>
      </c>
      <c r="B343" s="15" t="s">
        <v>67</v>
      </c>
      <c r="C343" s="15">
        <v>52</v>
      </c>
    </row>
    <row r="344" spans="1:3" x14ac:dyDescent="0.55000000000000004">
      <c r="A344" s="45">
        <v>41528</v>
      </c>
      <c r="B344" s="15" t="s">
        <v>58</v>
      </c>
      <c r="C344" s="15">
        <v>54</v>
      </c>
    </row>
    <row r="345" spans="1:3" x14ac:dyDescent="0.55000000000000004">
      <c r="A345" s="45" t="s">
        <v>138</v>
      </c>
      <c r="B345" s="15" t="s">
        <v>47</v>
      </c>
      <c r="C345" s="15">
        <v>12</v>
      </c>
    </row>
    <row r="346" spans="1:3" x14ac:dyDescent="0.55000000000000004">
      <c r="A346" s="45" t="s">
        <v>111</v>
      </c>
      <c r="B346" s="15" t="s">
        <v>65</v>
      </c>
      <c r="C346" s="15">
        <v>24</v>
      </c>
    </row>
    <row r="347" spans="1:3" x14ac:dyDescent="0.55000000000000004">
      <c r="A347" s="45">
        <v>41345</v>
      </c>
      <c r="B347" s="15" t="s">
        <v>49</v>
      </c>
      <c r="C347" s="15">
        <v>57</v>
      </c>
    </row>
    <row r="348" spans="1:3" x14ac:dyDescent="0.55000000000000004">
      <c r="A348" s="45">
        <v>41435</v>
      </c>
      <c r="B348" s="15" t="s">
        <v>45</v>
      </c>
      <c r="C348" s="15">
        <v>53</v>
      </c>
    </row>
    <row r="349" spans="1:3" x14ac:dyDescent="0.55000000000000004">
      <c r="A349" s="45">
        <v>41314</v>
      </c>
      <c r="B349" s="15" t="s">
        <v>61</v>
      </c>
      <c r="C349" s="15">
        <v>46</v>
      </c>
    </row>
    <row r="350" spans="1:3" x14ac:dyDescent="0.55000000000000004">
      <c r="A350" s="45">
        <v>41498</v>
      </c>
      <c r="B350" s="15" t="s">
        <v>47</v>
      </c>
      <c r="C350" s="15">
        <v>59</v>
      </c>
    </row>
    <row r="351" spans="1:3" x14ac:dyDescent="0.55000000000000004">
      <c r="A351" s="45" t="s">
        <v>101</v>
      </c>
      <c r="B351" s="15" t="s">
        <v>51</v>
      </c>
      <c r="C351" s="15">
        <v>16</v>
      </c>
    </row>
    <row r="352" spans="1:3" x14ac:dyDescent="0.55000000000000004">
      <c r="A352" s="45" t="s">
        <v>154</v>
      </c>
      <c r="B352" s="15" t="s">
        <v>65</v>
      </c>
      <c r="C352" s="15">
        <v>16</v>
      </c>
    </row>
    <row r="353" spans="1:3" x14ac:dyDescent="0.55000000000000004">
      <c r="A353" s="45">
        <v>41375</v>
      </c>
      <c r="B353" s="15" t="s">
        <v>68</v>
      </c>
      <c r="C353" s="15">
        <v>29</v>
      </c>
    </row>
    <row r="354" spans="1:3" x14ac:dyDescent="0.55000000000000004">
      <c r="A354" s="45">
        <v>41618</v>
      </c>
      <c r="B354" s="15" t="s">
        <v>58</v>
      </c>
      <c r="C354" s="15">
        <v>12</v>
      </c>
    </row>
    <row r="355" spans="1:3" x14ac:dyDescent="0.55000000000000004">
      <c r="A355" s="45">
        <v>41883</v>
      </c>
      <c r="B355" s="15" t="s">
        <v>56</v>
      </c>
      <c r="C355" s="15">
        <v>23</v>
      </c>
    </row>
    <row r="356" spans="1:3" x14ac:dyDescent="0.55000000000000004">
      <c r="A356" s="45">
        <v>41588</v>
      </c>
      <c r="B356" s="15" t="s">
        <v>56</v>
      </c>
      <c r="C356" s="15">
        <v>41</v>
      </c>
    </row>
    <row r="357" spans="1:3" x14ac:dyDescent="0.55000000000000004">
      <c r="A357" s="45">
        <v>41464</v>
      </c>
      <c r="B357" s="15" t="s">
        <v>52</v>
      </c>
      <c r="C357" s="15">
        <v>15</v>
      </c>
    </row>
    <row r="358" spans="1:3" x14ac:dyDescent="0.55000000000000004">
      <c r="A358" s="45" t="s">
        <v>152</v>
      </c>
      <c r="B358" s="15" t="s">
        <v>55</v>
      </c>
      <c r="C358" s="15">
        <v>42</v>
      </c>
    </row>
    <row r="359" spans="1:3" x14ac:dyDescent="0.55000000000000004">
      <c r="A359" s="45" t="s">
        <v>111</v>
      </c>
      <c r="B359" s="15" t="s">
        <v>51</v>
      </c>
      <c r="C359" s="15">
        <v>53</v>
      </c>
    </row>
    <row r="360" spans="1:3" x14ac:dyDescent="0.55000000000000004">
      <c r="A360" s="45" t="s">
        <v>128</v>
      </c>
      <c r="B360" s="15" t="s">
        <v>49</v>
      </c>
      <c r="C360" s="15">
        <v>56</v>
      </c>
    </row>
    <row r="361" spans="1:3" x14ac:dyDescent="0.55000000000000004">
      <c r="A361" s="45">
        <v>41405</v>
      </c>
      <c r="B361" s="15" t="s">
        <v>62</v>
      </c>
      <c r="C361" s="15">
        <v>50</v>
      </c>
    </row>
    <row r="362" spans="1:3" x14ac:dyDescent="0.55000000000000004">
      <c r="A362" s="45" t="s">
        <v>151</v>
      </c>
      <c r="B362" s="15" t="s">
        <v>58</v>
      </c>
      <c r="C362" s="15">
        <v>26</v>
      </c>
    </row>
    <row r="363" spans="1:3" x14ac:dyDescent="0.55000000000000004">
      <c r="A363" s="45" t="s">
        <v>118</v>
      </c>
      <c r="B363" s="15" t="s">
        <v>45</v>
      </c>
      <c r="C363" s="15">
        <v>23</v>
      </c>
    </row>
    <row r="364" spans="1:3" x14ac:dyDescent="0.55000000000000004">
      <c r="A364" s="45">
        <v>41435</v>
      </c>
      <c r="B364" s="15" t="s">
        <v>48</v>
      </c>
      <c r="C364" s="15">
        <v>23</v>
      </c>
    </row>
    <row r="365" spans="1:3" x14ac:dyDescent="0.55000000000000004">
      <c r="A365" s="45">
        <v>41587</v>
      </c>
      <c r="B365" s="15" t="s">
        <v>48</v>
      </c>
      <c r="C365" s="15">
        <v>12</v>
      </c>
    </row>
    <row r="366" spans="1:3" x14ac:dyDescent="0.55000000000000004">
      <c r="A366" s="45" t="s">
        <v>112</v>
      </c>
      <c r="B366" s="15" t="s">
        <v>47</v>
      </c>
      <c r="C366" s="15">
        <v>17</v>
      </c>
    </row>
    <row r="367" spans="1:3" x14ac:dyDescent="0.55000000000000004">
      <c r="A367" s="45">
        <v>41467</v>
      </c>
      <c r="B367" s="15" t="s">
        <v>51</v>
      </c>
      <c r="C367" s="15">
        <v>14</v>
      </c>
    </row>
    <row r="368" spans="1:3" x14ac:dyDescent="0.55000000000000004">
      <c r="A368" s="45" t="s">
        <v>143</v>
      </c>
      <c r="B368" s="15" t="s">
        <v>49</v>
      </c>
      <c r="C368" s="15">
        <v>57</v>
      </c>
    </row>
    <row r="369" spans="1:3" x14ac:dyDescent="0.55000000000000004">
      <c r="A369" s="45">
        <v>41528</v>
      </c>
      <c r="B369" s="15" t="s">
        <v>63</v>
      </c>
      <c r="C369" s="15">
        <v>37</v>
      </c>
    </row>
    <row r="370" spans="1:3" x14ac:dyDescent="0.55000000000000004">
      <c r="A370" s="45" t="s">
        <v>88</v>
      </c>
      <c r="B370" s="15" t="s">
        <v>54</v>
      </c>
      <c r="C370" s="15">
        <v>25</v>
      </c>
    </row>
    <row r="371" spans="1:3" x14ac:dyDescent="0.55000000000000004">
      <c r="A371" s="45">
        <v>41791</v>
      </c>
      <c r="B371" s="15" t="s">
        <v>45</v>
      </c>
      <c r="C371" s="15">
        <v>32</v>
      </c>
    </row>
    <row r="372" spans="1:3" x14ac:dyDescent="0.55000000000000004">
      <c r="A372" s="45">
        <v>41284</v>
      </c>
      <c r="B372" s="15" t="s">
        <v>64</v>
      </c>
      <c r="C372" s="15">
        <v>28</v>
      </c>
    </row>
    <row r="373" spans="1:3" x14ac:dyDescent="0.55000000000000004">
      <c r="A373" s="45" t="s">
        <v>130</v>
      </c>
      <c r="B373" s="15" t="s">
        <v>63</v>
      </c>
      <c r="C373" s="15">
        <v>30</v>
      </c>
    </row>
    <row r="374" spans="1:3" x14ac:dyDescent="0.55000000000000004">
      <c r="A374" s="45">
        <v>41528</v>
      </c>
      <c r="B374" s="15" t="s">
        <v>62</v>
      </c>
      <c r="C374" s="15">
        <v>34</v>
      </c>
    </row>
    <row r="375" spans="1:3" x14ac:dyDescent="0.55000000000000004">
      <c r="A375" s="45" t="s">
        <v>99</v>
      </c>
      <c r="B375" s="15" t="s">
        <v>56</v>
      </c>
      <c r="C375" s="15">
        <v>13</v>
      </c>
    </row>
    <row r="376" spans="1:3" x14ac:dyDescent="0.55000000000000004">
      <c r="A376" s="45" t="s">
        <v>155</v>
      </c>
      <c r="B376" s="15" t="s">
        <v>45</v>
      </c>
      <c r="C376" s="15">
        <v>45</v>
      </c>
    </row>
    <row r="377" spans="1:3" x14ac:dyDescent="0.55000000000000004">
      <c r="A377" s="45">
        <v>41465</v>
      </c>
      <c r="B377" s="15" t="s">
        <v>54</v>
      </c>
      <c r="C377" s="15">
        <v>34</v>
      </c>
    </row>
    <row r="378" spans="1:3" x14ac:dyDescent="0.55000000000000004">
      <c r="A378" s="45" t="s">
        <v>106</v>
      </c>
      <c r="B378" s="15" t="s">
        <v>52</v>
      </c>
      <c r="C378" s="15">
        <v>41</v>
      </c>
    </row>
    <row r="379" spans="1:3" x14ac:dyDescent="0.55000000000000004">
      <c r="A379" s="45">
        <v>41375</v>
      </c>
      <c r="B379" s="15" t="s">
        <v>67</v>
      </c>
      <c r="C379" s="15">
        <v>11</v>
      </c>
    </row>
    <row r="380" spans="1:3" x14ac:dyDescent="0.55000000000000004">
      <c r="A380" s="45">
        <v>41620</v>
      </c>
      <c r="B380" s="15" t="s">
        <v>51</v>
      </c>
      <c r="C380" s="15">
        <v>31</v>
      </c>
    </row>
    <row r="381" spans="1:3" x14ac:dyDescent="0.55000000000000004">
      <c r="A381" s="45">
        <v>41284</v>
      </c>
      <c r="B381" s="15" t="s">
        <v>51</v>
      </c>
      <c r="C381" s="15">
        <v>45</v>
      </c>
    </row>
    <row r="382" spans="1:3" x14ac:dyDescent="0.55000000000000004">
      <c r="A382" s="45" t="s">
        <v>91</v>
      </c>
      <c r="B382" s="15" t="s">
        <v>58</v>
      </c>
      <c r="C382" s="15">
        <v>20</v>
      </c>
    </row>
    <row r="383" spans="1:3" x14ac:dyDescent="0.55000000000000004">
      <c r="A383" s="45">
        <v>41405</v>
      </c>
      <c r="B383" s="15" t="s">
        <v>58</v>
      </c>
      <c r="C383" s="15">
        <v>27</v>
      </c>
    </row>
    <row r="384" spans="1:3" x14ac:dyDescent="0.55000000000000004">
      <c r="A384" s="45" t="s">
        <v>156</v>
      </c>
      <c r="B384" s="15" t="s">
        <v>63</v>
      </c>
      <c r="C384" s="15">
        <v>10</v>
      </c>
    </row>
    <row r="385" spans="1:3" x14ac:dyDescent="0.55000000000000004">
      <c r="A385" s="45">
        <v>41913</v>
      </c>
      <c r="B385" s="15" t="s">
        <v>55</v>
      </c>
      <c r="C385" s="15">
        <v>39</v>
      </c>
    </row>
    <row r="386" spans="1:3" x14ac:dyDescent="0.55000000000000004">
      <c r="A386" s="45">
        <v>41434</v>
      </c>
      <c r="B386" s="15" t="s">
        <v>65</v>
      </c>
      <c r="C386" s="15">
        <v>21</v>
      </c>
    </row>
    <row r="387" spans="1:3" x14ac:dyDescent="0.55000000000000004">
      <c r="A387" s="45" t="s">
        <v>145</v>
      </c>
      <c r="B387" s="15" t="s">
        <v>57</v>
      </c>
      <c r="C387" s="15">
        <v>11</v>
      </c>
    </row>
    <row r="388" spans="1:3" x14ac:dyDescent="0.55000000000000004">
      <c r="A388" s="45" t="s">
        <v>106</v>
      </c>
      <c r="B388" s="15" t="s">
        <v>54</v>
      </c>
      <c r="C388" s="15">
        <v>32</v>
      </c>
    </row>
    <row r="389" spans="1:3" x14ac:dyDescent="0.55000000000000004">
      <c r="A389" s="45">
        <v>41617</v>
      </c>
      <c r="B389" s="15" t="s">
        <v>59</v>
      </c>
      <c r="C389" s="15">
        <v>28</v>
      </c>
    </row>
    <row r="390" spans="1:3" x14ac:dyDescent="0.55000000000000004">
      <c r="A390" s="45" t="s">
        <v>86</v>
      </c>
      <c r="B390" s="15" t="s">
        <v>66</v>
      </c>
      <c r="C390" s="15">
        <v>17</v>
      </c>
    </row>
    <row r="391" spans="1:3" x14ac:dyDescent="0.55000000000000004">
      <c r="A391" s="45">
        <v>41316</v>
      </c>
      <c r="B391" s="15" t="s">
        <v>66</v>
      </c>
      <c r="C391" s="15">
        <v>14</v>
      </c>
    </row>
    <row r="392" spans="1:3" x14ac:dyDescent="0.55000000000000004">
      <c r="A392" s="45" t="s">
        <v>87</v>
      </c>
      <c r="B392" s="15" t="s">
        <v>68</v>
      </c>
      <c r="C392" s="15">
        <v>26</v>
      </c>
    </row>
    <row r="393" spans="1:3" x14ac:dyDescent="0.55000000000000004">
      <c r="A393" s="45" t="s">
        <v>157</v>
      </c>
      <c r="B393" s="15" t="s">
        <v>67</v>
      </c>
      <c r="C393" s="15">
        <v>27</v>
      </c>
    </row>
    <row r="394" spans="1:3" x14ac:dyDescent="0.55000000000000004">
      <c r="A394" s="45">
        <v>41467</v>
      </c>
      <c r="B394" s="15" t="s">
        <v>55</v>
      </c>
      <c r="C394" s="15">
        <v>53</v>
      </c>
    </row>
    <row r="395" spans="1:3" x14ac:dyDescent="0.55000000000000004">
      <c r="A395" s="45" t="s">
        <v>91</v>
      </c>
      <c r="B395" s="15" t="s">
        <v>45</v>
      </c>
      <c r="C395" s="15">
        <v>59</v>
      </c>
    </row>
    <row r="396" spans="1:3" x14ac:dyDescent="0.55000000000000004">
      <c r="A396" s="45" t="s">
        <v>136</v>
      </c>
      <c r="B396" s="15" t="s">
        <v>47</v>
      </c>
      <c r="C396" s="15">
        <v>24</v>
      </c>
    </row>
    <row r="397" spans="1:3" x14ac:dyDescent="0.55000000000000004">
      <c r="A397" s="45" t="s">
        <v>145</v>
      </c>
      <c r="B397" s="15" t="s">
        <v>64</v>
      </c>
      <c r="C397" s="15">
        <v>10</v>
      </c>
    </row>
    <row r="398" spans="1:3" x14ac:dyDescent="0.55000000000000004">
      <c r="A398" s="45" t="s">
        <v>158</v>
      </c>
      <c r="B398" s="15" t="s">
        <v>59</v>
      </c>
      <c r="C398" s="15">
        <v>36</v>
      </c>
    </row>
    <row r="399" spans="1:3" x14ac:dyDescent="0.55000000000000004">
      <c r="A399" s="45" t="s">
        <v>154</v>
      </c>
      <c r="B399" s="15" t="s">
        <v>61</v>
      </c>
      <c r="C399" s="15">
        <v>43</v>
      </c>
    </row>
    <row r="400" spans="1:3" x14ac:dyDescent="0.55000000000000004">
      <c r="A400" s="45">
        <v>41344</v>
      </c>
      <c r="B400" s="15" t="s">
        <v>59</v>
      </c>
      <c r="C400" s="15">
        <v>17</v>
      </c>
    </row>
    <row r="401" spans="1:3" x14ac:dyDescent="0.55000000000000004">
      <c r="A401" s="45" t="s">
        <v>133</v>
      </c>
      <c r="B401" s="15" t="s">
        <v>46</v>
      </c>
      <c r="C401" s="15">
        <v>32</v>
      </c>
    </row>
    <row r="402" spans="1:3" x14ac:dyDescent="0.55000000000000004">
      <c r="A402" s="45" t="s">
        <v>80</v>
      </c>
      <c r="B402" s="15" t="s">
        <v>59</v>
      </c>
      <c r="C402" s="15">
        <v>16</v>
      </c>
    </row>
    <row r="403" spans="1:3" x14ac:dyDescent="0.55000000000000004">
      <c r="A403" s="45">
        <v>41285</v>
      </c>
      <c r="B403" s="15" t="s">
        <v>47</v>
      </c>
      <c r="C403" s="15">
        <v>50</v>
      </c>
    </row>
    <row r="404" spans="1:3" x14ac:dyDescent="0.55000000000000004">
      <c r="A404" s="45" t="s">
        <v>93</v>
      </c>
      <c r="B404" s="15" t="s">
        <v>66</v>
      </c>
      <c r="C404" s="15">
        <v>54</v>
      </c>
    </row>
    <row r="405" spans="1:3" x14ac:dyDescent="0.55000000000000004">
      <c r="A405" s="45" t="s">
        <v>147</v>
      </c>
      <c r="B405" s="15" t="s">
        <v>48</v>
      </c>
      <c r="C405" s="15">
        <v>52</v>
      </c>
    </row>
    <row r="406" spans="1:3" x14ac:dyDescent="0.55000000000000004">
      <c r="A406" s="45">
        <v>41376</v>
      </c>
      <c r="B406" s="15" t="s">
        <v>59</v>
      </c>
      <c r="C406" s="15">
        <v>24</v>
      </c>
    </row>
    <row r="407" spans="1:3" x14ac:dyDescent="0.55000000000000004">
      <c r="A407" s="45" t="s">
        <v>159</v>
      </c>
      <c r="B407" s="15" t="s">
        <v>50</v>
      </c>
      <c r="C407" s="15">
        <v>27</v>
      </c>
    </row>
    <row r="408" spans="1:3" x14ac:dyDescent="0.55000000000000004">
      <c r="A408" s="45">
        <v>41404</v>
      </c>
      <c r="B408" s="15" t="s">
        <v>49</v>
      </c>
      <c r="C408" s="15">
        <v>48</v>
      </c>
    </row>
    <row r="409" spans="1:3" x14ac:dyDescent="0.55000000000000004">
      <c r="A409" s="45" t="s">
        <v>117</v>
      </c>
      <c r="B409" s="15" t="s">
        <v>57</v>
      </c>
      <c r="C409" s="15">
        <v>37</v>
      </c>
    </row>
    <row r="410" spans="1:3" x14ac:dyDescent="0.55000000000000004">
      <c r="A410" s="45" t="s">
        <v>118</v>
      </c>
      <c r="B410" s="15" t="s">
        <v>58</v>
      </c>
      <c r="C410" s="15">
        <v>23</v>
      </c>
    </row>
    <row r="411" spans="1:3" x14ac:dyDescent="0.55000000000000004">
      <c r="A411" s="45">
        <v>41590</v>
      </c>
      <c r="B411" s="15" t="s">
        <v>60</v>
      </c>
      <c r="C411" s="15">
        <v>46</v>
      </c>
    </row>
    <row r="412" spans="1:3" x14ac:dyDescent="0.55000000000000004">
      <c r="A412" s="45" t="s">
        <v>160</v>
      </c>
      <c r="B412" s="15" t="s">
        <v>50</v>
      </c>
      <c r="C412" s="15">
        <v>57</v>
      </c>
    </row>
    <row r="413" spans="1:3" x14ac:dyDescent="0.55000000000000004">
      <c r="A413" s="45">
        <v>41590</v>
      </c>
      <c r="B413" s="15" t="s">
        <v>49</v>
      </c>
      <c r="C413" s="15">
        <v>39</v>
      </c>
    </row>
    <row r="414" spans="1:3" x14ac:dyDescent="0.55000000000000004">
      <c r="A414" s="45" t="s">
        <v>138</v>
      </c>
      <c r="B414" s="15" t="s">
        <v>63</v>
      </c>
      <c r="C414" s="15">
        <v>13</v>
      </c>
    </row>
    <row r="415" spans="1:3" x14ac:dyDescent="0.55000000000000004">
      <c r="A415" s="45" t="s">
        <v>131</v>
      </c>
      <c r="B415" s="15" t="s">
        <v>48</v>
      </c>
      <c r="C415" s="15">
        <v>22</v>
      </c>
    </row>
    <row r="416" spans="1:3" x14ac:dyDescent="0.55000000000000004">
      <c r="A416" s="45">
        <v>41760</v>
      </c>
      <c r="B416" s="15" t="s">
        <v>52</v>
      </c>
      <c r="C416" s="15">
        <v>42</v>
      </c>
    </row>
    <row r="417" spans="1:3" x14ac:dyDescent="0.55000000000000004">
      <c r="A417" s="45">
        <v>41883</v>
      </c>
      <c r="B417" s="15" t="s">
        <v>54</v>
      </c>
      <c r="C417" s="15">
        <v>19</v>
      </c>
    </row>
    <row r="418" spans="1:3" x14ac:dyDescent="0.55000000000000004">
      <c r="A418" s="45" t="s">
        <v>76</v>
      </c>
      <c r="B418" s="15" t="s">
        <v>55</v>
      </c>
      <c r="C418" s="15">
        <v>35</v>
      </c>
    </row>
    <row r="419" spans="1:3" x14ac:dyDescent="0.55000000000000004">
      <c r="A419" s="45" t="s">
        <v>157</v>
      </c>
      <c r="B419" s="15" t="s">
        <v>50</v>
      </c>
      <c r="C419" s="15">
        <v>34</v>
      </c>
    </row>
    <row r="420" spans="1:3" x14ac:dyDescent="0.55000000000000004">
      <c r="A420" s="45" t="s">
        <v>116</v>
      </c>
      <c r="B420" s="15" t="s">
        <v>48</v>
      </c>
      <c r="C420" s="15">
        <v>56</v>
      </c>
    </row>
    <row r="421" spans="1:3" x14ac:dyDescent="0.55000000000000004">
      <c r="A421" s="45">
        <v>41618</v>
      </c>
      <c r="B421" s="15" t="s">
        <v>64</v>
      </c>
      <c r="C421" s="15">
        <v>26</v>
      </c>
    </row>
    <row r="422" spans="1:3" x14ac:dyDescent="0.55000000000000004">
      <c r="A422" s="45">
        <v>41913</v>
      </c>
      <c r="B422" s="15" t="s">
        <v>56</v>
      </c>
      <c r="C422" s="15">
        <v>27</v>
      </c>
    </row>
    <row r="423" spans="1:3" x14ac:dyDescent="0.55000000000000004">
      <c r="A423" s="45" t="s">
        <v>104</v>
      </c>
      <c r="B423" s="15" t="s">
        <v>50</v>
      </c>
      <c r="C423" s="15">
        <v>54</v>
      </c>
    </row>
    <row r="424" spans="1:3" x14ac:dyDescent="0.55000000000000004">
      <c r="A424" s="45" t="s">
        <v>136</v>
      </c>
      <c r="B424" s="15" t="s">
        <v>47</v>
      </c>
      <c r="C424" s="15">
        <v>27</v>
      </c>
    </row>
    <row r="425" spans="1:3" x14ac:dyDescent="0.55000000000000004">
      <c r="A425" s="45" t="s">
        <v>133</v>
      </c>
      <c r="B425" s="15" t="s">
        <v>51</v>
      </c>
      <c r="C425" s="15">
        <v>13</v>
      </c>
    </row>
    <row r="426" spans="1:3" x14ac:dyDescent="0.55000000000000004">
      <c r="A426" s="45">
        <v>41405</v>
      </c>
      <c r="B426" s="15" t="s">
        <v>51</v>
      </c>
      <c r="C426" s="15">
        <v>52</v>
      </c>
    </row>
    <row r="427" spans="1:3" x14ac:dyDescent="0.55000000000000004">
      <c r="A427" s="45" t="s">
        <v>124</v>
      </c>
      <c r="B427" s="15" t="s">
        <v>65</v>
      </c>
      <c r="C427" s="15">
        <v>34</v>
      </c>
    </row>
    <row r="428" spans="1:3" x14ac:dyDescent="0.55000000000000004">
      <c r="A428" s="45">
        <v>41527</v>
      </c>
      <c r="B428" s="15" t="s">
        <v>51</v>
      </c>
      <c r="C428" s="15">
        <v>26</v>
      </c>
    </row>
    <row r="429" spans="1:3" x14ac:dyDescent="0.55000000000000004">
      <c r="A429" s="45">
        <v>41464</v>
      </c>
      <c r="B429" s="15" t="s">
        <v>56</v>
      </c>
      <c r="C429" s="15">
        <v>15</v>
      </c>
    </row>
    <row r="430" spans="1:3" x14ac:dyDescent="0.55000000000000004">
      <c r="A430" s="45" t="s">
        <v>157</v>
      </c>
      <c r="B430" s="15" t="s">
        <v>55</v>
      </c>
      <c r="C430" s="15">
        <v>29</v>
      </c>
    </row>
    <row r="431" spans="1:3" x14ac:dyDescent="0.55000000000000004">
      <c r="A431" s="45" t="s">
        <v>91</v>
      </c>
      <c r="B431" s="15" t="s">
        <v>52</v>
      </c>
      <c r="C431" s="15">
        <v>58</v>
      </c>
    </row>
    <row r="432" spans="1:3" x14ac:dyDescent="0.55000000000000004">
      <c r="A432" s="45" t="s">
        <v>99</v>
      </c>
      <c r="B432" s="15" t="s">
        <v>54</v>
      </c>
      <c r="C432" s="15">
        <v>12</v>
      </c>
    </row>
    <row r="433" spans="1:3" x14ac:dyDescent="0.55000000000000004">
      <c r="A433" s="45">
        <v>41403</v>
      </c>
      <c r="B433" s="15" t="s">
        <v>50</v>
      </c>
      <c r="C433" s="15">
        <v>46</v>
      </c>
    </row>
    <row r="434" spans="1:3" x14ac:dyDescent="0.55000000000000004">
      <c r="A434" s="45" t="s">
        <v>106</v>
      </c>
      <c r="B434" s="15" t="s">
        <v>58</v>
      </c>
      <c r="C434" s="15">
        <v>50</v>
      </c>
    </row>
    <row r="435" spans="1:3" x14ac:dyDescent="0.55000000000000004">
      <c r="A435" s="45" t="s">
        <v>93</v>
      </c>
      <c r="B435" s="15" t="s">
        <v>55</v>
      </c>
      <c r="C435" s="15">
        <v>31</v>
      </c>
    </row>
    <row r="436" spans="1:3" x14ac:dyDescent="0.55000000000000004">
      <c r="A436" s="45" t="s">
        <v>113</v>
      </c>
      <c r="B436" s="15" t="s">
        <v>67</v>
      </c>
      <c r="C436" s="15">
        <v>17</v>
      </c>
    </row>
    <row r="437" spans="1:3" x14ac:dyDescent="0.55000000000000004">
      <c r="A437" s="45" t="s">
        <v>142</v>
      </c>
      <c r="B437" s="15" t="s">
        <v>65</v>
      </c>
      <c r="C437" s="15">
        <v>27</v>
      </c>
    </row>
    <row r="438" spans="1:3" x14ac:dyDescent="0.55000000000000004">
      <c r="A438" s="45">
        <v>41316</v>
      </c>
      <c r="B438" s="15" t="s">
        <v>57</v>
      </c>
      <c r="C438" s="15">
        <v>26</v>
      </c>
    </row>
    <row r="439" spans="1:3" x14ac:dyDescent="0.55000000000000004">
      <c r="A439" s="45">
        <v>41465</v>
      </c>
      <c r="B439" s="15" t="s">
        <v>59</v>
      </c>
      <c r="C439" s="15">
        <v>27</v>
      </c>
    </row>
    <row r="440" spans="1:3" x14ac:dyDescent="0.55000000000000004">
      <c r="A440" s="45">
        <v>41498</v>
      </c>
      <c r="B440" s="15" t="s">
        <v>60</v>
      </c>
      <c r="C440" s="15">
        <v>18</v>
      </c>
    </row>
    <row r="441" spans="1:3" x14ac:dyDescent="0.55000000000000004">
      <c r="A441" s="45" t="s">
        <v>117</v>
      </c>
      <c r="B441" s="15" t="s">
        <v>45</v>
      </c>
      <c r="C441" s="15">
        <v>36</v>
      </c>
    </row>
    <row r="442" spans="1:3" x14ac:dyDescent="0.55000000000000004">
      <c r="A442" s="45" t="s">
        <v>76</v>
      </c>
      <c r="B442" s="15" t="s">
        <v>56</v>
      </c>
      <c r="C442" s="15">
        <v>16</v>
      </c>
    </row>
    <row r="443" spans="1:3" x14ac:dyDescent="0.55000000000000004">
      <c r="A443" s="45" t="s">
        <v>155</v>
      </c>
      <c r="B443" s="15" t="s">
        <v>64</v>
      </c>
      <c r="C443" s="15">
        <v>51</v>
      </c>
    </row>
    <row r="444" spans="1:3" x14ac:dyDescent="0.55000000000000004">
      <c r="A444" s="45" t="s">
        <v>71</v>
      </c>
      <c r="B444" s="15" t="s">
        <v>48</v>
      </c>
      <c r="C444" s="15">
        <v>39</v>
      </c>
    </row>
    <row r="445" spans="1:3" x14ac:dyDescent="0.55000000000000004">
      <c r="A445" s="45">
        <v>41315</v>
      </c>
      <c r="B445" s="15" t="s">
        <v>65</v>
      </c>
      <c r="C445" s="15">
        <v>27</v>
      </c>
    </row>
    <row r="446" spans="1:3" x14ac:dyDescent="0.55000000000000004">
      <c r="A446" s="45" t="s">
        <v>148</v>
      </c>
      <c r="B446" s="15" t="s">
        <v>55</v>
      </c>
      <c r="C446" s="15">
        <v>13</v>
      </c>
    </row>
    <row r="447" spans="1:3" x14ac:dyDescent="0.55000000000000004">
      <c r="A447" s="45" t="s">
        <v>142</v>
      </c>
      <c r="B447" s="15" t="s">
        <v>45</v>
      </c>
      <c r="C447" s="15">
        <v>50</v>
      </c>
    </row>
    <row r="448" spans="1:3" x14ac:dyDescent="0.55000000000000004">
      <c r="A448" s="45">
        <v>41528</v>
      </c>
      <c r="B448" s="15" t="s">
        <v>64</v>
      </c>
      <c r="C448" s="15">
        <v>17</v>
      </c>
    </row>
    <row r="449" spans="1:3" x14ac:dyDescent="0.55000000000000004">
      <c r="A449" s="45">
        <v>41557</v>
      </c>
      <c r="B449" s="15" t="s">
        <v>49</v>
      </c>
      <c r="C449" s="15">
        <v>50</v>
      </c>
    </row>
    <row r="450" spans="1:3" x14ac:dyDescent="0.55000000000000004">
      <c r="A450" s="45">
        <v>41526</v>
      </c>
      <c r="B450" s="15" t="s">
        <v>48</v>
      </c>
      <c r="C450" s="15">
        <v>23</v>
      </c>
    </row>
    <row r="451" spans="1:3" x14ac:dyDescent="0.55000000000000004">
      <c r="A451" s="45" t="s">
        <v>141</v>
      </c>
      <c r="B451" s="15" t="s">
        <v>67</v>
      </c>
      <c r="C451" s="15">
        <v>14</v>
      </c>
    </row>
    <row r="452" spans="1:3" x14ac:dyDescent="0.55000000000000004">
      <c r="A452" s="45">
        <v>41496</v>
      </c>
      <c r="B452" s="15" t="s">
        <v>48</v>
      </c>
      <c r="C452" s="15">
        <v>35</v>
      </c>
    </row>
    <row r="453" spans="1:3" x14ac:dyDescent="0.55000000000000004">
      <c r="A453" s="45" t="s">
        <v>156</v>
      </c>
      <c r="B453" s="15" t="s">
        <v>60</v>
      </c>
      <c r="C453" s="15">
        <v>51</v>
      </c>
    </row>
    <row r="454" spans="1:3" x14ac:dyDescent="0.55000000000000004">
      <c r="A454" s="45">
        <v>41283</v>
      </c>
      <c r="B454" s="15" t="s">
        <v>62</v>
      </c>
      <c r="C454" s="15">
        <v>24</v>
      </c>
    </row>
    <row r="455" spans="1:3" x14ac:dyDescent="0.55000000000000004">
      <c r="A455" s="45" t="s">
        <v>106</v>
      </c>
      <c r="B455" s="15" t="s">
        <v>64</v>
      </c>
      <c r="C455" s="15">
        <v>12</v>
      </c>
    </row>
    <row r="456" spans="1:3" x14ac:dyDescent="0.55000000000000004">
      <c r="A456" s="45">
        <v>41314</v>
      </c>
      <c r="B456" s="15" t="s">
        <v>46</v>
      </c>
      <c r="C456" s="15">
        <v>11</v>
      </c>
    </row>
    <row r="457" spans="1:3" x14ac:dyDescent="0.55000000000000004">
      <c r="A457" s="45" t="s">
        <v>81</v>
      </c>
      <c r="B457" s="15" t="s">
        <v>55</v>
      </c>
      <c r="C457" s="15">
        <v>50</v>
      </c>
    </row>
    <row r="458" spans="1:3" x14ac:dyDescent="0.55000000000000004">
      <c r="A458" s="45" t="s">
        <v>93</v>
      </c>
      <c r="B458" s="15" t="s">
        <v>57</v>
      </c>
      <c r="C458" s="15">
        <v>55</v>
      </c>
    </row>
    <row r="459" spans="1:3" x14ac:dyDescent="0.55000000000000004">
      <c r="A459" s="45" t="s">
        <v>115</v>
      </c>
      <c r="B459" s="15" t="s">
        <v>49</v>
      </c>
      <c r="C459" s="15">
        <v>18</v>
      </c>
    </row>
    <row r="460" spans="1:3" x14ac:dyDescent="0.55000000000000004">
      <c r="A460" s="45">
        <v>41466</v>
      </c>
      <c r="B460" s="15" t="s">
        <v>48</v>
      </c>
      <c r="C460" s="15">
        <v>22</v>
      </c>
    </row>
    <row r="461" spans="1:3" x14ac:dyDescent="0.55000000000000004">
      <c r="A461" s="45" t="s">
        <v>91</v>
      </c>
      <c r="B461" s="15" t="s">
        <v>62</v>
      </c>
      <c r="C461" s="15">
        <v>16</v>
      </c>
    </row>
    <row r="462" spans="1:3" x14ac:dyDescent="0.55000000000000004">
      <c r="A462" s="45" t="s">
        <v>125</v>
      </c>
      <c r="B462" s="15" t="s">
        <v>47</v>
      </c>
      <c r="C462" s="15">
        <v>15</v>
      </c>
    </row>
    <row r="463" spans="1:3" x14ac:dyDescent="0.55000000000000004">
      <c r="A463" s="45" t="s">
        <v>121</v>
      </c>
      <c r="B463" s="15" t="s">
        <v>51</v>
      </c>
      <c r="C463" s="15">
        <v>45</v>
      </c>
    </row>
    <row r="464" spans="1:3" x14ac:dyDescent="0.55000000000000004">
      <c r="A464" s="45" t="s">
        <v>79</v>
      </c>
      <c r="B464" s="15" t="s">
        <v>62</v>
      </c>
      <c r="C464" s="15">
        <v>17</v>
      </c>
    </row>
    <row r="465" spans="1:3" x14ac:dyDescent="0.55000000000000004">
      <c r="A465" s="45">
        <v>41557</v>
      </c>
      <c r="B465" s="15" t="s">
        <v>66</v>
      </c>
      <c r="C465" s="15">
        <v>18</v>
      </c>
    </row>
    <row r="466" spans="1:3" x14ac:dyDescent="0.55000000000000004">
      <c r="A466" s="45" t="s">
        <v>155</v>
      </c>
      <c r="B466" s="15" t="s">
        <v>64</v>
      </c>
      <c r="C466" s="15">
        <v>37</v>
      </c>
    </row>
    <row r="467" spans="1:3" x14ac:dyDescent="0.55000000000000004">
      <c r="A467" s="45" t="s">
        <v>91</v>
      </c>
      <c r="B467" s="15" t="s">
        <v>66</v>
      </c>
      <c r="C467" s="15">
        <v>34</v>
      </c>
    </row>
    <row r="468" spans="1:3" x14ac:dyDescent="0.55000000000000004">
      <c r="A468" s="45" t="s">
        <v>161</v>
      </c>
      <c r="B468" s="15" t="s">
        <v>48</v>
      </c>
      <c r="C468" s="15">
        <v>19</v>
      </c>
    </row>
    <row r="469" spans="1:3" x14ac:dyDescent="0.55000000000000004">
      <c r="A469" s="45">
        <v>41498</v>
      </c>
      <c r="B469" s="15" t="s">
        <v>63</v>
      </c>
      <c r="C469" s="15">
        <v>53</v>
      </c>
    </row>
    <row r="470" spans="1:3" x14ac:dyDescent="0.55000000000000004">
      <c r="A470" s="45" t="s">
        <v>143</v>
      </c>
      <c r="B470" s="15" t="s">
        <v>48</v>
      </c>
      <c r="C470" s="15">
        <v>28</v>
      </c>
    </row>
    <row r="471" spans="1:3" x14ac:dyDescent="0.55000000000000004">
      <c r="A471" s="45" t="s">
        <v>110</v>
      </c>
      <c r="B471" s="15" t="s">
        <v>65</v>
      </c>
      <c r="C471" s="15">
        <v>38</v>
      </c>
    </row>
    <row r="472" spans="1:3" x14ac:dyDescent="0.55000000000000004">
      <c r="A472" s="45" t="s">
        <v>162</v>
      </c>
      <c r="B472" s="15" t="s">
        <v>57</v>
      </c>
      <c r="C472" s="15">
        <v>52</v>
      </c>
    </row>
    <row r="473" spans="1:3" x14ac:dyDescent="0.55000000000000004">
      <c r="A473" s="45">
        <v>41821</v>
      </c>
      <c r="B473" s="15" t="s">
        <v>46</v>
      </c>
      <c r="C473" s="15">
        <v>52</v>
      </c>
    </row>
    <row r="474" spans="1:3" x14ac:dyDescent="0.55000000000000004">
      <c r="A474" s="45" t="s">
        <v>91</v>
      </c>
      <c r="B474" s="15" t="s">
        <v>53</v>
      </c>
      <c r="C474" s="15">
        <v>13</v>
      </c>
    </row>
    <row r="475" spans="1:3" x14ac:dyDescent="0.55000000000000004">
      <c r="A475" s="45" t="s">
        <v>142</v>
      </c>
      <c r="B475" s="15" t="s">
        <v>61</v>
      </c>
      <c r="C475" s="15">
        <v>31</v>
      </c>
    </row>
    <row r="476" spans="1:3" x14ac:dyDescent="0.55000000000000004">
      <c r="A476" s="45" t="s">
        <v>135</v>
      </c>
      <c r="B476" s="15" t="s">
        <v>61</v>
      </c>
      <c r="C476" s="15">
        <v>47</v>
      </c>
    </row>
    <row r="477" spans="1:3" x14ac:dyDescent="0.55000000000000004">
      <c r="A477" s="45" t="s">
        <v>102</v>
      </c>
      <c r="B477" s="15" t="s">
        <v>45</v>
      </c>
      <c r="C477" s="15">
        <v>39</v>
      </c>
    </row>
    <row r="478" spans="1:3" x14ac:dyDescent="0.55000000000000004">
      <c r="A478" s="45">
        <v>41464</v>
      </c>
      <c r="B478" s="15" t="s">
        <v>57</v>
      </c>
      <c r="C478" s="15">
        <v>20</v>
      </c>
    </row>
    <row r="479" spans="1:3" x14ac:dyDescent="0.55000000000000004">
      <c r="A479" s="45" t="s">
        <v>90</v>
      </c>
      <c r="B479" s="15" t="s">
        <v>65</v>
      </c>
      <c r="C479" s="15">
        <v>23</v>
      </c>
    </row>
    <row r="480" spans="1:3" x14ac:dyDescent="0.55000000000000004">
      <c r="A480" s="45" t="s">
        <v>90</v>
      </c>
      <c r="B480" s="15" t="s">
        <v>64</v>
      </c>
      <c r="C480" s="15">
        <v>14</v>
      </c>
    </row>
    <row r="481" spans="1:3" x14ac:dyDescent="0.55000000000000004">
      <c r="A481" s="45" t="s">
        <v>122</v>
      </c>
      <c r="B481" s="15" t="s">
        <v>65</v>
      </c>
      <c r="C481" s="15">
        <v>20</v>
      </c>
    </row>
    <row r="482" spans="1:3" x14ac:dyDescent="0.55000000000000004">
      <c r="A482" s="45">
        <v>41285</v>
      </c>
      <c r="B482" s="15" t="s">
        <v>62</v>
      </c>
      <c r="C482" s="15">
        <v>16</v>
      </c>
    </row>
    <row r="483" spans="1:3" x14ac:dyDescent="0.55000000000000004">
      <c r="A483" s="45">
        <v>41436</v>
      </c>
      <c r="B483" s="15" t="s">
        <v>68</v>
      </c>
      <c r="C483" s="15">
        <v>22</v>
      </c>
    </row>
    <row r="484" spans="1:3" x14ac:dyDescent="0.55000000000000004">
      <c r="A484" s="45" t="s">
        <v>110</v>
      </c>
      <c r="B484" s="15" t="s">
        <v>66</v>
      </c>
      <c r="C484" s="15">
        <v>46</v>
      </c>
    </row>
    <row r="485" spans="1:3" x14ac:dyDescent="0.55000000000000004">
      <c r="A485" s="45" t="s">
        <v>122</v>
      </c>
      <c r="B485" s="15" t="s">
        <v>67</v>
      </c>
      <c r="C485" s="15">
        <v>34</v>
      </c>
    </row>
    <row r="486" spans="1:3" x14ac:dyDescent="0.55000000000000004">
      <c r="A486" s="45" t="s">
        <v>80</v>
      </c>
      <c r="B486" s="15" t="s">
        <v>45</v>
      </c>
      <c r="C486" s="15">
        <v>50</v>
      </c>
    </row>
    <row r="487" spans="1:3" x14ac:dyDescent="0.55000000000000004">
      <c r="A487" s="45" t="s">
        <v>93</v>
      </c>
      <c r="B487" s="15" t="s">
        <v>67</v>
      </c>
      <c r="C487" s="15">
        <v>53</v>
      </c>
    </row>
    <row r="488" spans="1:3" x14ac:dyDescent="0.55000000000000004">
      <c r="A488" s="45">
        <v>41342</v>
      </c>
      <c r="B488" s="15" t="s">
        <v>61</v>
      </c>
      <c r="C488" s="15">
        <v>32</v>
      </c>
    </row>
    <row r="489" spans="1:3" x14ac:dyDescent="0.55000000000000004">
      <c r="A489" s="45" t="s">
        <v>78</v>
      </c>
      <c r="B489" s="15" t="s">
        <v>54</v>
      </c>
      <c r="C489" s="15">
        <v>16</v>
      </c>
    </row>
    <row r="490" spans="1:3" x14ac:dyDescent="0.55000000000000004">
      <c r="A490" s="45" t="s">
        <v>142</v>
      </c>
      <c r="B490" s="15" t="s">
        <v>56</v>
      </c>
      <c r="C490" s="15">
        <v>46</v>
      </c>
    </row>
    <row r="491" spans="1:3" x14ac:dyDescent="0.55000000000000004">
      <c r="A491" s="45" t="s">
        <v>140</v>
      </c>
      <c r="B491" s="15" t="s">
        <v>48</v>
      </c>
      <c r="C491" s="15">
        <v>28</v>
      </c>
    </row>
    <row r="492" spans="1:3" x14ac:dyDescent="0.55000000000000004">
      <c r="A492" s="45" t="s">
        <v>114</v>
      </c>
      <c r="B492" s="15" t="s">
        <v>62</v>
      </c>
      <c r="C492" s="15">
        <v>19</v>
      </c>
    </row>
    <row r="493" spans="1:3" x14ac:dyDescent="0.55000000000000004">
      <c r="A493" s="45">
        <v>41821</v>
      </c>
      <c r="B493" s="15" t="s">
        <v>60</v>
      </c>
      <c r="C493" s="15">
        <v>55</v>
      </c>
    </row>
    <row r="494" spans="1:3" x14ac:dyDescent="0.55000000000000004">
      <c r="A494" s="45" t="s">
        <v>137</v>
      </c>
      <c r="B494" s="15" t="s">
        <v>60</v>
      </c>
      <c r="C494" s="15">
        <v>22</v>
      </c>
    </row>
    <row r="495" spans="1:3" x14ac:dyDescent="0.55000000000000004">
      <c r="A495" s="45">
        <v>41618</v>
      </c>
      <c r="B495" s="15" t="s">
        <v>68</v>
      </c>
      <c r="C495" s="15">
        <v>31</v>
      </c>
    </row>
    <row r="496" spans="1:3" x14ac:dyDescent="0.55000000000000004">
      <c r="A496" s="45" t="s">
        <v>108</v>
      </c>
      <c r="B496" s="15" t="s">
        <v>54</v>
      </c>
      <c r="C496" s="15">
        <v>21</v>
      </c>
    </row>
    <row r="497" spans="1:3" x14ac:dyDescent="0.55000000000000004">
      <c r="A497" s="45">
        <v>41883</v>
      </c>
      <c r="B497" s="15" t="s">
        <v>62</v>
      </c>
      <c r="C497" s="15">
        <v>37</v>
      </c>
    </row>
    <row r="498" spans="1:3" x14ac:dyDescent="0.55000000000000004">
      <c r="A498" s="45" t="s">
        <v>137</v>
      </c>
      <c r="B498" s="15" t="s">
        <v>64</v>
      </c>
      <c r="C498" s="15">
        <v>44</v>
      </c>
    </row>
    <row r="499" spans="1:3" x14ac:dyDescent="0.55000000000000004">
      <c r="A499" s="45" t="s">
        <v>115</v>
      </c>
      <c r="B499" s="15" t="s">
        <v>69</v>
      </c>
      <c r="C499" s="15">
        <v>49</v>
      </c>
    </row>
    <row r="500" spans="1:3" x14ac:dyDescent="0.55000000000000004">
      <c r="A500" s="45" t="s">
        <v>89</v>
      </c>
      <c r="B500" s="15" t="s">
        <v>52</v>
      </c>
      <c r="C500" s="15">
        <v>39</v>
      </c>
    </row>
    <row r="501" spans="1:3" x14ac:dyDescent="0.55000000000000004">
      <c r="A501" s="45" t="s">
        <v>124</v>
      </c>
      <c r="B501" s="15" t="s">
        <v>66</v>
      </c>
      <c r="C501" s="15">
        <v>23</v>
      </c>
    </row>
    <row r="502" spans="1:3" x14ac:dyDescent="0.55000000000000004">
      <c r="A502" s="45" t="s">
        <v>151</v>
      </c>
      <c r="B502" s="15" t="s">
        <v>68</v>
      </c>
      <c r="C502" s="15">
        <v>32</v>
      </c>
    </row>
    <row r="503" spans="1:3" x14ac:dyDescent="0.55000000000000004">
      <c r="A503" s="45">
        <v>41589</v>
      </c>
      <c r="B503" s="15" t="s">
        <v>65</v>
      </c>
      <c r="C503" s="15">
        <v>27</v>
      </c>
    </row>
    <row r="504" spans="1:3" x14ac:dyDescent="0.55000000000000004">
      <c r="A504" s="45">
        <v>41375</v>
      </c>
      <c r="B504" s="15" t="s">
        <v>56</v>
      </c>
      <c r="C504" s="15">
        <v>35</v>
      </c>
    </row>
    <row r="505" spans="1:3" x14ac:dyDescent="0.55000000000000004">
      <c r="A505" s="45" t="s">
        <v>159</v>
      </c>
      <c r="B505" s="15" t="s">
        <v>56</v>
      </c>
      <c r="C505" s="15">
        <v>36</v>
      </c>
    </row>
    <row r="506" spans="1:3" x14ac:dyDescent="0.55000000000000004">
      <c r="A506" s="45" t="s">
        <v>97</v>
      </c>
      <c r="B506" s="15" t="s">
        <v>60</v>
      </c>
      <c r="C506" s="15">
        <v>15</v>
      </c>
    </row>
    <row r="507" spans="1:3" x14ac:dyDescent="0.55000000000000004">
      <c r="A507" s="45">
        <v>41944</v>
      </c>
      <c r="B507" s="15" t="s">
        <v>55</v>
      </c>
      <c r="C507" s="15">
        <v>24</v>
      </c>
    </row>
    <row r="508" spans="1:3" x14ac:dyDescent="0.55000000000000004">
      <c r="A508" s="45">
        <v>41883</v>
      </c>
      <c r="B508" s="15" t="s">
        <v>54</v>
      </c>
      <c r="C508" s="15">
        <v>29</v>
      </c>
    </row>
    <row r="509" spans="1:3" x14ac:dyDescent="0.55000000000000004">
      <c r="A509" s="45" t="s">
        <v>112</v>
      </c>
      <c r="B509" s="15" t="s">
        <v>57</v>
      </c>
      <c r="C509" s="15">
        <v>42</v>
      </c>
    </row>
    <row r="510" spans="1:3" x14ac:dyDescent="0.55000000000000004">
      <c r="A510" s="45" t="s">
        <v>145</v>
      </c>
      <c r="B510" s="15" t="s">
        <v>53</v>
      </c>
      <c r="C510" s="15">
        <v>56</v>
      </c>
    </row>
    <row r="511" spans="1:3" x14ac:dyDescent="0.55000000000000004">
      <c r="A511" s="45" t="s">
        <v>125</v>
      </c>
      <c r="B511" s="15" t="s">
        <v>60</v>
      </c>
      <c r="C511" s="15">
        <v>39</v>
      </c>
    </row>
    <row r="512" spans="1:3" x14ac:dyDescent="0.55000000000000004">
      <c r="A512" s="45">
        <v>41821</v>
      </c>
      <c r="B512" s="15" t="s">
        <v>49</v>
      </c>
      <c r="C512" s="15">
        <v>28</v>
      </c>
    </row>
    <row r="513" spans="1:3" x14ac:dyDescent="0.55000000000000004">
      <c r="A513" s="45">
        <v>41285</v>
      </c>
      <c r="B513" s="15" t="s">
        <v>54</v>
      </c>
      <c r="C513" s="15">
        <v>23</v>
      </c>
    </row>
    <row r="514" spans="1:3" x14ac:dyDescent="0.55000000000000004">
      <c r="A514" s="45" t="s">
        <v>146</v>
      </c>
      <c r="B514" s="15" t="s">
        <v>69</v>
      </c>
      <c r="C514" s="15">
        <v>47</v>
      </c>
    </row>
    <row r="515" spans="1:3" x14ac:dyDescent="0.55000000000000004">
      <c r="A515" s="45">
        <v>41529</v>
      </c>
      <c r="B515" s="15" t="s">
        <v>52</v>
      </c>
      <c r="C515" s="15">
        <v>16</v>
      </c>
    </row>
    <row r="516" spans="1:3" x14ac:dyDescent="0.55000000000000004">
      <c r="A516" s="45" t="s">
        <v>89</v>
      </c>
      <c r="B516" s="15" t="s">
        <v>69</v>
      </c>
      <c r="C516" s="15">
        <v>57</v>
      </c>
    </row>
    <row r="517" spans="1:3" x14ac:dyDescent="0.55000000000000004">
      <c r="A517" s="45" t="s">
        <v>71</v>
      </c>
      <c r="B517" s="15" t="s">
        <v>65</v>
      </c>
      <c r="C517" s="15">
        <v>25</v>
      </c>
    </row>
    <row r="518" spans="1:3" x14ac:dyDescent="0.55000000000000004">
      <c r="A518" s="45" t="s">
        <v>116</v>
      </c>
      <c r="B518" s="15" t="s">
        <v>52</v>
      </c>
      <c r="C518" s="15">
        <v>49</v>
      </c>
    </row>
    <row r="519" spans="1:3" x14ac:dyDescent="0.55000000000000004">
      <c r="A519" s="45">
        <v>41435</v>
      </c>
      <c r="B519" s="15" t="s">
        <v>62</v>
      </c>
      <c r="C519" s="15">
        <v>18</v>
      </c>
    </row>
    <row r="520" spans="1:3" x14ac:dyDescent="0.55000000000000004">
      <c r="A520" s="45" t="s">
        <v>90</v>
      </c>
      <c r="B520" s="15" t="s">
        <v>65</v>
      </c>
      <c r="C520" s="15">
        <v>22</v>
      </c>
    </row>
    <row r="521" spans="1:3" x14ac:dyDescent="0.55000000000000004">
      <c r="A521" s="45">
        <v>41466</v>
      </c>
      <c r="B521" s="15" t="s">
        <v>50</v>
      </c>
      <c r="C521" s="15">
        <v>52</v>
      </c>
    </row>
    <row r="522" spans="1:3" x14ac:dyDescent="0.55000000000000004">
      <c r="A522" s="45" t="s">
        <v>90</v>
      </c>
      <c r="B522" s="15" t="s">
        <v>50</v>
      </c>
      <c r="C522" s="15">
        <v>13</v>
      </c>
    </row>
    <row r="523" spans="1:3" x14ac:dyDescent="0.55000000000000004">
      <c r="A523" s="45" t="s">
        <v>83</v>
      </c>
      <c r="B523" s="15" t="s">
        <v>57</v>
      </c>
      <c r="C523" s="15">
        <v>49</v>
      </c>
    </row>
    <row r="524" spans="1:3" x14ac:dyDescent="0.55000000000000004">
      <c r="A524" s="45" t="s">
        <v>148</v>
      </c>
      <c r="B524" s="15" t="s">
        <v>49</v>
      </c>
      <c r="C524" s="15">
        <v>15</v>
      </c>
    </row>
    <row r="525" spans="1:3" x14ac:dyDescent="0.55000000000000004">
      <c r="A525" s="45" t="s">
        <v>124</v>
      </c>
      <c r="B525" s="15" t="s">
        <v>52</v>
      </c>
      <c r="C525" s="15">
        <v>39</v>
      </c>
    </row>
    <row r="526" spans="1:3" x14ac:dyDescent="0.55000000000000004">
      <c r="A526" s="45" t="s">
        <v>79</v>
      </c>
      <c r="B526" s="15" t="s">
        <v>66</v>
      </c>
      <c r="C526" s="15">
        <v>36</v>
      </c>
    </row>
    <row r="527" spans="1:3" x14ac:dyDescent="0.55000000000000004">
      <c r="A527" s="45" t="s">
        <v>141</v>
      </c>
      <c r="B527" s="15" t="s">
        <v>55</v>
      </c>
      <c r="C527" s="15">
        <v>17</v>
      </c>
    </row>
    <row r="528" spans="1:3" x14ac:dyDescent="0.55000000000000004">
      <c r="A528" s="45" t="s">
        <v>138</v>
      </c>
      <c r="B528" s="15" t="s">
        <v>48</v>
      </c>
      <c r="C528" s="15">
        <v>41</v>
      </c>
    </row>
    <row r="529" spans="1:3" x14ac:dyDescent="0.55000000000000004">
      <c r="A529" s="45" t="s">
        <v>143</v>
      </c>
      <c r="B529" s="15" t="s">
        <v>69</v>
      </c>
      <c r="C529" s="15">
        <v>54</v>
      </c>
    </row>
    <row r="530" spans="1:3" x14ac:dyDescent="0.55000000000000004">
      <c r="A530" s="45" t="s">
        <v>116</v>
      </c>
      <c r="B530" s="15" t="s">
        <v>66</v>
      </c>
      <c r="C530" s="15">
        <v>45</v>
      </c>
    </row>
    <row r="531" spans="1:3" x14ac:dyDescent="0.55000000000000004">
      <c r="A531" s="45" t="s">
        <v>151</v>
      </c>
      <c r="B531" s="15" t="s">
        <v>56</v>
      </c>
      <c r="C531" s="15">
        <v>55</v>
      </c>
    </row>
    <row r="532" spans="1:3" x14ac:dyDescent="0.55000000000000004">
      <c r="A532" s="45">
        <v>41436</v>
      </c>
      <c r="B532" s="15" t="s">
        <v>60</v>
      </c>
      <c r="C532" s="15">
        <v>26</v>
      </c>
    </row>
    <row r="533" spans="1:3" x14ac:dyDescent="0.55000000000000004">
      <c r="A533" s="45" t="s">
        <v>117</v>
      </c>
      <c r="B533" s="15" t="s">
        <v>47</v>
      </c>
      <c r="C533" s="15">
        <v>28</v>
      </c>
    </row>
    <row r="534" spans="1:3" x14ac:dyDescent="0.55000000000000004">
      <c r="A534" s="45" t="s">
        <v>85</v>
      </c>
      <c r="B534" s="15" t="s">
        <v>60</v>
      </c>
      <c r="C534" s="15">
        <v>43</v>
      </c>
    </row>
    <row r="535" spans="1:3" x14ac:dyDescent="0.55000000000000004">
      <c r="A535" s="45" t="s">
        <v>127</v>
      </c>
      <c r="B535" s="15" t="s">
        <v>55</v>
      </c>
      <c r="C535" s="15">
        <v>30</v>
      </c>
    </row>
    <row r="536" spans="1:3" x14ac:dyDescent="0.55000000000000004">
      <c r="A536" s="45">
        <v>41464</v>
      </c>
      <c r="B536" s="15" t="s">
        <v>57</v>
      </c>
      <c r="C536" s="15">
        <v>36</v>
      </c>
    </row>
    <row r="537" spans="1:3" x14ac:dyDescent="0.55000000000000004">
      <c r="A537" s="45" t="s">
        <v>99</v>
      </c>
      <c r="B537" s="15" t="s">
        <v>62</v>
      </c>
      <c r="C537" s="15">
        <v>46</v>
      </c>
    </row>
    <row r="538" spans="1:3" x14ac:dyDescent="0.55000000000000004">
      <c r="A538" s="45" t="s">
        <v>101</v>
      </c>
      <c r="B538" s="15" t="s">
        <v>66</v>
      </c>
      <c r="C538" s="15">
        <v>39</v>
      </c>
    </row>
    <row r="539" spans="1:3" x14ac:dyDescent="0.55000000000000004">
      <c r="A539" s="45" t="s">
        <v>117</v>
      </c>
      <c r="B539" s="15" t="s">
        <v>48</v>
      </c>
      <c r="C539" s="15">
        <v>16</v>
      </c>
    </row>
    <row r="540" spans="1:3" x14ac:dyDescent="0.55000000000000004">
      <c r="A540" s="45" t="s">
        <v>156</v>
      </c>
      <c r="B540" s="15" t="s">
        <v>58</v>
      </c>
      <c r="C540" s="15">
        <v>55</v>
      </c>
    </row>
    <row r="541" spans="1:3" x14ac:dyDescent="0.55000000000000004">
      <c r="A541" s="45" t="s">
        <v>140</v>
      </c>
      <c r="B541" s="15" t="s">
        <v>65</v>
      </c>
      <c r="C541" s="15">
        <v>19</v>
      </c>
    </row>
    <row r="542" spans="1:3" x14ac:dyDescent="0.55000000000000004">
      <c r="A542" s="45">
        <v>41589</v>
      </c>
      <c r="B542" s="15" t="s">
        <v>47</v>
      </c>
      <c r="C542" s="15">
        <v>25</v>
      </c>
    </row>
    <row r="543" spans="1:3" x14ac:dyDescent="0.55000000000000004">
      <c r="A543" s="45" t="s">
        <v>163</v>
      </c>
      <c r="B543" s="15" t="s">
        <v>64</v>
      </c>
      <c r="C543" s="15">
        <v>27</v>
      </c>
    </row>
    <row r="544" spans="1:3" x14ac:dyDescent="0.55000000000000004">
      <c r="A544" s="45" t="s">
        <v>164</v>
      </c>
      <c r="B544" s="15" t="s">
        <v>54</v>
      </c>
      <c r="C544" s="15">
        <v>29</v>
      </c>
    </row>
    <row r="545" spans="1:3" x14ac:dyDescent="0.55000000000000004">
      <c r="A545" s="45">
        <v>41374</v>
      </c>
      <c r="B545" s="15" t="s">
        <v>65</v>
      </c>
      <c r="C545" s="15">
        <v>56</v>
      </c>
    </row>
    <row r="546" spans="1:3" x14ac:dyDescent="0.55000000000000004">
      <c r="A546" s="45">
        <v>41498</v>
      </c>
      <c r="B546" s="15" t="s">
        <v>49</v>
      </c>
      <c r="C546" s="15">
        <v>15</v>
      </c>
    </row>
    <row r="547" spans="1:3" x14ac:dyDescent="0.55000000000000004">
      <c r="A547" s="45">
        <v>41498</v>
      </c>
      <c r="B547" s="15" t="s">
        <v>62</v>
      </c>
      <c r="C547" s="15">
        <v>16</v>
      </c>
    </row>
    <row r="548" spans="1:3" x14ac:dyDescent="0.55000000000000004">
      <c r="A548" s="45" t="s">
        <v>100</v>
      </c>
      <c r="B548" s="15" t="s">
        <v>60</v>
      </c>
      <c r="C548" s="15">
        <v>51</v>
      </c>
    </row>
    <row r="549" spans="1:3" x14ac:dyDescent="0.55000000000000004">
      <c r="A549" s="45" t="s">
        <v>106</v>
      </c>
      <c r="B549" s="15" t="s">
        <v>63</v>
      </c>
      <c r="C549" s="15">
        <v>59</v>
      </c>
    </row>
    <row r="550" spans="1:3" x14ac:dyDescent="0.55000000000000004">
      <c r="A550" s="45" t="s">
        <v>118</v>
      </c>
      <c r="B550" s="15" t="s">
        <v>66</v>
      </c>
      <c r="C550" s="15">
        <v>40</v>
      </c>
    </row>
    <row r="551" spans="1:3" x14ac:dyDescent="0.55000000000000004">
      <c r="A551" s="45" t="s">
        <v>154</v>
      </c>
      <c r="B551" s="15" t="s">
        <v>60</v>
      </c>
      <c r="C551" s="15">
        <v>39</v>
      </c>
    </row>
    <row r="552" spans="1:3" x14ac:dyDescent="0.55000000000000004">
      <c r="A552" s="45">
        <v>41434</v>
      </c>
      <c r="B552" s="15" t="s">
        <v>69</v>
      </c>
      <c r="C552" s="15">
        <v>38</v>
      </c>
    </row>
    <row r="553" spans="1:3" x14ac:dyDescent="0.55000000000000004">
      <c r="A553" s="45">
        <v>41944</v>
      </c>
      <c r="B553" s="15" t="s">
        <v>45</v>
      </c>
      <c r="C553" s="15">
        <v>23</v>
      </c>
    </row>
    <row r="554" spans="1:3" x14ac:dyDescent="0.55000000000000004">
      <c r="A554" s="45" t="s">
        <v>150</v>
      </c>
      <c r="B554" s="15" t="s">
        <v>58</v>
      </c>
      <c r="C554" s="15">
        <v>48</v>
      </c>
    </row>
    <row r="555" spans="1:3" x14ac:dyDescent="0.55000000000000004">
      <c r="A555" s="45" t="s">
        <v>155</v>
      </c>
      <c r="B555" s="15" t="s">
        <v>62</v>
      </c>
      <c r="C555" s="15">
        <v>39</v>
      </c>
    </row>
    <row r="556" spans="1:3" x14ac:dyDescent="0.55000000000000004">
      <c r="A556" s="45">
        <v>41852</v>
      </c>
      <c r="B556" s="15" t="s">
        <v>57</v>
      </c>
      <c r="C556" s="15">
        <v>47</v>
      </c>
    </row>
    <row r="557" spans="1:3" x14ac:dyDescent="0.55000000000000004">
      <c r="A557" s="45">
        <v>41590</v>
      </c>
      <c r="B557" s="15" t="s">
        <v>46</v>
      </c>
      <c r="C557" s="15">
        <v>43</v>
      </c>
    </row>
    <row r="558" spans="1:3" x14ac:dyDescent="0.55000000000000004">
      <c r="A558" s="45" t="s">
        <v>94</v>
      </c>
      <c r="B558" s="15" t="s">
        <v>67</v>
      </c>
      <c r="C558" s="15">
        <v>14</v>
      </c>
    </row>
    <row r="559" spans="1:3" x14ac:dyDescent="0.55000000000000004">
      <c r="A559" s="45" t="s">
        <v>109</v>
      </c>
      <c r="B559" s="15" t="s">
        <v>52</v>
      </c>
      <c r="C559" s="15">
        <v>40</v>
      </c>
    </row>
    <row r="560" spans="1:3" x14ac:dyDescent="0.55000000000000004">
      <c r="A560" s="45">
        <v>41464</v>
      </c>
      <c r="B560" s="15" t="s">
        <v>56</v>
      </c>
      <c r="C560" s="15">
        <v>17</v>
      </c>
    </row>
    <row r="561" spans="1:3" x14ac:dyDescent="0.55000000000000004">
      <c r="A561" s="45" t="s">
        <v>81</v>
      </c>
      <c r="B561" s="15" t="s">
        <v>63</v>
      </c>
      <c r="C561" s="15">
        <v>12</v>
      </c>
    </row>
    <row r="562" spans="1:3" x14ac:dyDescent="0.55000000000000004">
      <c r="A562" s="45">
        <v>41883</v>
      </c>
      <c r="B562" s="15" t="s">
        <v>47</v>
      </c>
      <c r="C562" s="15">
        <v>56</v>
      </c>
    </row>
    <row r="563" spans="1:3" x14ac:dyDescent="0.55000000000000004">
      <c r="A563" s="45">
        <v>41373</v>
      </c>
      <c r="B563" s="15" t="s">
        <v>67</v>
      </c>
      <c r="C563" s="15">
        <v>12</v>
      </c>
    </row>
    <row r="564" spans="1:3" x14ac:dyDescent="0.55000000000000004">
      <c r="A564" s="45" t="s">
        <v>132</v>
      </c>
      <c r="B564" s="15" t="s">
        <v>65</v>
      </c>
      <c r="C564" s="15">
        <v>21</v>
      </c>
    </row>
    <row r="565" spans="1:3" x14ac:dyDescent="0.55000000000000004">
      <c r="A565" s="45" t="s">
        <v>97</v>
      </c>
      <c r="B565" s="15" t="s">
        <v>65</v>
      </c>
      <c r="C565" s="15">
        <v>39</v>
      </c>
    </row>
    <row r="566" spans="1:3" x14ac:dyDescent="0.55000000000000004">
      <c r="A566" s="45" t="s">
        <v>145</v>
      </c>
      <c r="B566" s="15" t="s">
        <v>64</v>
      </c>
      <c r="C566" s="15">
        <v>29</v>
      </c>
    </row>
    <row r="567" spans="1:3" x14ac:dyDescent="0.55000000000000004">
      <c r="A567" s="45" t="s">
        <v>147</v>
      </c>
      <c r="B567" s="15" t="s">
        <v>54</v>
      </c>
      <c r="C567" s="15">
        <v>32</v>
      </c>
    </row>
    <row r="568" spans="1:3" x14ac:dyDescent="0.55000000000000004">
      <c r="A568" s="45">
        <v>41375</v>
      </c>
      <c r="B568" s="15" t="s">
        <v>47</v>
      </c>
      <c r="C568" s="15">
        <v>52</v>
      </c>
    </row>
    <row r="569" spans="1:3" x14ac:dyDescent="0.55000000000000004">
      <c r="A569" s="45" t="s">
        <v>126</v>
      </c>
      <c r="B569" s="15" t="s">
        <v>47</v>
      </c>
      <c r="C569" s="15">
        <v>15</v>
      </c>
    </row>
    <row r="570" spans="1:3" x14ac:dyDescent="0.55000000000000004">
      <c r="A570" s="45">
        <v>41342</v>
      </c>
      <c r="B570" s="15" t="s">
        <v>49</v>
      </c>
      <c r="C570" s="15">
        <v>22</v>
      </c>
    </row>
    <row r="571" spans="1:3" x14ac:dyDescent="0.55000000000000004">
      <c r="A571" s="45">
        <v>41618</v>
      </c>
      <c r="B571" s="15" t="s">
        <v>69</v>
      </c>
      <c r="C571" s="15">
        <v>53</v>
      </c>
    </row>
    <row r="572" spans="1:3" x14ac:dyDescent="0.55000000000000004">
      <c r="A572" s="45">
        <v>41557</v>
      </c>
      <c r="B572" s="15" t="s">
        <v>61</v>
      </c>
      <c r="C572" s="15">
        <v>37</v>
      </c>
    </row>
    <row r="573" spans="1:3" x14ac:dyDescent="0.55000000000000004">
      <c r="A573" s="45" t="s">
        <v>152</v>
      </c>
      <c r="B573" s="15" t="s">
        <v>48</v>
      </c>
      <c r="C573" s="15">
        <v>43</v>
      </c>
    </row>
    <row r="574" spans="1:3" x14ac:dyDescent="0.55000000000000004">
      <c r="A574" s="45" t="s">
        <v>108</v>
      </c>
      <c r="B574" s="15" t="s">
        <v>47</v>
      </c>
      <c r="C574" s="15">
        <v>10</v>
      </c>
    </row>
    <row r="575" spans="1:3" x14ac:dyDescent="0.55000000000000004">
      <c r="A575" s="45" t="s">
        <v>136</v>
      </c>
      <c r="B575" s="15" t="s">
        <v>64</v>
      </c>
      <c r="C575" s="15">
        <v>27</v>
      </c>
    </row>
    <row r="576" spans="1:3" x14ac:dyDescent="0.55000000000000004">
      <c r="A576" s="45">
        <v>41590</v>
      </c>
      <c r="B576" s="15" t="s">
        <v>46</v>
      </c>
      <c r="C576" s="15">
        <v>22</v>
      </c>
    </row>
    <row r="577" spans="1:3" x14ac:dyDescent="0.55000000000000004">
      <c r="A577" s="45">
        <v>41406</v>
      </c>
      <c r="B577" s="15" t="s">
        <v>50</v>
      </c>
      <c r="C577" s="15">
        <v>17</v>
      </c>
    </row>
    <row r="578" spans="1:3" x14ac:dyDescent="0.55000000000000004">
      <c r="A578" s="45" t="s">
        <v>80</v>
      </c>
      <c r="B578" s="15" t="s">
        <v>47</v>
      </c>
      <c r="C578" s="15">
        <v>31</v>
      </c>
    </row>
    <row r="579" spans="1:3" x14ac:dyDescent="0.55000000000000004">
      <c r="A579" s="45" t="s">
        <v>77</v>
      </c>
      <c r="B579" s="15" t="s">
        <v>51</v>
      </c>
      <c r="C579" s="15">
        <v>49</v>
      </c>
    </row>
    <row r="580" spans="1:3" x14ac:dyDescent="0.55000000000000004">
      <c r="A580" s="45">
        <v>41556</v>
      </c>
      <c r="B580" s="15" t="s">
        <v>63</v>
      </c>
      <c r="C580" s="15">
        <v>48</v>
      </c>
    </row>
    <row r="581" spans="1:3" x14ac:dyDescent="0.55000000000000004">
      <c r="A581" s="45" t="s">
        <v>161</v>
      </c>
      <c r="B581" s="15" t="s">
        <v>57</v>
      </c>
      <c r="C581" s="15">
        <v>55</v>
      </c>
    </row>
    <row r="582" spans="1:3" x14ac:dyDescent="0.55000000000000004">
      <c r="A582" s="45">
        <v>41791</v>
      </c>
      <c r="B582" s="15" t="s">
        <v>62</v>
      </c>
      <c r="C582" s="15">
        <v>26</v>
      </c>
    </row>
    <row r="583" spans="1:3" x14ac:dyDescent="0.55000000000000004">
      <c r="A583" s="45">
        <v>41618</v>
      </c>
      <c r="B583" s="15" t="s">
        <v>60</v>
      </c>
      <c r="C583" s="15">
        <v>47</v>
      </c>
    </row>
    <row r="584" spans="1:3" x14ac:dyDescent="0.55000000000000004">
      <c r="A584" s="45" t="s">
        <v>98</v>
      </c>
      <c r="B584" s="15" t="s">
        <v>50</v>
      </c>
      <c r="C584" s="15">
        <v>14</v>
      </c>
    </row>
    <row r="585" spans="1:3" x14ac:dyDescent="0.55000000000000004">
      <c r="A585" s="45">
        <v>41467</v>
      </c>
      <c r="B585" s="15" t="s">
        <v>47</v>
      </c>
      <c r="C585" s="15">
        <v>40</v>
      </c>
    </row>
    <row r="586" spans="1:3" x14ac:dyDescent="0.55000000000000004">
      <c r="A586" s="45">
        <v>41852</v>
      </c>
      <c r="B586" s="15" t="s">
        <v>49</v>
      </c>
      <c r="C586" s="15">
        <v>23</v>
      </c>
    </row>
    <row r="587" spans="1:3" x14ac:dyDescent="0.55000000000000004">
      <c r="A587" s="45">
        <v>41465</v>
      </c>
      <c r="B587" s="15" t="s">
        <v>62</v>
      </c>
      <c r="C587" s="15">
        <v>51</v>
      </c>
    </row>
    <row r="588" spans="1:3" x14ac:dyDescent="0.55000000000000004">
      <c r="A588" s="45" t="s">
        <v>132</v>
      </c>
      <c r="B588" s="15" t="s">
        <v>68</v>
      </c>
      <c r="C588" s="15">
        <v>24</v>
      </c>
    </row>
    <row r="589" spans="1:3" x14ac:dyDescent="0.55000000000000004">
      <c r="A589" s="45" t="s">
        <v>147</v>
      </c>
      <c r="B589" s="15" t="s">
        <v>47</v>
      </c>
      <c r="C589" s="15">
        <v>56</v>
      </c>
    </row>
    <row r="590" spans="1:3" x14ac:dyDescent="0.55000000000000004">
      <c r="A590" s="45" t="s">
        <v>99</v>
      </c>
      <c r="B590" s="15" t="s">
        <v>64</v>
      </c>
      <c r="C590" s="15">
        <v>21</v>
      </c>
    </row>
    <row r="591" spans="1:3" x14ac:dyDescent="0.55000000000000004">
      <c r="A591" s="45">
        <v>41464</v>
      </c>
      <c r="B591" s="15" t="s">
        <v>50</v>
      </c>
      <c r="C591" s="15">
        <v>19</v>
      </c>
    </row>
    <row r="592" spans="1:3" x14ac:dyDescent="0.55000000000000004">
      <c r="A592" s="45" t="s">
        <v>156</v>
      </c>
      <c r="B592" s="15" t="s">
        <v>55</v>
      </c>
      <c r="C592" s="15">
        <v>39</v>
      </c>
    </row>
    <row r="593" spans="1:3" x14ac:dyDescent="0.55000000000000004">
      <c r="A593" s="45" t="s">
        <v>150</v>
      </c>
      <c r="B593" s="15" t="s">
        <v>69</v>
      </c>
      <c r="C593" s="15">
        <v>34</v>
      </c>
    </row>
    <row r="594" spans="1:3" x14ac:dyDescent="0.55000000000000004">
      <c r="A594" s="45">
        <v>41315</v>
      </c>
      <c r="B594" s="15" t="s">
        <v>49</v>
      </c>
      <c r="C594" s="15">
        <v>42</v>
      </c>
    </row>
    <row r="595" spans="1:3" x14ac:dyDescent="0.55000000000000004">
      <c r="A595" s="45" t="s">
        <v>125</v>
      </c>
      <c r="B595" s="15" t="s">
        <v>53</v>
      </c>
      <c r="C595" s="15">
        <v>21</v>
      </c>
    </row>
    <row r="596" spans="1:3" x14ac:dyDescent="0.55000000000000004">
      <c r="A596" s="45">
        <v>41403</v>
      </c>
      <c r="B596" s="15" t="s">
        <v>54</v>
      </c>
      <c r="C596" s="15">
        <v>10</v>
      </c>
    </row>
    <row r="597" spans="1:3" x14ac:dyDescent="0.55000000000000004">
      <c r="A597" s="45">
        <v>41557</v>
      </c>
      <c r="B597" s="15" t="s">
        <v>57</v>
      </c>
      <c r="C597" s="15">
        <v>57</v>
      </c>
    </row>
    <row r="598" spans="1:3" x14ac:dyDescent="0.55000000000000004">
      <c r="A598" s="45">
        <v>41436</v>
      </c>
      <c r="B598" s="15" t="s">
        <v>63</v>
      </c>
      <c r="C598" s="15">
        <v>38</v>
      </c>
    </row>
    <row r="599" spans="1:3" x14ac:dyDescent="0.55000000000000004">
      <c r="A599" s="45">
        <v>41344</v>
      </c>
      <c r="B599" s="15" t="s">
        <v>47</v>
      </c>
      <c r="C599" s="15">
        <v>39</v>
      </c>
    </row>
    <row r="600" spans="1:3" x14ac:dyDescent="0.55000000000000004">
      <c r="A600" s="45" t="s">
        <v>158</v>
      </c>
      <c r="B600" s="15" t="s">
        <v>67</v>
      </c>
      <c r="C600" s="15">
        <v>57</v>
      </c>
    </row>
    <row r="601" spans="1:3" x14ac:dyDescent="0.55000000000000004">
      <c r="A601" s="45" t="s">
        <v>130</v>
      </c>
      <c r="B601" s="15" t="s">
        <v>46</v>
      </c>
      <c r="C601" s="15">
        <v>15</v>
      </c>
    </row>
    <row r="602" spans="1:3" x14ac:dyDescent="0.55000000000000004">
      <c r="A602" s="45">
        <v>41944</v>
      </c>
      <c r="B602" s="15" t="s">
        <v>45</v>
      </c>
      <c r="C602" s="15">
        <v>36</v>
      </c>
    </row>
    <row r="603" spans="1:3" x14ac:dyDescent="0.55000000000000004">
      <c r="A603" s="45" t="s">
        <v>90</v>
      </c>
      <c r="B603" s="15" t="s">
        <v>50</v>
      </c>
      <c r="C603" s="15">
        <v>50</v>
      </c>
    </row>
    <row r="604" spans="1:3" x14ac:dyDescent="0.55000000000000004">
      <c r="A604" s="45">
        <v>41587</v>
      </c>
      <c r="B604" s="15" t="s">
        <v>67</v>
      </c>
      <c r="C604" s="15">
        <v>36</v>
      </c>
    </row>
    <row r="605" spans="1:3" x14ac:dyDescent="0.55000000000000004">
      <c r="A605" s="45" t="s">
        <v>93</v>
      </c>
      <c r="B605" s="15" t="s">
        <v>67</v>
      </c>
      <c r="C605" s="15">
        <v>36</v>
      </c>
    </row>
    <row r="606" spans="1:3" x14ac:dyDescent="0.55000000000000004">
      <c r="A606" s="45" t="s">
        <v>102</v>
      </c>
      <c r="B606" s="15" t="s">
        <v>56</v>
      </c>
      <c r="C606" s="15">
        <v>51</v>
      </c>
    </row>
    <row r="607" spans="1:3" x14ac:dyDescent="0.55000000000000004">
      <c r="A607" s="45" t="s">
        <v>115</v>
      </c>
      <c r="B607" s="15" t="s">
        <v>48</v>
      </c>
      <c r="C607" s="15">
        <v>37</v>
      </c>
    </row>
    <row r="608" spans="1:3" x14ac:dyDescent="0.55000000000000004">
      <c r="A608" s="45" t="s">
        <v>110</v>
      </c>
      <c r="B608" s="15" t="s">
        <v>48</v>
      </c>
      <c r="C608" s="15">
        <v>46</v>
      </c>
    </row>
    <row r="609" spans="1:3" x14ac:dyDescent="0.55000000000000004">
      <c r="A609" s="45">
        <v>41405</v>
      </c>
      <c r="B609" s="15" t="s">
        <v>48</v>
      </c>
      <c r="C609" s="15">
        <v>29</v>
      </c>
    </row>
    <row r="610" spans="1:3" x14ac:dyDescent="0.55000000000000004">
      <c r="A610" s="45" t="s">
        <v>102</v>
      </c>
      <c r="B610" s="15" t="s">
        <v>54</v>
      </c>
      <c r="C610" s="15">
        <v>31</v>
      </c>
    </row>
    <row r="611" spans="1:3" x14ac:dyDescent="0.55000000000000004">
      <c r="A611" s="45">
        <v>41375</v>
      </c>
      <c r="B611" s="15" t="s">
        <v>48</v>
      </c>
      <c r="C611" s="15">
        <v>10</v>
      </c>
    </row>
    <row r="612" spans="1:3" x14ac:dyDescent="0.55000000000000004">
      <c r="A612" s="45" t="s">
        <v>160</v>
      </c>
      <c r="B612" s="15" t="s">
        <v>68</v>
      </c>
      <c r="C612" s="15">
        <v>54</v>
      </c>
    </row>
    <row r="613" spans="1:3" x14ac:dyDescent="0.55000000000000004">
      <c r="A613" s="45" t="s">
        <v>159</v>
      </c>
      <c r="B613" s="15" t="s">
        <v>50</v>
      </c>
      <c r="C613" s="15">
        <v>23</v>
      </c>
    </row>
    <row r="614" spans="1:3" x14ac:dyDescent="0.55000000000000004">
      <c r="A614" s="45" t="s">
        <v>152</v>
      </c>
      <c r="B614" s="15" t="s">
        <v>53</v>
      </c>
      <c r="C614" s="15">
        <v>28</v>
      </c>
    </row>
    <row r="615" spans="1:3" x14ac:dyDescent="0.55000000000000004">
      <c r="A615" s="45">
        <v>41529</v>
      </c>
      <c r="B615" s="15" t="s">
        <v>55</v>
      </c>
      <c r="C615" s="15">
        <v>32</v>
      </c>
    </row>
    <row r="616" spans="1:3" x14ac:dyDescent="0.55000000000000004">
      <c r="A616" s="45" t="s">
        <v>146</v>
      </c>
      <c r="B616" s="15" t="s">
        <v>50</v>
      </c>
      <c r="C616" s="15">
        <v>17</v>
      </c>
    </row>
    <row r="617" spans="1:3" x14ac:dyDescent="0.55000000000000004">
      <c r="A617" s="45">
        <v>41406</v>
      </c>
      <c r="B617" s="15" t="s">
        <v>60</v>
      </c>
      <c r="C617" s="15">
        <v>46</v>
      </c>
    </row>
    <row r="618" spans="1:3" x14ac:dyDescent="0.55000000000000004">
      <c r="A618" s="45" t="s">
        <v>86</v>
      </c>
      <c r="B618" s="15" t="s">
        <v>59</v>
      </c>
      <c r="C618" s="15">
        <v>22</v>
      </c>
    </row>
    <row r="619" spans="1:3" x14ac:dyDescent="0.55000000000000004">
      <c r="A619" s="45" t="s">
        <v>127</v>
      </c>
      <c r="B619" s="15" t="s">
        <v>56</v>
      </c>
      <c r="C619" s="15">
        <v>57</v>
      </c>
    </row>
    <row r="620" spans="1:3" x14ac:dyDescent="0.55000000000000004">
      <c r="A620" s="45" t="s">
        <v>98</v>
      </c>
      <c r="B620" s="15" t="s">
        <v>47</v>
      </c>
      <c r="C620" s="15">
        <v>25</v>
      </c>
    </row>
    <row r="621" spans="1:3" x14ac:dyDescent="0.55000000000000004">
      <c r="A621" s="45">
        <v>41587</v>
      </c>
      <c r="B621" s="15" t="s">
        <v>56</v>
      </c>
      <c r="C621" s="15">
        <v>41</v>
      </c>
    </row>
    <row r="622" spans="1:3" x14ac:dyDescent="0.55000000000000004">
      <c r="A622" s="45" t="s">
        <v>142</v>
      </c>
      <c r="B622" s="15" t="s">
        <v>69</v>
      </c>
      <c r="C622" s="15">
        <v>20</v>
      </c>
    </row>
    <row r="623" spans="1:3" x14ac:dyDescent="0.55000000000000004">
      <c r="A623" s="45" t="s">
        <v>86</v>
      </c>
      <c r="B623" s="15" t="s">
        <v>64</v>
      </c>
      <c r="C623" s="15">
        <v>35</v>
      </c>
    </row>
    <row r="624" spans="1:3" x14ac:dyDescent="0.55000000000000004">
      <c r="A624" s="45">
        <v>41404</v>
      </c>
      <c r="B624" s="15" t="s">
        <v>52</v>
      </c>
      <c r="C624" s="15">
        <v>28</v>
      </c>
    </row>
    <row r="625" spans="1:3" x14ac:dyDescent="0.55000000000000004">
      <c r="A625" s="45" t="s">
        <v>148</v>
      </c>
      <c r="B625" s="15" t="s">
        <v>45</v>
      </c>
      <c r="C625" s="15">
        <v>52</v>
      </c>
    </row>
    <row r="626" spans="1:3" x14ac:dyDescent="0.55000000000000004">
      <c r="A626" s="45" t="s">
        <v>101</v>
      </c>
      <c r="B626" s="15" t="s">
        <v>55</v>
      </c>
      <c r="C626" s="15">
        <v>31</v>
      </c>
    </row>
    <row r="627" spans="1:3" x14ac:dyDescent="0.55000000000000004">
      <c r="A627" s="45">
        <v>41730</v>
      </c>
      <c r="B627" s="15" t="s">
        <v>54</v>
      </c>
      <c r="C627" s="15">
        <v>27</v>
      </c>
    </row>
    <row r="628" spans="1:3" x14ac:dyDescent="0.55000000000000004">
      <c r="A628" s="45" t="s">
        <v>96</v>
      </c>
      <c r="B628" s="15" t="s">
        <v>46</v>
      </c>
      <c r="C628" s="15">
        <v>22</v>
      </c>
    </row>
    <row r="629" spans="1:3" x14ac:dyDescent="0.55000000000000004">
      <c r="A629" s="45">
        <v>41557</v>
      </c>
      <c r="B629" s="15" t="s">
        <v>48</v>
      </c>
      <c r="C629" s="15">
        <v>21</v>
      </c>
    </row>
    <row r="630" spans="1:3" x14ac:dyDescent="0.55000000000000004">
      <c r="A630" s="45" t="s">
        <v>91</v>
      </c>
      <c r="B630" s="15" t="s">
        <v>51</v>
      </c>
      <c r="C630" s="15">
        <v>26</v>
      </c>
    </row>
    <row r="631" spans="1:3" x14ac:dyDescent="0.55000000000000004">
      <c r="A631" s="45" t="s">
        <v>99</v>
      </c>
      <c r="B631" s="15" t="s">
        <v>55</v>
      </c>
      <c r="C631" s="15">
        <v>58</v>
      </c>
    </row>
    <row r="632" spans="1:3" x14ac:dyDescent="0.55000000000000004">
      <c r="A632" s="45">
        <v>41343</v>
      </c>
      <c r="B632" s="15" t="s">
        <v>56</v>
      </c>
      <c r="C632" s="15">
        <v>10</v>
      </c>
    </row>
    <row r="633" spans="1:3" x14ac:dyDescent="0.55000000000000004">
      <c r="A633" s="45" t="s">
        <v>116</v>
      </c>
      <c r="B633" s="15" t="s">
        <v>52</v>
      </c>
      <c r="C633" s="15">
        <v>19</v>
      </c>
    </row>
    <row r="634" spans="1:3" x14ac:dyDescent="0.55000000000000004">
      <c r="A634" s="45" t="s">
        <v>90</v>
      </c>
      <c r="B634" s="15" t="s">
        <v>69</v>
      </c>
      <c r="C634" s="15">
        <v>43</v>
      </c>
    </row>
    <row r="635" spans="1:3" x14ac:dyDescent="0.55000000000000004">
      <c r="A635" s="45" t="s">
        <v>77</v>
      </c>
      <c r="B635" s="15" t="s">
        <v>60</v>
      </c>
      <c r="C635" s="15">
        <v>51</v>
      </c>
    </row>
    <row r="636" spans="1:3" x14ac:dyDescent="0.55000000000000004">
      <c r="A636" s="45" t="s">
        <v>77</v>
      </c>
      <c r="B636" s="15" t="s">
        <v>58</v>
      </c>
      <c r="C636" s="15">
        <v>35</v>
      </c>
    </row>
    <row r="637" spans="1:3" x14ac:dyDescent="0.55000000000000004">
      <c r="A637" s="45">
        <v>41791</v>
      </c>
      <c r="B637" s="15" t="s">
        <v>62</v>
      </c>
      <c r="C637" s="15">
        <v>25</v>
      </c>
    </row>
    <row r="638" spans="1:3" x14ac:dyDescent="0.55000000000000004">
      <c r="A638" s="45">
        <v>41559</v>
      </c>
      <c r="B638" s="15" t="s">
        <v>61</v>
      </c>
      <c r="C638" s="15">
        <v>27</v>
      </c>
    </row>
    <row r="639" spans="1:3" x14ac:dyDescent="0.55000000000000004">
      <c r="A639" s="45">
        <v>41466</v>
      </c>
      <c r="B639" s="15" t="s">
        <v>50</v>
      </c>
      <c r="C639" s="15">
        <v>44</v>
      </c>
    </row>
    <row r="640" spans="1:3" x14ac:dyDescent="0.55000000000000004">
      <c r="A640" s="45">
        <v>41821</v>
      </c>
      <c r="B640" s="15" t="s">
        <v>54</v>
      </c>
      <c r="C640" s="15">
        <v>43</v>
      </c>
    </row>
    <row r="641" spans="1:3" x14ac:dyDescent="0.55000000000000004">
      <c r="A641" s="45" t="s">
        <v>121</v>
      </c>
      <c r="B641" s="15" t="s">
        <v>54</v>
      </c>
      <c r="C641" s="15">
        <v>53</v>
      </c>
    </row>
    <row r="642" spans="1:3" x14ac:dyDescent="0.55000000000000004">
      <c r="A642" s="45" t="s">
        <v>126</v>
      </c>
      <c r="B642" s="15" t="s">
        <v>66</v>
      </c>
      <c r="C642" s="15">
        <v>18</v>
      </c>
    </row>
    <row r="643" spans="1:3" x14ac:dyDescent="0.55000000000000004">
      <c r="A643" s="45" t="s">
        <v>162</v>
      </c>
      <c r="B643" s="15" t="s">
        <v>53</v>
      </c>
      <c r="C643" s="15">
        <v>47</v>
      </c>
    </row>
    <row r="644" spans="1:3" x14ac:dyDescent="0.55000000000000004">
      <c r="A644" s="45" t="s">
        <v>118</v>
      </c>
      <c r="B644" s="15" t="s">
        <v>54</v>
      </c>
      <c r="C644" s="15">
        <v>42</v>
      </c>
    </row>
    <row r="645" spans="1:3" x14ac:dyDescent="0.55000000000000004">
      <c r="A645" s="45" t="s">
        <v>164</v>
      </c>
      <c r="B645" s="15" t="s">
        <v>55</v>
      </c>
      <c r="C645" s="15">
        <v>49</v>
      </c>
    </row>
    <row r="646" spans="1:3" x14ac:dyDescent="0.55000000000000004">
      <c r="A646" s="45">
        <v>41527</v>
      </c>
      <c r="B646" s="15" t="s">
        <v>45</v>
      </c>
      <c r="C646" s="15">
        <v>37</v>
      </c>
    </row>
    <row r="647" spans="1:3" x14ac:dyDescent="0.55000000000000004">
      <c r="A647" s="45" t="s">
        <v>114</v>
      </c>
      <c r="B647" s="15" t="s">
        <v>64</v>
      </c>
      <c r="C647" s="15">
        <v>13</v>
      </c>
    </row>
    <row r="648" spans="1:3" x14ac:dyDescent="0.55000000000000004">
      <c r="A648" s="45">
        <v>41436</v>
      </c>
      <c r="B648" s="15" t="s">
        <v>69</v>
      </c>
      <c r="C648" s="15">
        <v>11</v>
      </c>
    </row>
    <row r="649" spans="1:3" x14ac:dyDescent="0.55000000000000004">
      <c r="A649" s="45" t="s">
        <v>109</v>
      </c>
      <c r="B649" s="15" t="s">
        <v>69</v>
      </c>
      <c r="C649" s="15">
        <v>49</v>
      </c>
    </row>
    <row r="650" spans="1:3" x14ac:dyDescent="0.55000000000000004">
      <c r="A650" s="45" t="s">
        <v>122</v>
      </c>
      <c r="B650" s="15" t="s">
        <v>50</v>
      </c>
      <c r="C650" s="15">
        <v>11</v>
      </c>
    </row>
    <row r="651" spans="1:3" x14ac:dyDescent="0.55000000000000004">
      <c r="A651" s="45" t="s">
        <v>123</v>
      </c>
      <c r="B651" s="15" t="s">
        <v>46</v>
      </c>
      <c r="C651" s="15">
        <v>24</v>
      </c>
    </row>
    <row r="652" spans="1:3" x14ac:dyDescent="0.55000000000000004">
      <c r="A652" s="45" t="s">
        <v>145</v>
      </c>
      <c r="B652" s="15" t="s">
        <v>69</v>
      </c>
      <c r="C652" s="15">
        <v>57</v>
      </c>
    </row>
    <row r="653" spans="1:3" x14ac:dyDescent="0.55000000000000004">
      <c r="A653" s="45">
        <v>41617</v>
      </c>
      <c r="B653" s="15" t="s">
        <v>46</v>
      </c>
      <c r="C653" s="15">
        <v>30</v>
      </c>
    </row>
    <row r="654" spans="1:3" x14ac:dyDescent="0.55000000000000004">
      <c r="A654" s="45" t="s">
        <v>114</v>
      </c>
      <c r="B654" s="15" t="s">
        <v>56</v>
      </c>
      <c r="C654" s="15">
        <v>19</v>
      </c>
    </row>
    <row r="655" spans="1:3" x14ac:dyDescent="0.55000000000000004">
      <c r="A655" s="45">
        <v>41730</v>
      </c>
      <c r="B655" s="15" t="s">
        <v>52</v>
      </c>
      <c r="C655" s="15">
        <v>47</v>
      </c>
    </row>
    <row r="656" spans="1:3" x14ac:dyDescent="0.55000000000000004">
      <c r="A656" s="45" t="s">
        <v>160</v>
      </c>
      <c r="B656" s="15" t="s">
        <v>54</v>
      </c>
      <c r="C656" s="15">
        <v>41</v>
      </c>
    </row>
    <row r="657" spans="1:3" x14ac:dyDescent="0.55000000000000004">
      <c r="A657" s="45" t="s">
        <v>146</v>
      </c>
      <c r="B657" s="15" t="s">
        <v>64</v>
      </c>
      <c r="C657" s="15">
        <v>43</v>
      </c>
    </row>
    <row r="658" spans="1:3" x14ac:dyDescent="0.55000000000000004">
      <c r="A658" s="45" t="s">
        <v>93</v>
      </c>
      <c r="B658" s="15" t="s">
        <v>53</v>
      </c>
      <c r="C658" s="15">
        <v>11</v>
      </c>
    </row>
    <row r="659" spans="1:3" x14ac:dyDescent="0.55000000000000004">
      <c r="A659" s="45">
        <v>41587</v>
      </c>
      <c r="B659" s="15" t="s">
        <v>68</v>
      </c>
      <c r="C659" s="15">
        <v>46</v>
      </c>
    </row>
    <row r="660" spans="1:3" x14ac:dyDescent="0.55000000000000004">
      <c r="A660" s="45" t="s">
        <v>153</v>
      </c>
      <c r="B660" s="15" t="s">
        <v>46</v>
      </c>
      <c r="C660" s="15">
        <v>32</v>
      </c>
    </row>
    <row r="661" spans="1:3" x14ac:dyDescent="0.55000000000000004">
      <c r="A661" s="45">
        <v>41405</v>
      </c>
      <c r="B661" s="15" t="s">
        <v>55</v>
      </c>
      <c r="C661" s="15">
        <v>12</v>
      </c>
    </row>
    <row r="662" spans="1:3" x14ac:dyDescent="0.55000000000000004">
      <c r="A662" s="45" t="s">
        <v>94</v>
      </c>
      <c r="B662" s="15" t="s">
        <v>52</v>
      </c>
      <c r="C662" s="15">
        <v>49</v>
      </c>
    </row>
    <row r="663" spans="1:3" x14ac:dyDescent="0.55000000000000004">
      <c r="A663" s="45" t="s">
        <v>88</v>
      </c>
      <c r="B663" s="15" t="s">
        <v>61</v>
      </c>
      <c r="C663" s="15">
        <v>54</v>
      </c>
    </row>
    <row r="664" spans="1:3" x14ac:dyDescent="0.55000000000000004">
      <c r="A664" s="45">
        <v>41640</v>
      </c>
      <c r="B664" s="15" t="s">
        <v>46</v>
      </c>
      <c r="C664" s="15">
        <v>19</v>
      </c>
    </row>
    <row r="665" spans="1:3" x14ac:dyDescent="0.55000000000000004">
      <c r="A665" s="45">
        <v>41285</v>
      </c>
      <c r="B665" s="15" t="s">
        <v>67</v>
      </c>
      <c r="C665" s="15">
        <v>39</v>
      </c>
    </row>
    <row r="666" spans="1:3" x14ac:dyDescent="0.55000000000000004">
      <c r="A666" s="45">
        <v>41699</v>
      </c>
      <c r="B666" s="15" t="s">
        <v>63</v>
      </c>
      <c r="C666" s="15">
        <v>28</v>
      </c>
    </row>
    <row r="667" spans="1:3" x14ac:dyDescent="0.55000000000000004">
      <c r="A667" s="45">
        <v>41404</v>
      </c>
      <c r="B667" s="15" t="s">
        <v>62</v>
      </c>
      <c r="C667" s="15">
        <v>28</v>
      </c>
    </row>
    <row r="668" spans="1:3" x14ac:dyDescent="0.55000000000000004">
      <c r="A668" s="45">
        <v>41314</v>
      </c>
      <c r="B668" s="15" t="s">
        <v>64</v>
      </c>
      <c r="C668" s="15">
        <v>54</v>
      </c>
    </row>
    <row r="669" spans="1:3" x14ac:dyDescent="0.55000000000000004">
      <c r="A669" s="45" t="s">
        <v>148</v>
      </c>
      <c r="B669" s="15" t="s">
        <v>58</v>
      </c>
      <c r="C669" s="15">
        <v>55</v>
      </c>
    </row>
    <row r="670" spans="1:3" x14ac:dyDescent="0.55000000000000004">
      <c r="A670" s="45" t="s">
        <v>112</v>
      </c>
      <c r="B670" s="15" t="s">
        <v>50</v>
      </c>
      <c r="C670" s="15">
        <v>44</v>
      </c>
    </row>
    <row r="671" spans="1:3" x14ac:dyDescent="0.55000000000000004">
      <c r="A671" s="45">
        <v>41589</v>
      </c>
      <c r="B671" s="15" t="s">
        <v>63</v>
      </c>
      <c r="C671" s="15">
        <v>15</v>
      </c>
    </row>
    <row r="672" spans="1:3" x14ac:dyDescent="0.55000000000000004">
      <c r="A672" s="45" t="s">
        <v>96</v>
      </c>
      <c r="B672" s="15" t="s">
        <v>68</v>
      </c>
      <c r="C672" s="15">
        <v>14</v>
      </c>
    </row>
    <row r="673" spans="1:3" x14ac:dyDescent="0.55000000000000004">
      <c r="A673" s="45" t="s">
        <v>144</v>
      </c>
      <c r="B673" s="15" t="s">
        <v>63</v>
      </c>
      <c r="C673" s="15">
        <v>32</v>
      </c>
    </row>
    <row r="674" spans="1:3" x14ac:dyDescent="0.55000000000000004">
      <c r="A674" s="45" t="s">
        <v>139</v>
      </c>
      <c r="B674" s="15" t="s">
        <v>66</v>
      </c>
      <c r="C674" s="15">
        <v>42</v>
      </c>
    </row>
    <row r="675" spans="1:3" x14ac:dyDescent="0.55000000000000004">
      <c r="A675" s="45">
        <v>41498</v>
      </c>
      <c r="B675" s="15" t="s">
        <v>60</v>
      </c>
      <c r="C675" s="15">
        <v>34</v>
      </c>
    </row>
    <row r="676" spans="1:3" x14ac:dyDescent="0.55000000000000004">
      <c r="A676" s="45" t="s">
        <v>156</v>
      </c>
      <c r="B676" s="15" t="s">
        <v>55</v>
      </c>
      <c r="C676" s="15">
        <v>22</v>
      </c>
    </row>
    <row r="677" spans="1:3" x14ac:dyDescent="0.55000000000000004">
      <c r="A677" s="45" t="s">
        <v>127</v>
      </c>
      <c r="B677" s="15" t="s">
        <v>59</v>
      </c>
      <c r="C677" s="15">
        <v>15</v>
      </c>
    </row>
    <row r="678" spans="1:3" x14ac:dyDescent="0.55000000000000004">
      <c r="A678" s="45">
        <v>41589</v>
      </c>
      <c r="B678" s="15" t="s">
        <v>62</v>
      </c>
      <c r="C678" s="15">
        <v>57</v>
      </c>
    </row>
    <row r="679" spans="1:3" x14ac:dyDescent="0.55000000000000004">
      <c r="A679" s="45">
        <v>41527</v>
      </c>
      <c r="B679" s="15" t="s">
        <v>55</v>
      </c>
      <c r="C679" s="15">
        <v>32</v>
      </c>
    </row>
    <row r="680" spans="1:3" x14ac:dyDescent="0.55000000000000004">
      <c r="A680" s="45" t="s">
        <v>149</v>
      </c>
      <c r="B680" s="15" t="s">
        <v>52</v>
      </c>
      <c r="C680" s="15">
        <v>31</v>
      </c>
    </row>
    <row r="681" spans="1:3" x14ac:dyDescent="0.55000000000000004">
      <c r="A681" s="45" t="s">
        <v>146</v>
      </c>
      <c r="B681" s="15" t="s">
        <v>50</v>
      </c>
      <c r="C681" s="15">
        <v>33</v>
      </c>
    </row>
    <row r="682" spans="1:3" x14ac:dyDescent="0.55000000000000004">
      <c r="A682" s="45" t="s">
        <v>92</v>
      </c>
      <c r="B682" s="15" t="s">
        <v>53</v>
      </c>
      <c r="C682" s="15">
        <v>11</v>
      </c>
    </row>
    <row r="683" spans="1:3" x14ac:dyDescent="0.55000000000000004">
      <c r="A683" s="45" t="s">
        <v>112</v>
      </c>
      <c r="B683" s="15" t="s">
        <v>65</v>
      </c>
      <c r="C683" s="15">
        <v>30</v>
      </c>
    </row>
    <row r="684" spans="1:3" x14ac:dyDescent="0.55000000000000004">
      <c r="A684" s="45">
        <v>41496</v>
      </c>
      <c r="B684" s="15" t="s">
        <v>67</v>
      </c>
      <c r="C684" s="15">
        <v>25</v>
      </c>
    </row>
    <row r="685" spans="1:3" x14ac:dyDescent="0.55000000000000004">
      <c r="A685" s="45">
        <v>41314</v>
      </c>
      <c r="B685" s="15" t="s">
        <v>46</v>
      </c>
      <c r="C685" s="15">
        <v>21</v>
      </c>
    </row>
    <row r="686" spans="1:3" x14ac:dyDescent="0.55000000000000004">
      <c r="A686" s="45">
        <v>41557</v>
      </c>
      <c r="B686" s="15" t="s">
        <v>47</v>
      </c>
      <c r="C686" s="15">
        <v>50</v>
      </c>
    </row>
    <row r="687" spans="1:3" x14ac:dyDescent="0.55000000000000004">
      <c r="A687" s="45" t="s">
        <v>158</v>
      </c>
      <c r="B687" s="15" t="s">
        <v>68</v>
      </c>
      <c r="C687" s="15">
        <v>40</v>
      </c>
    </row>
    <row r="688" spans="1:3" x14ac:dyDescent="0.55000000000000004">
      <c r="A688" s="45">
        <v>41315</v>
      </c>
      <c r="B688" s="15" t="s">
        <v>62</v>
      </c>
      <c r="C688" s="15">
        <v>27</v>
      </c>
    </row>
    <row r="689" spans="1:3" x14ac:dyDescent="0.55000000000000004">
      <c r="A689" s="45">
        <v>41821</v>
      </c>
      <c r="B689" s="15" t="s">
        <v>49</v>
      </c>
      <c r="C689" s="15">
        <v>48</v>
      </c>
    </row>
    <row r="690" spans="1:3" x14ac:dyDescent="0.55000000000000004">
      <c r="A690" s="45" t="s">
        <v>130</v>
      </c>
      <c r="B690" s="15" t="s">
        <v>60</v>
      </c>
      <c r="C690" s="15">
        <v>44</v>
      </c>
    </row>
    <row r="691" spans="1:3" x14ac:dyDescent="0.55000000000000004">
      <c r="A691" s="45">
        <v>41944</v>
      </c>
      <c r="B691" s="15" t="s">
        <v>65</v>
      </c>
      <c r="C691" s="15">
        <v>11</v>
      </c>
    </row>
    <row r="692" spans="1:3" x14ac:dyDescent="0.55000000000000004">
      <c r="A692" s="45" t="s">
        <v>71</v>
      </c>
      <c r="B692" s="15" t="s">
        <v>69</v>
      </c>
      <c r="C692" s="15">
        <v>44</v>
      </c>
    </row>
    <row r="693" spans="1:3" x14ac:dyDescent="0.55000000000000004">
      <c r="A693" s="45" t="s">
        <v>148</v>
      </c>
      <c r="B693" s="15" t="s">
        <v>51</v>
      </c>
      <c r="C693" s="15">
        <v>53</v>
      </c>
    </row>
    <row r="694" spans="1:3" x14ac:dyDescent="0.55000000000000004">
      <c r="A694" s="45" t="s">
        <v>94</v>
      </c>
      <c r="B694" s="15" t="s">
        <v>60</v>
      </c>
      <c r="C694" s="15">
        <v>26</v>
      </c>
    </row>
    <row r="695" spans="1:3" x14ac:dyDescent="0.55000000000000004">
      <c r="A695" s="45" t="s">
        <v>92</v>
      </c>
      <c r="B695" s="15" t="s">
        <v>55</v>
      </c>
      <c r="C695" s="15">
        <v>55</v>
      </c>
    </row>
    <row r="696" spans="1:3" x14ac:dyDescent="0.55000000000000004">
      <c r="A696" s="45" t="s">
        <v>164</v>
      </c>
      <c r="B696" s="15" t="s">
        <v>47</v>
      </c>
      <c r="C696" s="15">
        <v>58</v>
      </c>
    </row>
    <row r="697" spans="1:3" x14ac:dyDescent="0.55000000000000004">
      <c r="A697" s="45">
        <v>41342</v>
      </c>
      <c r="B697" s="15" t="s">
        <v>55</v>
      </c>
      <c r="C697" s="15">
        <v>50</v>
      </c>
    </row>
    <row r="698" spans="1:3" x14ac:dyDescent="0.55000000000000004">
      <c r="A698" s="45" t="s">
        <v>117</v>
      </c>
      <c r="B698" s="15" t="s">
        <v>54</v>
      </c>
      <c r="C698" s="15">
        <v>44</v>
      </c>
    </row>
    <row r="699" spans="1:3" x14ac:dyDescent="0.55000000000000004">
      <c r="A699" s="45" t="s">
        <v>137</v>
      </c>
      <c r="B699" s="15" t="s">
        <v>63</v>
      </c>
      <c r="C699" s="15">
        <v>33</v>
      </c>
    </row>
    <row r="700" spans="1:3" x14ac:dyDescent="0.55000000000000004">
      <c r="A700" s="45">
        <v>41527</v>
      </c>
      <c r="B700" s="15" t="s">
        <v>61</v>
      </c>
      <c r="C700" s="15">
        <v>19</v>
      </c>
    </row>
    <row r="701" spans="1:3" x14ac:dyDescent="0.55000000000000004">
      <c r="A701" s="45">
        <v>41495</v>
      </c>
      <c r="B701" s="15" t="s">
        <v>46</v>
      </c>
      <c r="C701" s="15">
        <v>13</v>
      </c>
    </row>
    <row r="702" spans="1:3" x14ac:dyDescent="0.55000000000000004">
      <c r="A702" s="45">
        <v>41495</v>
      </c>
      <c r="B702" s="15" t="s">
        <v>54</v>
      </c>
      <c r="C702" s="15">
        <v>44</v>
      </c>
    </row>
    <row r="703" spans="1:3" x14ac:dyDescent="0.55000000000000004">
      <c r="A703" s="45" t="s">
        <v>141</v>
      </c>
      <c r="B703" s="15" t="s">
        <v>47</v>
      </c>
      <c r="C703" s="15">
        <v>26</v>
      </c>
    </row>
    <row r="704" spans="1:3" x14ac:dyDescent="0.55000000000000004">
      <c r="A704" s="45" t="s">
        <v>91</v>
      </c>
      <c r="B704" s="15" t="s">
        <v>54</v>
      </c>
      <c r="C704" s="15">
        <v>44</v>
      </c>
    </row>
    <row r="705" spans="1:3" x14ac:dyDescent="0.55000000000000004">
      <c r="A705" s="45">
        <v>41529</v>
      </c>
      <c r="B705" s="15" t="s">
        <v>57</v>
      </c>
      <c r="C705" s="15">
        <v>59</v>
      </c>
    </row>
    <row r="706" spans="1:3" x14ac:dyDescent="0.55000000000000004">
      <c r="A706" s="45" t="s">
        <v>83</v>
      </c>
      <c r="B706" s="15" t="s">
        <v>53</v>
      </c>
      <c r="C706" s="15">
        <v>14</v>
      </c>
    </row>
    <row r="707" spans="1:3" x14ac:dyDescent="0.55000000000000004">
      <c r="A707" s="45" t="s">
        <v>99</v>
      </c>
      <c r="B707" s="15" t="s">
        <v>49</v>
      </c>
      <c r="C707" s="15">
        <v>30</v>
      </c>
    </row>
    <row r="708" spans="1:3" x14ac:dyDescent="0.55000000000000004">
      <c r="A708" s="45">
        <v>41699</v>
      </c>
      <c r="B708" s="15" t="s">
        <v>66</v>
      </c>
      <c r="C708" s="15">
        <v>42</v>
      </c>
    </row>
    <row r="709" spans="1:3" x14ac:dyDescent="0.55000000000000004">
      <c r="A709" s="45" t="s">
        <v>96</v>
      </c>
      <c r="B709" s="15" t="s">
        <v>66</v>
      </c>
      <c r="C709" s="15">
        <v>46</v>
      </c>
    </row>
    <row r="710" spans="1:3" x14ac:dyDescent="0.55000000000000004">
      <c r="A710" s="45">
        <v>41618</v>
      </c>
      <c r="B710" s="15" t="s">
        <v>64</v>
      </c>
      <c r="C710" s="15">
        <v>58</v>
      </c>
    </row>
    <row r="711" spans="1:3" x14ac:dyDescent="0.55000000000000004">
      <c r="A711" s="45">
        <v>41375</v>
      </c>
      <c r="B711" s="15" t="s">
        <v>53</v>
      </c>
      <c r="C711" s="15">
        <v>36</v>
      </c>
    </row>
    <row r="712" spans="1:3" x14ac:dyDescent="0.55000000000000004">
      <c r="A712" s="45" t="s">
        <v>81</v>
      </c>
      <c r="B712" s="15" t="s">
        <v>57</v>
      </c>
      <c r="C712" s="15">
        <v>30</v>
      </c>
    </row>
    <row r="713" spans="1:3" x14ac:dyDescent="0.55000000000000004">
      <c r="A713" s="45">
        <v>41730</v>
      </c>
      <c r="B713" s="15" t="s">
        <v>68</v>
      </c>
      <c r="C713" s="15">
        <v>13</v>
      </c>
    </row>
    <row r="714" spans="1:3" x14ac:dyDescent="0.55000000000000004">
      <c r="A714" s="45">
        <v>41671</v>
      </c>
      <c r="B714" s="15" t="s">
        <v>45</v>
      </c>
      <c r="C714" s="15">
        <v>30</v>
      </c>
    </row>
    <row r="715" spans="1:3" x14ac:dyDescent="0.55000000000000004">
      <c r="A715" s="45" t="s">
        <v>96</v>
      </c>
      <c r="B715" s="15" t="s">
        <v>57</v>
      </c>
      <c r="C715" s="15">
        <v>30</v>
      </c>
    </row>
    <row r="716" spans="1:3" x14ac:dyDescent="0.55000000000000004">
      <c r="A716" s="45" t="s">
        <v>82</v>
      </c>
      <c r="B716" s="15" t="s">
        <v>56</v>
      </c>
      <c r="C716" s="15">
        <v>55</v>
      </c>
    </row>
    <row r="717" spans="1:3" x14ac:dyDescent="0.55000000000000004">
      <c r="A717" s="45" t="s">
        <v>144</v>
      </c>
      <c r="B717" s="15" t="s">
        <v>64</v>
      </c>
      <c r="C717" s="15">
        <v>51</v>
      </c>
    </row>
    <row r="718" spans="1:3" x14ac:dyDescent="0.55000000000000004">
      <c r="A718" s="45">
        <v>41791</v>
      </c>
      <c r="B718" s="15" t="s">
        <v>48</v>
      </c>
      <c r="C718" s="15">
        <v>18</v>
      </c>
    </row>
    <row r="719" spans="1:3" x14ac:dyDescent="0.55000000000000004">
      <c r="A719" s="45">
        <v>41556</v>
      </c>
      <c r="B719" s="15" t="s">
        <v>60</v>
      </c>
      <c r="C719" s="15">
        <v>51</v>
      </c>
    </row>
    <row r="720" spans="1:3" x14ac:dyDescent="0.55000000000000004">
      <c r="A720" s="45" t="s">
        <v>124</v>
      </c>
      <c r="B720" s="15" t="s">
        <v>46</v>
      </c>
      <c r="C720" s="15">
        <v>57</v>
      </c>
    </row>
    <row r="721" spans="1:3" x14ac:dyDescent="0.55000000000000004">
      <c r="A721" s="45">
        <v>41315</v>
      </c>
      <c r="B721" s="15" t="s">
        <v>55</v>
      </c>
      <c r="C721" s="15">
        <v>51</v>
      </c>
    </row>
    <row r="722" spans="1:3" x14ac:dyDescent="0.55000000000000004">
      <c r="A722" s="45" t="s">
        <v>121</v>
      </c>
      <c r="B722" s="15" t="s">
        <v>65</v>
      </c>
      <c r="C722" s="15">
        <v>42</v>
      </c>
    </row>
    <row r="723" spans="1:3" x14ac:dyDescent="0.55000000000000004">
      <c r="A723" s="45">
        <v>41526</v>
      </c>
      <c r="B723" s="15" t="s">
        <v>56</v>
      </c>
      <c r="C723" s="15">
        <v>32</v>
      </c>
    </row>
    <row r="724" spans="1:3" x14ac:dyDescent="0.55000000000000004">
      <c r="A724" s="45" t="s">
        <v>159</v>
      </c>
      <c r="B724" s="15" t="s">
        <v>64</v>
      </c>
      <c r="C724" s="15">
        <v>18</v>
      </c>
    </row>
    <row r="725" spans="1:3" x14ac:dyDescent="0.55000000000000004">
      <c r="A725" s="45" t="s">
        <v>131</v>
      </c>
      <c r="B725" s="15" t="s">
        <v>60</v>
      </c>
      <c r="C725" s="15">
        <v>27</v>
      </c>
    </row>
    <row r="726" spans="1:3" x14ac:dyDescent="0.55000000000000004">
      <c r="A726" s="45" t="s">
        <v>76</v>
      </c>
      <c r="B726" s="15" t="s">
        <v>60</v>
      </c>
      <c r="C726" s="15">
        <v>41</v>
      </c>
    </row>
    <row r="727" spans="1:3" x14ac:dyDescent="0.55000000000000004">
      <c r="A727" s="45" t="s">
        <v>105</v>
      </c>
      <c r="B727" s="15" t="s">
        <v>46</v>
      </c>
      <c r="C727" s="15">
        <v>57</v>
      </c>
    </row>
    <row r="728" spans="1:3" x14ac:dyDescent="0.55000000000000004">
      <c r="A728" s="45">
        <v>41617</v>
      </c>
      <c r="B728" s="15" t="s">
        <v>67</v>
      </c>
      <c r="C728" s="15">
        <v>43</v>
      </c>
    </row>
    <row r="729" spans="1:3" x14ac:dyDescent="0.55000000000000004">
      <c r="A729" s="45">
        <v>41315</v>
      </c>
      <c r="B729" s="15" t="s">
        <v>62</v>
      </c>
      <c r="C729" s="15">
        <v>29</v>
      </c>
    </row>
    <row r="730" spans="1:3" x14ac:dyDescent="0.55000000000000004">
      <c r="A730" s="45" t="s">
        <v>73</v>
      </c>
      <c r="B730" s="15" t="s">
        <v>52</v>
      </c>
      <c r="C730" s="15">
        <v>11</v>
      </c>
    </row>
    <row r="731" spans="1:3" x14ac:dyDescent="0.55000000000000004">
      <c r="A731" s="45" t="s">
        <v>123</v>
      </c>
      <c r="B731" s="15" t="s">
        <v>58</v>
      </c>
      <c r="C731" s="15">
        <v>36</v>
      </c>
    </row>
    <row r="732" spans="1:3" x14ac:dyDescent="0.55000000000000004">
      <c r="A732" s="45" t="s">
        <v>87</v>
      </c>
      <c r="B732" s="15" t="s">
        <v>67</v>
      </c>
      <c r="C732" s="15">
        <v>56</v>
      </c>
    </row>
    <row r="733" spans="1:3" x14ac:dyDescent="0.55000000000000004">
      <c r="A733" s="45" t="s">
        <v>102</v>
      </c>
      <c r="B733" s="15" t="s">
        <v>52</v>
      </c>
      <c r="C733" s="15">
        <v>52</v>
      </c>
    </row>
    <row r="734" spans="1:3" x14ac:dyDescent="0.55000000000000004">
      <c r="A734" s="45">
        <v>41374</v>
      </c>
      <c r="B734" s="15" t="s">
        <v>69</v>
      </c>
      <c r="C734" s="15">
        <v>45</v>
      </c>
    </row>
    <row r="735" spans="1:3" x14ac:dyDescent="0.55000000000000004">
      <c r="A735" s="45">
        <v>41556</v>
      </c>
      <c r="B735" s="15" t="s">
        <v>69</v>
      </c>
      <c r="C735" s="15">
        <v>12</v>
      </c>
    </row>
    <row r="736" spans="1:3" x14ac:dyDescent="0.55000000000000004">
      <c r="A736" s="45" t="s">
        <v>162</v>
      </c>
      <c r="B736" s="15" t="s">
        <v>49</v>
      </c>
      <c r="C736" s="15">
        <v>38</v>
      </c>
    </row>
    <row r="737" spans="1:3" x14ac:dyDescent="0.55000000000000004">
      <c r="A737" s="45">
        <v>41344</v>
      </c>
      <c r="B737" s="15" t="s">
        <v>50</v>
      </c>
      <c r="C737" s="15">
        <v>27</v>
      </c>
    </row>
    <row r="738" spans="1:3" x14ac:dyDescent="0.55000000000000004">
      <c r="A738" s="45">
        <v>41588</v>
      </c>
      <c r="B738" s="15" t="s">
        <v>63</v>
      </c>
      <c r="C738" s="15">
        <v>52</v>
      </c>
    </row>
    <row r="739" spans="1:3" x14ac:dyDescent="0.55000000000000004">
      <c r="A739" s="45" t="s">
        <v>135</v>
      </c>
      <c r="B739" s="15" t="s">
        <v>60</v>
      </c>
      <c r="C739" s="15">
        <v>31</v>
      </c>
    </row>
    <row r="740" spans="1:3" x14ac:dyDescent="0.55000000000000004">
      <c r="A740" s="45">
        <v>41283</v>
      </c>
      <c r="B740" s="15" t="s">
        <v>48</v>
      </c>
      <c r="C740" s="15">
        <v>59</v>
      </c>
    </row>
    <row r="741" spans="1:3" x14ac:dyDescent="0.55000000000000004">
      <c r="A741" s="45">
        <v>41671</v>
      </c>
      <c r="B741" s="15" t="s">
        <v>52</v>
      </c>
      <c r="C741" s="15">
        <v>32</v>
      </c>
    </row>
    <row r="742" spans="1:3" x14ac:dyDescent="0.55000000000000004">
      <c r="A742" s="45" t="s">
        <v>123</v>
      </c>
      <c r="B742" s="15" t="s">
        <v>69</v>
      </c>
      <c r="C742" s="15">
        <v>41</v>
      </c>
    </row>
    <row r="743" spans="1:3" x14ac:dyDescent="0.55000000000000004">
      <c r="A743" s="45" t="s">
        <v>77</v>
      </c>
      <c r="B743" s="15" t="s">
        <v>55</v>
      </c>
      <c r="C743" s="15">
        <v>26</v>
      </c>
    </row>
    <row r="744" spans="1:3" x14ac:dyDescent="0.55000000000000004">
      <c r="A744" s="45">
        <v>41434</v>
      </c>
      <c r="B744" s="15" t="s">
        <v>67</v>
      </c>
      <c r="C744" s="15">
        <v>14</v>
      </c>
    </row>
    <row r="745" spans="1:3" x14ac:dyDescent="0.55000000000000004">
      <c r="A745" s="45" t="s">
        <v>94</v>
      </c>
      <c r="B745" s="15" t="s">
        <v>63</v>
      </c>
      <c r="C745" s="15">
        <v>32</v>
      </c>
    </row>
    <row r="746" spans="1:3" x14ac:dyDescent="0.55000000000000004">
      <c r="A746" s="45" t="s">
        <v>100</v>
      </c>
      <c r="B746" s="15" t="s">
        <v>51</v>
      </c>
      <c r="C746" s="15">
        <v>53</v>
      </c>
    </row>
    <row r="747" spans="1:3" x14ac:dyDescent="0.55000000000000004">
      <c r="A747" s="45">
        <v>41730</v>
      </c>
      <c r="B747" s="15" t="s">
        <v>50</v>
      </c>
      <c r="C747" s="15">
        <v>22</v>
      </c>
    </row>
    <row r="748" spans="1:3" x14ac:dyDescent="0.55000000000000004">
      <c r="A748" s="45" t="s">
        <v>111</v>
      </c>
      <c r="B748" s="15" t="s">
        <v>56</v>
      </c>
      <c r="C748" s="15">
        <v>18</v>
      </c>
    </row>
    <row r="749" spans="1:3" x14ac:dyDescent="0.55000000000000004">
      <c r="A749" s="45" t="s">
        <v>151</v>
      </c>
      <c r="B749" s="15" t="s">
        <v>51</v>
      </c>
      <c r="C749" s="15">
        <v>30</v>
      </c>
    </row>
    <row r="750" spans="1:3" x14ac:dyDescent="0.55000000000000004">
      <c r="A750" s="45" t="s">
        <v>132</v>
      </c>
      <c r="B750" s="15" t="s">
        <v>63</v>
      </c>
      <c r="C750" s="15">
        <v>51</v>
      </c>
    </row>
    <row r="751" spans="1:3" x14ac:dyDescent="0.55000000000000004">
      <c r="A751" s="45">
        <v>41436</v>
      </c>
      <c r="B751" s="15" t="s">
        <v>67</v>
      </c>
      <c r="C751" s="15">
        <v>54</v>
      </c>
    </row>
    <row r="752" spans="1:3" x14ac:dyDescent="0.55000000000000004">
      <c r="A752" s="45">
        <v>41588</v>
      </c>
      <c r="B752" s="15" t="s">
        <v>45</v>
      </c>
      <c r="C752" s="15">
        <v>54</v>
      </c>
    </row>
    <row r="753" spans="1:3" x14ac:dyDescent="0.55000000000000004">
      <c r="A753" s="45">
        <v>41436</v>
      </c>
      <c r="B753" s="15" t="s">
        <v>59</v>
      </c>
      <c r="C753" s="15">
        <v>39</v>
      </c>
    </row>
    <row r="754" spans="1:3" x14ac:dyDescent="0.55000000000000004">
      <c r="A754" s="45">
        <v>41618</v>
      </c>
      <c r="B754" s="15" t="s">
        <v>55</v>
      </c>
      <c r="C754" s="15">
        <v>16</v>
      </c>
    </row>
    <row r="755" spans="1:3" x14ac:dyDescent="0.55000000000000004">
      <c r="A755" s="45" t="s">
        <v>165</v>
      </c>
      <c r="B755" s="15" t="s">
        <v>46</v>
      </c>
      <c r="C755" s="15">
        <v>54</v>
      </c>
    </row>
    <row r="756" spans="1:3" x14ac:dyDescent="0.55000000000000004">
      <c r="A756" s="45">
        <v>41557</v>
      </c>
      <c r="B756" s="15" t="s">
        <v>48</v>
      </c>
      <c r="C756" s="15">
        <v>36</v>
      </c>
    </row>
    <row r="757" spans="1:3" x14ac:dyDescent="0.55000000000000004">
      <c r="A757" s="45" t="s">
        <v>124</v>
      </c>
      <c r="B757" s="15" t="s">
        <v>45</v>
      </c>
      <c r="C757" s="15">
        <v>50</v>
      </c>
    </row>
    <row r="758" spans="1:3" x14ac:dyDescent="0.55000000000000004">
      <c r="A758" s="45">
        <v>41376</v>
      </c>
      <c r="B758" s="15" t="s">
        <v>58</v>
      </c>
      <c r="C758" s="15">
        <v>31</v>
      </c>
    </row>
    <row r="759" spans="1:3" x14ac:dyDescent="0.55000000000000004">
      <c r="A759" s="45" t="s">
        <v>94</v>
      </c>
      <c r="B759" s="15" t="s">
        <v>58</v>
      </c>
      <c r="C759" s="15">
        <v>19</v>
      </c>
    </row>
    <row r="760" spans="1:3" x14ac:dyDescent="0.55000000000000004">
      <c r="A760" s="45" t="s">
        <v>111</v>
      </c>
      <c r="B760" s="15" t="s">
        <v>48</v>
      </c>
      <c r="C760" s="15">
        <v>47</v>
      </c>
    </row>
    <row r="761" spans="1:3" x14ac:dyDescent="0.55000000000000004">
      <c r="A761" s="45" t="s">
        <v>92</v>
      </c>
      <c r="B761" s="15" t="s">
        <v>54</v>
      </c>
      <c r="C761" s="15">
        <v>59</v>
      </c>
    </row>
    <row r="762" spans="1:3" x14ac:dyDescent="0.55000000000000004">
      <c r="A762" s="45" t="s">
        <v>100</v>
      </c>
      <c r="B762" s="15" t="s">
        <v>62</v>
      </c>
      <c r="C762" s="15">
        <v>54</v>
      </c>
    </row>
    <row r="763" spans="1:3" x14ac:dyDescent="0.55000000000000004">
      <c r="A763" s="45" t="s">
        <v>85</v>
      </c>
      <c r="B763" s="15" t="s">
        <v>46</v>
      </c>
      <c r="C763" s="15">
        <v>21</v>
      </c>
    </row>
    <row r="764" spans="1:3" x14ac:dyDescent="0.55000000000000004">
      <c r="A764" s="45" t="s">
        <v>98</v>
      </c>
      <c r="B764" s="15" t="s">
        <v>49</v>
      </c>
      <c r="C764" s="15">
        <v>26</v>
      </c>
    </row>
    <row r="765" spans="1:3" x14ac:dyDescent="0.55000000000000004">
      <c r="A765" s="45">
        <v>41464</v>
      </c>
      <c r="B765" s="15" t="s">
        <v>49</v>
      </c>
      <c r="C765" s="15">
        <v>49</v>
      </c>
    </row>
    <row r="766" spans="1:3" x14ac:dyDescent="0.55000000000000004">
      <c r="A766" s="45" t="s">
        <v>97</v>
      </c>
      <c r="B766" s="15" t="s">
        <v>51</v>
      </c>
      <c r="C766" s="15">
        <v>55</v>
      </c>
    </row>
    <row r="767" spans="1:3" x14ac:dyDescent="0.55000000000000004">
      <c r="A767" s="45" t="s">
        <v>117</v>
      </c>
      <c r="B767" s="15" t="s">
        <v>56</v>
      </c>
      <c r="C767" s="15">
        <v>10</v>
      </c>
    </row>
    <row r="768" spans="1:3" x14ac:dyDescent="0.55000000000000004">
      <c r="A768" s="45">
        <v>41640</v>
      </c>
      <c r="B768" s="15" t="s">
        <v>51</v>
      </c>
      <c r="C768" s="15">
        <v>36</v>
      </c>
    </row>
    <row r="769" spans="1:3" x14ac:dyDescent="0.55000000000000004">
      <c r="A769" s="45">
        <v>41529</v>
      </c>
      <c r="B769" s="15" t="s">
        <v>53</v>
      </c>
      <c r="C769" s="15">
        <v>32</v>
      </c>
    </row>
    <row r="770" spans="1:3" x14ac:dyDescent="0.55000000000000004">
      <c r="A770" s="45" t="s">
        <v>71</v>
      </c>
      <c r="B770" s="15" t="s">
        <v>58</v>
      </c>
      <c r="C770" s="15">
        <v>18</v>
      </c>
    </row>
    <row r="771" spans="1:3" x14ac:dyDescent="0.55000000000000004">
      <c r="A771" s="45" t="s">
        <v>152</v>
      </c>
      <c r="B771" s="15" t="s">
        <v>61</v>
      </c>
      <c r="C771" s="15">
        <v>21</v>
      </c>
    </row>
    <row r="772" spans="1:3" x14ac:dyDescent="0.55000000000000004">
      <c r="A772" s="45" t="s">
        <v>119</v>
      </c>
      <c r="B772" s="15" t="s">
        <v>50</v>
      </c>
      <c r="C772" s="15">
        <v>53</v>
      </c>
    </row>
    <row r="773" spans="1:3" x14ac:dyDescent="0.55000000000000004">
      <c r="A773" s="45" t="s">
        <v>106</v>
      </c>
      <c r="B773" s="15" t="s">
        <v>67</v>
      </c>
      <c r="C773" s="15">
        <v>56</v>
      </c>
    </row>
    <row r="774" spans="1:3" x14ac:dyDescent="0.55000000000000004">
      <c r="A774" s="45" t="s">
        <v>80</v>
      </c>
      <c r="B774" s="15" t="s">
        <v>48</v>
      </c>
      <c r="C774" s="15">
        <v>38</v>
      </c>
    </row>
    <row r="775" spans="1:3" x14ac:dyDescent="0.55000000000000004">
      <c r="A775" s="45" t="s">
        <v>148</v>
      </c>
      <c r="B775" s="15" t="s">
        <v>45</v>
      </c>
      <c r="C775" s="15">
        <v>25</v>
      </c>
    </row>
    <row r="776" spans="1:3" x14ac:dyDescent="0.55000000000000004">
      <c r="A776" s="45">
        <v>41528</v>
      </c>
      <c r="B776" s="15" t="s">
        <v>59</v>
      </c>
      <c r="C776" s="15">
        <v>13</v>
      </c>
    </row>
    <row r="777" spans="1:3" x14ac:dyDescent="0.55000000000000004">
      <c r="A777" s="45" t="s">
        <v>165</v>
      </c>
      <c r="B777" s="15" t="s">
        <v>45</v>
      </c>
      <c r="C777" s="15">
        <v>38</v>
      </c>
    </row>
    <row r="778" spans="1:3" x14ac:dyDescent="0.55000000000000004">
      <c r="A778" s="45" t="s">
        <v>111</v>
      </c>
      <c r="B778" s="15" t="s">
        <v>49</v>
      </c>
      <c r="C778" s="15">
        <v>34</v>
      </c>
    </row>
    <row r="779" spans="1:3" x14ac:dyDescent="0.55000000000000004">
      <c r="A779" s="45">
        <v>41343</v>
      </c>
      <c r="B779" s="15" t="s">
        <v>47</v>
      </c>
      <c r="C779" s="15">
        <v>12</v>
      </c>
    </row>
    <row r="780" spans="1:3" x14ac:dyDescent="0.55000000000000004">
      <c r="A780" s="45" t="s">
        <v>159</v>
      </c>
      <c r="B780" s="15" t="s">
        <v>58</v>
      </c>
      <c r="C780" s="15">
        <v>35</v>
      </c>
    </row>
    <row r="781" spans="1:3" x14ac:dyDescent="0.55000000000000004">
      <c r="A781" s="45" t="s">
        <v>141</v>
      </c>
      <c r="B781" s="15" t="s">
        <v>66</v>
      </c>
      <c r="C781" s="15">
        <v>30</v>
      </c>
    </row>
    <row r="782" spans="1:3" x14ac:dyDescent="0.55000000000000004">
      <c r="A782" s="45" t="s">
        <v>146</v>
      </c>
      <c r="B782" s="15" t="s">
        <v>54</v>
      </c>
      <c r="C782" s="15">
        <v>43</v>
      </c>
    </row>
    <row r="783" spans="1:3" x14ac:dyDescent="0.55000000000000004">
      <c r="A783" s="45">
        <v>41527</v>
      </c>
      <c r="B783" s="15" t="s">
        <v>61</v>
      </c>
      <c r="C783" s="15">
        <v>36</v>
      </c>
    </row>
    <row r="784" spans="1:3" x14ac:dyDescent="0.55000000000000004">
      <c r="A784" s="45" t="s">
        <v>80</v>
      </c>
      <c r="B784" s="15" t="s">
        <v>69</v>
      </c>
      <c r="C784" s="15">
        <v>15</v>
      </c>
    </row>
    <row r="785" spans="1:3" x14ac:dyDescent="0.55000000000000004">
      <c r="A785" s="45">
        <v>41437</v>
      </c>
      <c r="B785" s="15" t="s">
        <v>64</v>
      </c>
      <c r="C785" s="15">
        <v>16</v>
      </c>
    </row>
    <row r="786" spans="1:3" x14ac:dyDescent="0.55000000000000004">
      <c r="A786" s="45" t="s">
        <v>128</v>
      </c>
      <c r="B786" s="15" t="s">
        <v>65</v>
      </c>
      <c r="C786" s="15">
        <v>39</v>
      </c>
    </row>
    <row r="787" spans="1:3" x14ac:dyDescent="0.55000000000000004">
      <c r="A787" s="45" t="s">
        <v>92</v>
      </c>
      <c r="B787" s="15" t="s">
        <v>64</v>
      </c>
      <c r="C787" s="15">
        <v>28</v>
      </c>
    </row>
    <row r="788" spans="1:3" x14ac:dyDescent="0.55000000000000004">
      <c r="A788" s="45" t="s">
        <v>108</v>
      </c>
      <c r="B788" s="15" t="s">
        <v>66</v>
      </c>
      <c r="C788" s="15">
        <v>45</v>
      </c>
    </row>
    <row r="789" spans="1:3" x14ac:dyDescent="0.55000000000000004">
      <c r="A789" s="45">
        <v>41526</v>
      </c>
      <c r="B789" s="15" t="s">
        <v>53</v>
      </c>
      <c r="C789" s="15">
        <v>51</v>
      </c>
    </row>
    <row r="790" spans="1:3" x14ac:dyDescent="0.55000000000000004">
      <c r="A790" s="45">
        <v>41405</v>
      </c>
      <c r="B790" s="15" t="s">
        <v>49</v>
      </c>
      <c r="C790" s="15">
        <v>50</v>
      </c>
    </row>
    <row r="791" spans="1:3" x14ac:dyDescent="0.55000000000000004">
      <c r="A791" s="45">
        <v>41913</v>
      </c>
      <c r="B791" s="15" t="s">
        <v>61</v>
      </c>
      <c r="C791" s="15">
        <v>50</v>
      </c>
    </row>
    <row r="792" spans="1:3" x14ac:dyDescent="0.55000000000000004">
      <c r="A792" s="45">
        <v>41436</v>
      </c>
      <c r="B792" s="15" t="s">
        <v>48</v>
      </c>
      <c r="C792" s="15">
        <v>14</v>
      </c>
    </row>
    <row r="793" spans="1:3" x14ac:dyDescent="0.55000000000000004">
      <c r="A793" s="45" t="s">
        <v>132</v>
      </c>
      <c r="B793" s="15" t="s">
        <v>68</v>
      </c>
      <c r="C793" s="15">
        <v>49</v>
      </c>
    </row>
    <row r="794" spans="1:3" x14ac:dyDescent="0.55000000000000004">
      <c r="A794" s="45">
        <v>41464</v>
      </c>
      <c r="B794" s="15" t="s">
        <v>55</v>
      </c>
      <c r="C794" s="15">
        <v>23</v>
      </c>
    </row>
    <row r="795" spans="1:3" x14ac:dyDescent="0.55000000000000004">
      <c r="A795" s="45">
        <v>41730</v>
      </c>
      <c r="B795" s="15" t="s">
        <v>48</v>
      </c>
      <c r="C795" s="15">
        <v>35</v>
      </c>
    </row>
    <row r="796" spans="1:3" x14ac:dyDescent="0.55000000000000004">
      <c r="A796" s="45" t="s">
        <v>97</v>
      </c>
      <c r="B796" s="15" t="s">
        <v>54</v>
      </c>
      <c r="C796" s="15">
        <v>42</v>
      </c>
    </row>
    <row r="797" spans="1:3" x14ac:dyDescent="0.55000000000000004">
      <c r="A797" s="45" t="s">
        <v>96</v>
      </c>
      <c r="B797" s="15" t="s">
        <v>63</v>
      </c>
      <c r="C797" s="15">
        <v>58</v>
      </c>
    </row>
    <row r="798" spans="1:3" x14ac:dyDescent="0.55000000000000004">
      <c r="A798" s="45">
        <v>41730</v>
      </c>
      <c r="B798" s="15" t="s">
        <v>50</v>
      </c>
      <c r="C798" s="15">
        <v>18</v>
      </c>
    </row>
    <row r="799" spans="1:3" x14ac:dyDescent="0.55000000000000004">
      <c r="A799" s="45" t="s">
        <v>101</v>
      </c>
      <c r="B799" s="15" t="s">
        <v>48</v>
      </c>
      <c r="C799" s="15">
        <v>46</v>
      </c>
    </row>
    <row r="800" spans="1:3" x14ac:dyDescent="0.55000000000000004">
      <c r="A800" s="45" t="s">
        <v>143</v>
      </c>
      <c r="B800" s="15" t="s">
        <v>60</v>
      </c>
      <c r="C800" s="15">
        <v>25</v>
      </c>
    </row>
    <row r="801" spans="1:3" x14ac:dyDescent="0.55000000000000004">
      <c r="A801" s="45" t="s">
        <v>119</v>
      </c>
      <c r="B801" s="15" t="s">
        <v>46</v>
      </c>
      <c r="C801" s="15">
        <v>15</v>
      </c>
    </row>
    <row r="802" spans="1:3" x14ac:dyDescent="0.55000000000000004">
      <c r="A802" s="45" t="s">
        <v>140</v>
      </c>
      <c r="B802" s="15" t="s">
        <v>64</v>
      </c>
      <c r="C802" s="15">
        <v>52</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0000FF"/>
  </sheetPr>
  <dimension ref="A2:J18"/>
  <sheetViews>
    <sheetView zoomScaleNormal="100" workbookViewId="0">
      <selection activeCell="F15" sqref="F15"/>
    </sheetView>
  </sheetViews>
  <sheetFormatPr defaultRowHeight="14.4" x14ac:dyDescent="0.55000000000000004"/>
  <cols>
    <col min="2" max="2" width="13.41796875" customWidth="1"/>
    <col min="3" max="3" width="55" customWidth="1"/>
    <col min="4" max="4" width="17" customWidth="1"/>
    <col min="5" max="5" width="16.68359375" customWidth="1"/>
    <col min="8" max="10" width="9.83984375" customWidth="1"/>
  </cols>
  <sheetData>
    <row r="2" spans="2:10" x14ac:dyDescent="0.55000000000000004">
      <c r="B2" s="17" t="s">
        <v>166</v>
      </c>
      <c r="C2" s="17" t="s">
        <v>167</v>
      </c>
      <c r="D2" s="17" t="s">
        <v>168</v>
      </c>
      <c r="E2" s="17"/>
      <c r="G2" s="15"/>
      <c r="H2" s="17" t="s">
        <v>169</v>
      </c>
      <c r="I2" s="17" t="s">
        <v>170</v>
      </c>
      <c r="J2" s="17" t="s">
        <v>171</v>
      </c>
    </row>
    <row r="3" spans="2:10" x14ac:dyDescent="0.55000000000000004">
      <c r="B3" s="3" t="e">
        <v>#DIV/0!</v>
      </c>
      <c r="C3" s="4" t="s">
        <v>8</v>
      </c>
      <c r="D3" s="14" t="e">
        <f>100/0</f>
        <v>#DIV/0!</v>
      </c>
      <c r="E3" s="14" t="e">
        <f>100/INDEX(H3:J7,MATCH("P3",G3:G7,0),MATCH("Mar",H2:J2,0))</f>
        <v>#DIV/0!</v>
      </c>
      <c r="G3" s="17" t="s">
        <v>172</v>
      </c>
      <c r="H3" s="15">
        <v>103</v>
      </c>
      <c r="I3" s="15">
        <v>62</v>
      </c>
      <c r="J3" s="15">
        <v>80</v>
      </c>
    </row>
    <row r="4" spans="2:10" ht="25.5" x14ac:dyDescent="0.55000000000000004">
      <c r="B4" s="3" t="e">
        <v>#REF!</v>
      </c>
      <c r="C4" s="4" t="s">
        <v>9</v>
      </c>
      <c r="D4" s="14">
        <f>A18</f>
        <v>16</v>
      </c>
      <c r="E4" s="14">
        <f>A1</f>
        <v>0</v>
      </c>
      <c r="G4" s="17" t="s">
        <v>173</v>
      </c>
      <c r="H4" s="15">
        <v>118</v>
      </c>
      <c r="I4" s="15">
        <v>93</v>
      </c>
      <c r="J4" s="15">
        <v>75</v>
      </c>
    </row>
    <row r="5" spans="2:10" ht="25.5" x14ac:dyDescent="0.55000000000000004">
      <c r="B5" s="3" t="e">
        <v>#NAME?</v>
      </c>
      <c r="C5" s="4" t="s">
        <v>10</v>
      </c>
      <c r="D5" s="14" t="e">
        <f ca="1">aveage(H3:H7)</f>
        <v>#NAME?</v>
      </c>
      <c r="E5" s="14" t="e">
        <f>INDEX(H3:J7,0,MATCH(Jan,H2:J2,0))</f>
        <v>#NAME?</v>
      </c>
      <c r="G5" s="17" t="s">
        <v>174</v>
      </c>
      <c r="H5" s="15">
        <v>111</v>
      </c>
      <c r="I5" s="15">
        <v>102</v>
      </c>
      <c r="J5" s="15"/>
    </row>
    <row r="6" spans="2:10" x14ac:dyDescent="0.55000000000000004">
      <c r="B6" s="3" t="e">
        <v>#N/A</v>
      </c>
      <c r="C6" s="4" t="s">
        <v>11</v>
      </c>
      <c r="D6" s="14" t="e">
        <f>VLOOKUP("P7",G3:J7,2,0)</f>
        <v>#N/A</v>
      </c>
      <c r="E6" s="14" t="e">
        <f>MATCH("P1 ",G3:G7,0)</f>
        <v>#N/A</v>
      </c>
      <c r="G6" s="17" t="s">
        <v>175</v>
      </c>
      <c r="H6" s="15">
        <v>34</v>
      </c>
      <c r="I6" s="15">
        <v>57</v>
      </c>
      <c r="J6" s="15">
        <v>35</v>
      </c>
    </row>
    <row r="7" spans="2:10" ht="25.5" x14ac:dyDescent="0.55000000000000004">
      <c r="B7" s="3" t="e">
        <v>#VALUE!</v>
      </c>
      <c r="C7" s="4" t="s">
        <v>12</v>
      </c>
      <c r="D7" s="14" t="e">
        <f>"Red"^2</f>
        <v>#VALUE!</v>
      </c>
      <c r="E7" s="14" t="e">
        <f>MATCH("P1",G3:G7,"Red")</f>
        <v>#VALUE!</v>
      </c>
      <c r="G7" s="17" t="s">
        <v>176</v>
      </c>
      <c r="H7" s="15">
        <v>51</v>
      </c>
      <c r="I7" s="15">
        <v>88</v>
      </c>
      <c r="J7" s="15">
        <v>65</v>
      </c>
    </row>
    <row r="8" spans="2:10" x14ac:dyDescent="0.55000000000000004">
      <c r="B8" s="4" t="e">
        <v>#NULL!</v>
      </c>
      <c r="C8" s="4" t="s">
        <v>13</v>
      </c>
      <c r="D8" s="14">
        <f>H5:J5 I3:I7</f>
        <v>102</v>
      </c>
      <c r="E8" s="14" t="e">
        <f>H3:H7 J3:J7</f>
        <v>#NULL!</v>
      </c>
    </row>
    <row r="9" spans="2:10" ht="37.799999999999997" x14ac:dyDescent="0.55000000000000004">
      <c r="B9" s="3" t="e">
        <v>#NUM!</v>
      </c>
      <c r="C9" s="4" t="s">
        <v>14</v>
      </c>
      <c r="D9" s="14" t="e">
        <f>9E+99^3000</f>
        <v>#NUM!</v>
      </c>
      <c r="E9" s="14" t="e">
        <f>-9E+99^3000</f>
        <v>#NUM!</v>
      </c>
      <c r="G9" s="17" t="s">
        <v>177</v>
      </c>
      <c r="H9" s="17" t="s">
        <v>178</v>
      </c>
      <c r="J9" s="17" t="s">
        <v>169</v>
      </c>
    </row>
    <row r="10" spans="2:10" ht="25.5" x14ac:dyDescent="0.55000000000000004">
      <c r="B10" s="3" t="s">
        <v>16</v>
      </c>
      <c r="C10" s="4" t="s">
        <v>17</v>
      </c>
      <c r="D10" s="21">
        <f t="shared" ref="D10" si="0">100000000</f>
        <v>100000000</v>
      </c>
      <c r="E10" s="22">
        <f>H10-G10</f>
        <v>-0.125</v>
      </c>
      <c r="G10" s="23">
        <v>0.875</v>
      </c>
      <c r="H10" s="23">
        <v>0.75</v>
      </c>
      <c r="J10" s="15">
        <v>3</v>
      </c>
    </row>
    <row r="11" spans="2:10" ht="25.5" x14ac:dyDescent="0.55000000000000004">
      <c r="B11" s="4" t="s">
        <v>18</v>
      </c>
      <c r="C11" s="4" t="s">
        <v>19</v>
      </c>
      <c r="D11" s="14" t="s">
        <v>179</v>
      </c>
      <c r="E11" s="14">
        <f>ROWS(E$11:E11)</f>
        <v>1</v>
      </c>
      <c r="J11" s="15">
        <v>4</v>
      </c>
    </row>
    <row r="12" spans="2:10" x14ac:dyDescent="0.55000000000000004">
      <c r="J12" s="15">
        <v>5</v>
      </c>
    </row>
    <row r="13" spans="2:10" x14ac:dyDescent="0.55000000000000004">
      <c r="I13" s="17" t="s">
        <v>37</v>
      </c>
      <c r="J13" s="15"/>
    </row>
    <row r="14" spans="2:10" x14ac:dyDescent="0.55000000000000004">
      <c r="C14" s="46"/>
    </row>
    <row r="15" spans="2:10" x14ac:dyDescent="0.55000000000000004">
      <c r="C15" s="43"/>
    </row>
    <row r="17" spans="1:1" x14ac:dyDescent="0.55000000000000004">
      <c r="A17" s="8" t="s">
        <v>180</v>
      </c>
    </row>
    <row r="18" spans="1:1" x14ac:dyDescent="0.55000000000000004">
      <c r="A18" s="15">
        <v>16</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B15"/>
  <sheetViews>
    <sheetView zoomScale="80" zoomScaleNormal="80" workbookViewId="0">
      <selection activeCell="F12" sqref="F12"/>
    </sheetView>
  </sheetViews>
  <sheetFormatPr defaultRowHeight="14.4" x14ac:dyDescent="0.55000000000000004"/>
  <cols>
    <col min="1" max="1" width="25.68359375" customWidth="1"/>
    <col min="2" max="2" width="86.578125" customWidth="1"/>
  </cols>
  <sheetData>
    <row r="1" spans="1:2" x14ac:dyDescent="0.55000000000000004">
      <c r="A1" s="1" t="s">
        <v>0</v>
      </c>
      <c r="B1" s="1" t="s">
        <v>1</v>
      </c>
    </row>
    <row r="2" spans="1:2" x14ac:dyDescent="0.55000000000000004">
      <c r="A2" s="2" t="s">
        <v>2</v>
      </c>
      <c r="B2" s="2"/>
    </row>
    <row r="3" spans="1:2" ht="62.4" x14ac:dyDescent="0.55000000000000004">
      <c r="A3" s="3" t="s">
        <v>3</v>
      </c>
      <c r="B3" s="4" t="s">
        <v>4</v>
      </c>
    </row>
    <row r="4" spans="1:2" ht="25.5" x14ac:dyDescent="0.55000000000000004">
      <c r="A4" s="4" t="s">
        <v>5</v>
      </c>
      <c r="B4" s="4" t="s">
        <v>6</v>
      </c>
    </row>
    <row r="5" spans="1:2" x14ac:dyDescent="0.55000000000000004">
      <c r="A5" s="2" t="s">
        <v>7</v>
      </c>
      <c r="B5" s="2"/>
    </row>
    <row r="6" spans="1:2" x14ac:dyDescent="0.55000000000000004">
      <c r="A6" s="5" t="e">
        <v>#DIV/0!</v>
      </c>
      <c r="B6" s="6" t="s">
        <v>8</v>
      </c>
    </row>
    <row r="7" spans="1:2" x14ac:dyDescent="0.55000000000000004">
      <c r="A7" s="3" t="e">
        <v>#REF!</v>
      </c>
      <c r="B7" s="4" t="s">
        <v>9</v>
      </c>
    </row>
    <row r="8" spans="1:2" ht="25.5" x14ac:dyDescent="0.55000000000000004">
      <c r="A8" s="3" t="e">
        <v>#NAME?</v>
      </c>
      <c r="B8" s="4" t="s">
        <v>10</v>
      </c>
    </row>
    <row r="9" spans="1:2" x14ac:dyDescent="0.55000000000000004">
      <c r="A9" s="3" t="e">
        <v>#N/A</v>
      </c>
      <c r="B9" s="4" t="s">
        <v>11</v>
      </c>
    </row>
    <row r="10" spans="1:2" ht="25.5" x14ac:dyDescent="0.55000000000000004">
      <c r="A10" s="3" t="e">
        <v>#VALUE!</v>
      </c>
      <c r="B10" s="4" t="s">
        <v>12</v>
      </c>
    </row>
    <row r="11" spans="1:2" x14ac:dyDescent="0.55000000000000004">
      <c r="A11" s="4" t="e">
        <v>#NULL!</v>
      </c>
      <c r="B11" s="4" t="s">
        <v>13</v>
      </c>
    </row>
    <row r="12" spans="1:2" ht="25.5" x14ac:dyDescent="0.55000000000000004">
      <c r="A12" s="3" t="e">
        <v>#NUM!</v>
      </c>
      <c r="B12" s="4" t="s">
        <v>14</v>
      </c>
    </row>
    <row r="13" spans="1:2" x14ac:dyDescent="0.55000000000000004">
      <c r="A13" s="2" t="s">
        <v>15</v>
      </c>
      <c r="B13" s="2"/>
    </row>
    <row r="14" spans="1:2" x14ac:dyDescent="0.55000000000000004">
      <c r="A14" s="3" t="s">
        <v>16</v>
      </c>
      <c r="B14" s="4" t="s">
        <v>17</v>
      </c>
    </row>
    <row r="15" spans="1:2" x14ac:dyDescent="0.55000000000000004">
      <c r="A15" s="4" t="s">
        <v>18</v>
      </c>
      <c r="B15" s="4" t="s">
        <v>19</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1"/>
  <dimension ref="A1:M28"/>
  <sheetViews>
    <sheetView workbookViewId="0">
      <selection activeCell="L4" sqref="L4"/>
    </sheetView>
  </sheetViews>
  <sheetFormatPr defaultRowHeight="14.4" x14ac:dyDescent="0.55000000000000004"/>
  <cols>
    <col min="1" max="1" width="28.62890625" customWidth="1"/>
    <col min="2" max="2" width="14.89453125" customWidth="1"/>
  </cols>
  <sheetData>
    <row r="1" spans="1:13" x14ac:dyDescent="0.55000000000000004">
      <c r="A1" s="25" t="s">
        <v>181</v>
      </c>
    </row>
    <row r="3" spans="1:13" ht="22.8" x14ac:dyDescent="0.55000000000000004">
      <c r="A3" s="27" t="s">
        <v>256</v>
      </c>
      <c r="B3" s="27" t="s">
        <v>257</v>
      </c>
      <c r="C3" s="28" t="s">
        <v>258</v>
      </c>
      <c r="D3" s="28" t="s">
        <v>259</v>
      </c>
      <c r="E3" s="29" t="s">
        <v>260</v>
      </c>
      <c r="F3" s="28" t="s">
        <v>261</v>
      </c>
      <c r="G3" s="28" t="s">
        <v>262</v>
      </c>
      <c r="H3" s="28" t="s">
        <v>263</v>
      </c>
      <c r="I3" s="28" t="s">
        <v>264</v>
      </c>
      <c r="J3" s="28" t="s">
        <v>265</v>
      </c>
    </row>
    <row r="4" spans="1:13" ht="22.8" x14ac:dyDescent="0.55000000000000004">
      <c r="A4" s="30" t="s">
        <v>266</v>
      </c>
      <c r="B4" s="31" t="s">
        <v>182</v>
      </c>
      <c r="C4" s="32">
        <v>1.9</v>
      </c>
      <c r="D4" s="33">
        <v>0.38</v>
      </c>
      <c r="E4" s="34">
        <v>0.25</v>
      </c>
      <c r="F4" s="35">
        <v>0</v>
      </c>
      <c r="G4" s="36">
        <v>267763</v>
      </c>
      <c r="H4" s="35" t="s">
        <v>183</v>
      </c>
      <c r="I4" s="35" t="s">
        <v>184</v>
      </c>
      <c r="J4" s="35"/>
      <c r="M4" s="26" t="s">
        <v>321</v>
      </c>
    </row>
    <row r="5" spans="1:13" ht="22.8" x14ac:dyDescent="0.55000000000000004">
      <c r="A5" s="30" t="s">
        <v>185</v>
      </c>
      <c r="B5" s="37" t="s">
        <v>182</v>
      </c>
      <c r="C5" s="38">
        <v>1.93</v>
      </c>
      <c r="D5" s="39">
        <v>0.33</v>
      </c>
      <c r="E5" s="40">
        <v>0.21</v>
      </c>
      <c r="F5" s="41">
        <v>0</v>
      </c>
      <c r="G5" s="42">
        <v>27640</v>
      </c>
      <c r="H5" s="41" t="s">
        <v>186</v>
      </c>
      <c r="I5" s="41" t="s">
        <v>184</v>
      </c>
      <c r="J5" s="41"/>
      <c r="M5" s="26" t="s">
        <v>322</v>
      </c>
    </row>
    <row r="6" spans="1:13" ht="34.200000000000003" x14ac:dyDescent="0.55000000000000004">
      <c r="A6" s="30" t="s">
        <v>187</v>
      </c>
      <c r="B6" s="31" t="s">
        <v>188</v>
      </c>
      <c r="C6" s="32">
        <v>104.06</v>
      </c>
      <c r="D6" s="33">
        <v>17.68</v>
      </c>
      <c r="E6" s="34">
        <v>0.20469999999999999</v>
      </c>
      <c r="F6" s="35" t="s">
        <v>189</v>
      </c>
      <c r="G6" s="36">
        <v>668144</v>
      </c>
      <c r="H6" s="35" t="s">
        <v>190</v>
      </c>
      <c r="I6" s="35">
        <v>144.33000000000001</v>
      </c>
      <c r="J6" s="35"/>
      <c r="M6" s="26" t="s">
        <v>323</v>
      </c>
    </row>
    <row r="7" spans="1:13" ht="45.6" x14ac:dyDescent="0.55000000000000004">
      <c r="A7" s="30" t="s">
        <v>191</v>
      </c>
      <c r="B7" s="37" t="s">
        <v>192</v>
      </c>
      <c r="C7" s="38">
        <v>22.03</v>
      </c>
      <c r="D7" s="39">
        <v>2.67</v>
      </c>
      <c r="E7" s="40">
        <v>0.13789999999999999</v>
      </c>
      <c r="F7" s="41" t="s">
        <v>193</v>
      </c>
      <c r="G7" s="42">
        <v>650503</v>
      </c>
      <c r="H7" s="41" t="s">
        <v>194</v>
      </c>
      <c r="I7" s="41">
        <v>11.49</v>
      </c>
      <c r="J7" s="41"/>
    </row>
    <row r="8" spans="1:13" ht="22.8" x14ac:dyDescent="0.55000000000000004">
      <c r="A8" s="30" t="s">
        <v>195</v>
      </c>
      <c r="B8" s="31" t="s">
        <v>196</v>
      </c>
      <c r="C8" s="32">
        <v>48.87</v>
      </c>
      <c r="D8" s="33">
        <v>5.81</v>
      </c>
      <c r="E8" s="34">
        <v>0.13489999999999999</v>
      </c>
      <c r="F8" s="35" t="s">
        <v>197</v>
      </c>
      <c r="G8" s="36">
        <v>501506</v>
      </c>
      <c r="H8" s="35" t="s">
        <v>198</v>
      </c>
      <c r="I8" s="35" t="s">
        <v>184</v>
      </c>
      <c r="J8" s="35"/>
    </row>
    <row r="9" spans="1:13" ht="34.200000000000003" x14ac:dyDescent="0.55000000000000004">
      <c r="A9" s="30" t="s">
        <v>199</v>
      </c>
      <c r="B9" s="37" t="s">
        <v>200</v>
      </c>
      <c r="C9" s="38">
        <v>133.97999999999999</v>
      </c>
      <c r="D9" s="39">
        <v>15.84</v>
      </c>
      <c r="E9" s="40">
        <v>0.1341</v>
      </c>
      <c r="F9" s="41" t="s">
        <v>201</v>
      </c>
      <c r="G9" s="42">
        <v>296434</v>
      </c>
      <c r="H9" s="41" t="s">
        <v>202</v>
      </c>
      <c r="I9" s="41" t="s">
        <v>184</v>
      </c>
      <c r="J9" s="41"/>
    </row>
    <row r="10" spans="1:13" ht="22.8" x14ac:dyDescent="0.55000000000000004">
      <c r="A10" s="30" t="s">
        <v>203</v>
      </c>
      <c r="B10" s="31" t="s">
        <v>204</v>
      </c>
      <c r="C10" s="32">
        <v>107.87</v>
      </c>
      <c r="D10" s="33">
        <v>10.87</v>
      </c>
      <c r="E10" s="34">
        <v>0.11210000000000001</v>
      </c>
      <c r="F10" s="35" t="s">
        <v>205</v>
      </c>
      <c r="G10" s="36">
        <v>233736</v>
      </c>
      <c r="H10" s="35" t="s">
        <v>206</v>
      </c>
      <c r="I10" s="35">
        <v>27.17</v>
      </c>
      <c r="J10" s="35"/>
    </row>
    <row r="11" spans="1:13" ht="34.200000000000003" x14ac:dyDescent="0.55000000000000004">
      <c r="A11" s="30" t="s">
        <v>207</v>
      </c>
      <c r="B11" s="37" t="s">
        <v>208</v>
      </c>
      <c r="C11" s="38">
        <v>18.84</v>
      </c>
      <c r="D11" s="39">
        <v>1.75</v>
      </c>
      <c r="E11" s="40">
        <v>0.1024</v>
      </c>
      <c r="F11" s="41">
        <v>0</v>
      </c>
      <c r="G11" s="41">
        <v>121</v>
      </c>
      <c r="H11" s="41" t="s">
        <v>209</v>
      </c>
      <c r="I11" s="41" t="s">
        <v>184</v>
      </c>
      <c r="J11" s="41"/>
    </row>
    <row r="12" spans="1:13" ht="22.8" x14ac:dyDescent="0.55000000000000004">
      <c r="A12" s="30" t="s">
        <v>210</v>
      </c>
      <c r="B12" s="31" t="s">
        <v>211</v>
      </c>
      <c r="C12" s="32">
        <v>39.979999999999997</v>
      </c>
      <c r="D12" s="33">
        <v>3.4</v>
      </c>
      <c r="E12" s="34">
        <v>9.2899999999999996E-2</v>
      </c>
      <c r="F12" s="35" t="s">
        <v>212</v>
      </c>
      <c r="G12" s="35" t="s">
        <v>213</v>
      </c>
      <c r="H12" s="35" t="s">
        <v>214</v>
      </c>
      <c r="I12" s="35">
        <v>41.86</v>
      </c>
      <c r="J12" s="35"/>
    </row>
    <row r="13" spans="1:13" ht="22.8" x14ac:dyDescent="0.55000000000000004">
      <c r="A13" s="30" t="s">
        <v>215</v>
      </c>
      <c r="B13" s="37" t="s">
        <v>216</v>
      </c>
      <c r="C13" s="38">
        <v>1.41</v>
      </c>
      <c r="D13" s="39">
        <v>0.11</v>
      </c>
      <c r="E13" s="40">
        <v>8.8599999999999998E-2</v>
      </c>
      <c r="F13" s="41">
        <v>0</v>
      </c>
      <c r="G13" s="42">
        <v>45337</v>
      </c>
      <c r="H13" s="41" t="s">
        <v>217</v>
      </c>
      <c r="I13" s="41">
        <v>21.36</v>
      </c>
      <c r="J13" s="41"/>
    </row>
    <row r="14" spans="1:13" ht="34.200000000000003" x14ac:dyDescent="0.55000000000000004">
      <c r="A14" s="30" t="s">
        <v>218</v>
      </c>
      <c r="B14" s="31" t="s">
        <v>219</v>
      </c>
      <c r="C14" s="32">
        <v>16.91</v>
      </c>
      <c r="D14" s="33">
        <v>1.36</v>
      </c>
      <c r="E14" s="34">
        <v>8.7499999999999994E-2</v>
      </c>
      <c r="F14" s="35" t="s">
        <v>220</v>
      </c>
      <c r="G14" s="35" t="s">
        <v>221</v>
      </c>
      <c r="H14" s="35" t="s">
        <v>222</v>
      </c>
      <c r="I14" s="35">
        <v>21.24</v>
      </c>
      <c r="J14" s="35"/>
    </row>
    <row r="15" spans="1:13" ht="34.200000000000003" x14ac:dyDescent="0.55000000000000004">
      <c r="A15" s="30" t="s">
        <v>223</v>
      </c>
      <c r="B15" s="37" t="s">
        <v>224</v>
      </c>
      <c r="C15" s="38">
        <v>40.630000000000003</v>
      </c>
      <c r="D15" s="39">
        <v>3.23</v>
      </c>
      <c r="E15" s="40">
        <v>8.6400000000000005E-2</v>
      </c>
      <c r="F15" s="41" t="s">
        <v>225</v>
      </c>
      <c r="G15" s="42">
        <v>299901</v>
      </c>
      <c r="H15" s="41" t="s">
        <v>226</v>
      </c>
      <c r="I15" s="41">
        <v>19.920000000000002</v>
      </c>
      <c r="J15" s="41"/>
    </row>
    <row r="16" spans="1:13" ht="22.8" x14ac:dyDescent="0.55000000000000004">
      <c r="A16" s="30" t="s">
        <v>267</v>
      </c>
      <c r="B16" s="31" t="s">
        <v>268</v>
      </c>
      <c r="C16" s="32">
        <v>25.94</v>
      </c>
      <c r="D16" s="33">
        <v>2.0299999999999998</v>
      </c>
      <c r="E16" s="34">
        <v>8.5099999999999995E-2</v>
      </c>
      <c r="F16" s="35">
        <v>0</v>
      </c>
      <c r="G16" s="36">
        <v>103888</v>
      </c>
      <c r="H16" s="35" t="s">
        <v>269</v>
      </c>
      <c r="I16" s="35">
        <v>15.89</v>
      </c>
      <c r="J16" s="35"/>
    </row>
    <row r="17" spans="1:10" x14ac:dyDescent="0.55000000000000004">
      <c r="A17" s="30" t="s">
        <v>270</v>
      </c>
      <c r="B17" s="37" t="s">
        <v>271</v>
      </c>
      <c r="C17" s="38">
        <v>420.59</v>
      </c>
      <c r="D17" s="39">
        <v>28.68</v>
      </c>
      <c r="E17" s="40">
        <v>7.3200000000000001E-2</v>
      </c>
      <c r="F17" s="41" t="s">
        <v>272</v>
      </c>
      <c r="G17" s="42">
        <v>584595</v>
      </c>
      <c r="H17" s="41" t="s">
        <v>273</v>
      </c>
      <c r="I17" s="41">
        <v>104.91</v>
      </c>
      <c r="J17" s="41"/>
    </row>
    <row r="18" spans="1:10" ht="34.200000000000003" x14ac:dyDescent="0.55000000000000004">
      <c r="A18" s="30" t="s">
        <v>274</v>
      </c>
      <c r="B18" s="31" t="s">
        <v>275</v>
      </c>
      <c r="C18" s="32">
        <v>0.28299999999999997</v>
      </c>
      <c r="D18" s="33">
        <v>1.9E-2</v>
      </c>
      <c r="E18" s="34">
        <v>7.1999999999999995E-2</v>
      </c>
      <c r="F18" s="35">
        <v>0</v>
      </c>
      <c r="G18" s="36">
        <v>366909</v>
      </c>
      <c r="H18" s="35" t="s">
        <v>276</v>
      </c>
      <c r="I18" s="35">
        <v>15.72</v>
      </c>
      <c r="J18" s="35"/>
    </row>
    <row r="19" spans="1:10" ht="34.200000000000003" x14ac:dyDescent="0.55000000000000004">
      <c r="A19" s="30" t="s">
        <v>277</v>
      </c>
      <c r="B19" s="37" t="s">
        <v>278</v>
      </c>
      <c r="C19" s="38">
        <v>26.78</v>
      </c>
      <c r="D19" s="39">
        <v>1.77</v>
      </c>
      <c r="E19" s="40">
        <v>7.0800000000000002E-2</v>
      </c>
      <c r="F19" s="41">
        <v>0</v>
      </c>
      <c r="G19" s="42">
        <v>93655</v>
      </c>
      <c r="H19" s="41" t="s">
        <v>279</v>
      </c>
      <c r="I19" s="41">
        <v>26.25</v>
      </c>
      <c r="J19" s="41"/>
    </row>
    <row r="20" spans="1:10" x14ac:dyDescent="0.55000000000000004">
      <c r="A20" s="30" t="s">
        <v>280</v>
      </c>
      <c r="B20" s="31" t="s">
        <v>281</v>
      </c>
      <c r="C20" s="32">
        <v>141.13</v>
      </c>
      <c r="D20" s="33">
        <v>9.31</v>
      </c>
      <c r="E20" s="34">
        <v>7.0599999999999996E-2</v>
      </c>
      <c r="F20" s="35" t="s">
        <v>282</v>
      </c>
      <c r="G20" s="35" t="s">
        <v>283</v>
      </c>
      <c r="H20" s="35" t="s">
        <v>284</v>
      </c>
      <c r="I20" s="35">
        <v>23.81</v>
      </c>
      <c r="J20" s="35"/>
    </row>
    <row r="21" spans="1:10" ht="34.200000000000003" x14ac:dyDescent="0.55000000000000004">
      <c r="A21" s="30" t="s">
        <v>285</v>
      </c>
      <c r="B21" s="37" t="s">
        <v>286</v>
      </c>
      <c r="C21" s="38">
        <v>16.989999999999998</v>
      </c>
      <c r="D21" s="39">
        <v>1.1200000000000001</v>
      </c>
      <c r="E21" s="40">
        <v>7.0599999999999996E-2</v>
      </c>
      <c r="F21" s="41" t="s">
        <v>287</v>
      </c>
      <c r="G21" s="41" t="s">
        <v>288</v>
      </c>
      <c r="H21" s="41" t="s">
        <v>289</v>
      </c>
      <c r="I21" s="41">
        <v>52.44</v>
      </c>
      <c r="J21" s="41"/>
    </row>
    <row r="22" spans="1:10" ht="22.8" x14ac:dyDescent="0.55000000000000004">
      <c r="A22" s="30" t="s">
        <v>290</v>
      </c>
      <c r="B22" s="31" t="s">
        <v>291</v>
      </c>
      <c r="C22" s="32">
        <v>196.47</v>
      </c>
      <c r="D22" s="33">
        <v>12.5</v>
      </c>
      <c r="E22" s="34">
        <v>6.7900000000000002E-2</v>
      </c>
      <c r="F22" s="35" t="s">
        <v>292</v>
      </c>
      <c r="G22" s="36">
        <v>452879</v>
      </c>
      <c r="H22" s="35" t="s">
        <v>293</v>
      </c>
      <c r="I22" s="35">
        <v>34.35</v>
      </c>
      <c r="J22" s="35"/>
    </row>
    <row r="23" spans="1:10" x14ac:dyDescent="0.55000000000000004">
      <c r="A23" s="30" t="s">
        <v>294</v>
      </c>
      <c r="B23" s="37" t="s">
        <v>295</v>
      </c>
      <c r="C23" s="38">
        <v>53.8</v>
      </c>
      <c r="D23" s="39">
        <v>3.4</v>
      </c>
      <c r="E23" s="40">
        <v>6.7500000000000004E-2</v>
      </c>
      <c r="F23" s="41" t="s">
        <v>296</v>
      </c>
      <c r="G23" s="42">
        <v>583860</v>
      </c>
      <c r="H23" s="41" t="s">
        <v>297</v>
      </c>
      <c r="I23" s="41">
        <v>12.31</v>
      </c>
      <c r="J23" s="41"/>
    </row>
    <row r="24" spans="1:10" ht="22.8" x14ac:dyDescent="0.55000000000000004">
      <c r="A24" s="30" t="s">
        <v>298</v>
      </c>
      <c r="B24" s="31" t="s">
        <v>299</v>
      </c>
      <c r="C24" s="32">
        <v>49.28</v>
      </c>
      <c r="D24" s="33">
        <v>3.06</v>
      </c>
      <c r="E24" s="34">
        <v>6.6199999999999995E-2</v>
      </c>
      <c r="F24" s="35" t="s">
        <v>300</v>
      </c>
      <c r="G24" s="35" t="s">
        <v>301</v>
      </c>
      <c r="H24" s="35" t="s">
        <v>302</v>
      </c>
      <c r="I24" s="35" t="s">
        <v>184</v>
      </c>
      <c r="J24" s="35"/>
    </row>
    <row r="25" spans="1:10" ht="22.8" x14ac:dyDescent="0.55000000000000004">
      <c r="A25" s="30" t="s">
        <v>303</v>
      </c>
      <c r="B25" s="37" t="s">
        <v>304</v>
      </c>
      <c r="C25" s="38">
        <v>112.69</v>
      </c>
      <c r="D25" s="39">
        <v>6.8</v>
      </c>
      <c r="E25" s="40">
        <v>6.4199999999999993E-2</v>
      </c>
      <c r="F25" s="41" t="s">
        <v>305</v>
      </c>
      <c r="G25" s="41" t="s">
        <v>306</v>
      </c>
      <c r="H25" s="41" t="s">
        <v>307</v>
      </c>
      <c r="I25" s="41">
        <v>21.02</v>
      </c>
      <c r="J25" s="41"/>
    </row>
    <row r="26" spans="1:10" ht="22.8" x14ac:dyDescent="0.55000000000000004">
      <c r="A26" s="30" t="s">
        <v>308</v>
      </c>
      <c r="B26" s="31" t="s">
        <v>309</v>
      </c>
      <c r="C26" s="32">
        <v>13.71</v>
      </c>
      <c r="D26" s="33">
        <v>0.83</v>
      </c>
      <c r="E26" s="34">
        <v>6.4399999999999999E-2</v>
      </c>
      <c r="F26" s="35" t="s">
        <v>310</v>
      </c>
      <c r="G26" s="36">
        <v>356043</v>
      </c>
      <c r="H26" s="35" t="s">
        <v>311</v>
      </c>
      <c r="I26" s="35">
        <v>100.07</v>
      </c>
      <c r="J26" s="35"/>
    </row>
    <row r="27" spans="1:10" x14ac:dyDescent="0.55000000000000004">
      <c r="A27" s="30" t="s">
        <v>312</v>
      </c>
      <c r="B27" s="37" t="s">
        <v>313</v>
      </c>
      <c r="C27" s="38">
        <v>22.51</v>
      </c>
      <c r="D27" s="39">
        <v>1.33</v>
      </c>
      <c r="E27" s="40">
        <v>6.2799999999999995E-2</v>
      </c>
      <c r="F27" s="41" t="s">
        <v>314</v>
      </c>
      <c r="G27" s="41" t="s">
        <v>315</v>
      </c>
      <c r="H27" s="41" t="s">
        <v>316</v>
      </c>
      <c r="I27" s="41" t="s">
        <v>184</v>
      </c>
      <c r="J27" s="41"/>
    </row>
    <row r="28" spans="1:10" ht="34.200000000000003" x14ac:dyDescent="0.55000000000000004">
      <c r="A28" s="30" t="s">
        <v>317</v>
      </c>
      <c r="B28" s="31" t="s">
        <v>318</v>
      </c>
      <c r="C28" s="32">
        <v>57.42</v>
      </c>
      <c r="D28" s="33">
        <v>3.39</v>
      </c>
      <c r="E28" s="34">
        <v>6.2700000000000006E-2</v>
      </c>
      <c r="F28" s="35" t="s">
        <v>319</v>
      </c>
      <c r="G28" s="36">
        <v>555263</v>
      </c>
      <c r="H28" s="35" t="s">
        <v>320</v>
      </c>
      <c r="I28" s="35" t="s">
        <v>184</v>
      </c>
      <c r="J28" s="35"/>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B2:F27"/>
  <sheetViews>
    <sheetView tabSelected="1" workbookViewId="0">
      <selection activeCell="F10" sqref="F10"/>
    </sheetView>
  </sheetViews>
  <sheetFormatPr defaultRowHeight="14.4" x14ac:dyDescent="0.55000000000000004"/>
  <cols>
    <col min="3" max="3" width="19.83984375" customWidth="1"/>
    <col min="4" max="4" width="16.26171875" customWidth="1"/>
  </cols>
  <sheetData>
    <row r="2" spans="2:6" x14ac:dyDescent="0.55000000000000004">
      <c r="B2" t="s">
        <v>254</v>
      </c>
      <c r="C2" t="s">
        <v>255</v>
      </c>
      <c r="D2" t="s">
        <v>227</v>
      </c>
    </row>
    <row r="3" spans="2:6" x14ac:dyDescent="0.55000000000000004">
      <c r="B3" t="s">
        <v>228</v>
      </c>
      <c r="C3">
        <v>73</v>
      </c>
      <c r="D3">
        <v>50</v>
      </c>
    </row>
    <row r="4" spans="2:6" x14ac:dyDescent="0.55000000000000004">
      <c r="B4" t="s">
        <v>229</v>
      </c>
      <c r="C4">
        <v>22</v>
      </c>
      <c r="D4">
        <v>0</v>
      </c>
      <c r="F4" s="26" t="s">
        <v>253</v>
      </c>
    </row>
    <row r="5" spans="2:6" x14ac:dyDescent="0.55000000000000004">
      <c r="B5" t="s">
        <v>230</v>
      </c>
      <c r="C5">
        <v>92</v>
      </c>
      <c r="D5">
        <v>75</v>
      </c>
    </row>
    <row r="6" spans="2:6" x14ac:dyDescent="0.55000000000000004">
      <c r="B6" t="s">
        <v>231</v>
      </c>
      <c r="C6">
        <v>77</v>
      </c>
      <c r="D6">
        <v>50</v>
      </c>
    </row>
    <row r="7" spans="2:6" x14ac:dyDescent="0.55000000000000004">
      <c r="B7" t="s">
        <v>232</v>
      </c>
      <c r="C7">
        <v>78</v>
      </c>
      <c r="D7">
        <v>50</v>
      </c>
    </row>
    <row r="8" spans="2:6" x14ac:dyDescent="0.55000000000000004">
      <c r="B8" t="s">
        <v>233</v>
      </c>
      <c r="C8">
        <v>93</v>
      </c>
      <c r="D8">
        <v>75</v>
      </c>
    </row>
    <row r="9" spans="2:6" x14ac:dyDescent="0.55000000000000004">
      <c r="B9" t="s">
        <v>234</v>
      </c>
      <c r="C9">
        <v>90</v>
      </c>
      <c r="D9">
        <v>75</v>
      </c>
    </row>
    <row r="10" spans="2:6" x14ac:dyDescent="0.55000000000000004">
      <c r="B10" t="s">
        <v>235</v>
      </c>
      <c r="C10">
        <v>88</v>
      </c>
      <c r="D10">
        <v>50</v>
      </c>
    </row>
    <row r="11" spans="2:6" x14ac:dyDescent="0.55000000000000004">
      <c r="B11" t="s">
        <v>236</v>
      </c>
      <c r="C11">
        <v>77</v>
      </c>
      <c r="D11">
        <v>50</v>
      </c>
    </row>
    <row r="12" spans="2:6" x14ac:dyDescent="0.55000000000000004">
      <c r="B12" t="s">
        <v>237</v>
      </c>
      <c r="C12">
        <v>81</v>
      </c>
      <c r="D12">
        <v>50</v>
      </c>
    </row>
    <row r="13" spans="2:6" x14ac:dyDescent="0.55000000000000004">
      <c r="B13" t="s">
        <v>238</v>
      </c>
      <c r="C13">
        <v>81</v>
      </c>
      <c r="D13">
        <v>50</v>
      </c>
    </row>
    <row r="14" spans="2:6" x14ac:dyDescent="0.55000000000000004">
      <c r="B14" t="s">
        <v>239</v>
      </c>
      <c r="C14">
        <v>86</v>
      </c>
      <c r="D14">
        <v>50</v>
      </c>
    </row>
    <row r="15" spans="2:6" x14ac:dyDescent="0.55000000000000004">
      <c r="B15" t="s">
        <v>240</v>
      </c>
      <c r="C15">
        <v>91</v>
      </c>
      <c r="D15">
        <v>75</v>
      </c>
    </row>
    <row r="16" spans="2:6" x14ac:dyDescent="0.55000000000000004">
      <c r="B16" t="s">
        <v>241</v>
      </c>
      <c r="C16">
        <v>84</v>
      </c>
      <c r="D16">
        <v>50</v>
      </c>
    </row>
    <row r="17" spans="2:4" x14ac:dyDescent="0.55000000000000004">
      <c r="B17" t="s">
        <v>242</v>
      </c>
      <c r="C17">
        <v>89</v>
      </c>
      <c r="D17">
        <v>50</v>
      </c>
    </row>
    <row r="18" spans="2:4" x14ac:dyDescent="0.55000000000000004">
      <c r="B18" t="s">
        <v>243</v>
      </c>
      <c r="C18">
        <v>74</v>
      </c>
      <c r="D18">
        <v>50</v>
      </c>
    </row>
    <row r="19" spans="2:4" x14ac:dyDescent="0.55000000000000004">
      <c r="B19" t="s">
        <v>244</v>
      </c>
      <c r="C19">
        <v>86</v>
      </c>
      <c r="D19">
        <v>50</v>
      </c>
    </row>
    <row r="20" spans="2:4" x14ac:dyDescent="0.55000000000000004">
      <c r="B20" t="s">
        <v>245</v>
      </c>
      <c r="C20">
        <v>94</v>
      </c>
      <c r="D20">
        <v>75</v>
      </c>
    </row>
    <row r="21" spans="2:4" x14ac:dyDescent="0.55000000000000004">
      <c r="B21" t="s">
        <v>246</v>
      </c>
      <c r="C21">
        <v>70</v>
      </c>
      <c r="D21">
        <v>50</v>
      </c>
    </row>
    <row r="22" spans="2:4" x14ac:dyDescent="0.55000000000000004">
      <c r="B22" t="s">
        <v>247</v>
      </c>
      <c r="C22">
        <v>0</v>
      </c>
      <c r="D22">
        <v>0</v>
      </c>
    </row>
    <row r="23" spans="2:4" x14ac:dyDescent="0.55000000000000004">
      <c r="B23" t="s">
        <v>248</v>
      </c>
      <c r="C23">
        <v>86</v>
      </c>
      <c r="D23">
        <v>50</v>
      </c>
    </row>
    <row r="24" spans="2:4" x14ac:dyDescent="0.55000000000000004">
      <c r="B24" t="s">
        <v>249</v>
      </c>
      <c r="C24">
        <v>88</v>
      </c>
      <c r="D24">
        <v>50</v>
      </c>
    </row>
    <row r="25" spans="2:4" x14ac:dyDescent="0.55000000000000004">
      <c r="B25" t="s">
        <v>250</v>
      </c>
      <c r="C25">
        <v>94</v>
      </c>
      <c r="D25">
        <v>75</v>
      </c>
    </row>
    <row r="26" spans="2:4" x14ac:dyDescent="0.55000000000000004">
      <c r="B26" t="s">
        <v>251</v>
      </c>
      <c r="C26">
        <v>84</v>
      </c>
      <c r="D26">
        <v>50</v>
      </c>
    </row>
    <row r="27" spans="2:4" x14ac:dyDescent="0.55000000000000004">
      <c r="B27" t="s">
        <v>252</v>
      </c>
      <c r="C27">
        <v>79</v>
      </c>
      <c r="D27">
        <v>50</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172210E7-E691-4DC0-931B-2543A86699AC}">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Errors</vt:lpstr>
      <vt:lpstr>1</vt:lpstr>
      <vt:lpstr>2</vt:lpstr>
      <vt:lpstr>3</vt:lpstr>
      <vt:lpstr>4</vt:lpstr>
      <vt:lpstr>Cheat Sheet</vt:lpstr>
      <vt:lpstr>Paste Data from Web</vt:lpstr>
      <vt:lpstr>Text to Col</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2019-02-22T07:11:47Z</dcterms:modified>
</cp:coreProperties>
</file>