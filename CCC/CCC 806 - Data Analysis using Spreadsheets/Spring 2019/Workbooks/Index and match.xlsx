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defaultThemeVersion="124226"/>
  <mc:AlternateContent xmlns:mc="http://schemas.openxmlformats.org/markup-compatibility/2006">
    <mc:Choice Requires="x15">
      <x15ac:absPath xmlns:x15ac="http://schemas.microsoft.com/office/spreadsheetml/2010/11/ac" url="C:\Kabir\College Work\Semester 4\CCC 806\Workbooks\"/>
    </mc:Choice>
  </mc:AlternateContent>
  <xr:revisionPtr revIDLastSave="0" documentId="13_ncr:1_{8B4DF91D-9B70-4D0B-87B1-04AB96697314}" xr6:coauthVersionLast="40" xr6:coauthVersionMax="40" xr10:uidLastSave="{00000000-0000-0000-0000-000000000000}"/>
  <bookViews>
    <workbookView xWindow="-96" yWindow="-96" windowWidth="23232" windowHeight="12552" activeTab="7" xr2:uid="{00000000-000D-0000-FFFF-FFFF00000000}"/>
  </bookViews>
  <sheets>
    <sheet name="Match 1" sheetId="1" r:id="rId1"/>
    <sheet name="Match 2" sheetId="2" r:id="rId2"/>
    <sheet name="Index 1" sheetId="3" r:id="rId3"/>
    <sheet name="Index 2" sheetId="4" r:id="rId4"/>
    <sheet name="Index 3" sheetId="6" r:id="rId5"/>
    <sheet name="Index 4" sheetId="7" r:id="rId6"/>
    <sheet name="Vlookup+Match" sheetId="8" r:id="rId7"/>
    <sheet name="CHOOSE" sheetId="9" r:id="rId8"/>
    <sheet name="Table 1" sheetId="10" r:id="rId9"/>
    <sheet name="Table 2" sheetId="11" r:id="rId10"/>
    <sheet name="Table 3" sheetId="12" r:id="rId11"/>
  </sheets>
  <externalReferences>
    <externalReference r:id="rId12"/>
    <externalReference r:id="rId13"/>
  </externalReferences>
  <definedNames>
    <definedName name="AnswerProductTable">'[1]V Exact (an)'!$A$12:$D$19</definedName>
    <definedName name="Customer_Type">'Index 3'!$J$4:$J$6</definedName>
    <definedName name="GradeTable">'[2]V(2)'!$A$8:$F$12</definedName>
    <definedName name="Haha">'Index 3'!$J$21:$J$22,'Index 3'!$L$21:$L$22,'Index 3'!$N$21:$N$22</definedName>
    <definedName name="Region">'Index 3'!$H$4:$H$8</definedName>
    <definedName name="Shipping">'Index 3'!$C$6:$F$10,'Index 3'!$C$15:$F$19,'Index 3'!$C$24:$F$28</definedName>
    <definedName name="Shipping_Method">'Index 3'!$I$4:$I$7</definedName>
    <definedName name="Shipping3Tables">'[2]I(3)'!$C$11:$F$15,'[2]I(3)'!$C$20:$F$24,'[2]I(3)'!$C$29:$F$33</definedName>
    <definedName name="Table1">'Table 1'!$A$1:$B$7</definedName>
    <definedName name="Table2">'Table 2'!$A$1:$B$7</definedName>
    <definedName name="Table3">'Table 3'!$A$1:$B$7</definedName>
    <definedName name="Tables">'Index 3'!$C$6:$F$10,'Index 3'!$C$15:$F$19,'Index 3'!$C$24:$F$28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9" i="8" l="1"/>
  <c r="D24" i="8"/>
  <c r="C24" i="8"/>
  <c r="B24" i="8"/>
  <c r="C9" i="8"/>
  <c r="D9" i="8"/>
  <c r="E9" i="8"/>
  <c r="B9" i="8"/>
  <c r="E4" i="8"/>
  <c r="D4" i="8"/>
  <c r="C4" i="8"/>
  <c r="B4" i="8"/>
  <c r="B4" i="7"/>
  <c r="D23" i="1"/>
  <c r="B13" i="7" l="1"/>
  <c r="I18" i="6"/>
  <c r="I16" i="6"/>
  <c r="J14" i="6"/>
  <c r="J12" i="6"/>
  <c r="J10" i="6"/>
  <c r="F50" i="3"/>
  <c r="F49" i="3"/>
  <c r="D50" i="3"/>
  <c r="D49" i="3"/>
  <c r="G24" i="3"/>
  <c r="G25" i="3"/>
  <c r="G26" i="3"/>
  <c r="G27" i="3"/>
  <c r="G28" i="3"/>
  <c r="G29" i="3"/>
  <c r="G30" i="3"/>
  <c r="G31" i="3"/>
  <c r="G32" i="3"/>
  <c r="G33" i="3"/>
  <c r="G34" i="3"/>
  <c r="G23" i="3"/>
  <c r="H24" i="3"/>
  <c r="H25" i="3"/>
  <c r="H26" i="3"/>
  <c r="H27" i="3"/>
  <c r="H28" i="3"/>
  <c r="H29" i="3"/>
  <c r="H30" i="3"/>
  <c r="H31" i="3"/>
  <c r="H32" i="3"/>
  <c r="H33" i="3"/>
  <c r="H34" i="3"/>
  <c r="H23" i="3"/>
  <c r="C17" i="3"/>
  <c r="D17" i="3" s="1"/>
  <c r="D4" i="2"/>
  <c r="D5" i="2"/>
  <c r="D6" i="2"/>
  <c r="D7" i="2"/>
  <c r="D3" i="2"/>
  <c r="E28" i="1"/>
  <c r="D24" i="1"/>
  <c r="D22" i="1"/>
  <c r="A1" i="12" l="1"/>
  <c r="A1" i="11"/>
  <c r="A1" i="10"/>
  <c r="C39" i="8"/>
  <c r="D39" i="8"/>
  <c r="E128" i="9" l="1"/>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H21" i="9"/>
  <c r="E21" i="9"/>
  <c r="H20" i="9"/>
  <c r="G20" i="9"/>
  <c r="E20" i="9"/>
  <c r="E19" i="9"/>
  <c r="E18" i="9"/>
  <c r="H17" i="9"/>
  <c r="E17" i="9"/>
  <c r="H16" i="9"/>
  <c r="E16" i="9"/>
  <c r="H15" i="9"/>
  <c r="E15" i="9"/>
  <c r="H14" i="9"/>
  <c r="E14" i="9"/>
  <c r="H13" i="9"/>
  <c r="E13" i="9"/>
  <c r="D8" i="9"/>
  <c r="A5" i="9"/>
  <c r="A4" i="9"/>
  <c r="A3" i="9"/>
  <c r="A2" i="9"/>
  <c r="A1" i="9"/>
  <c r="A6" i="1" l="1"/>
  <c r="A5" i="1"/>
  <c r="A4" i="1"/>
  <c r="A3" i="1"/>
  <c r="A2" i="1"/>
  <c r="A1" i="1"/>
  <c r="E32" i="8" l="1"/>
  <c r="F32" i="8"/>
  <c r="G32" i="8"/>
  <c r="D32" i="8"/>
  <c r="A32" i="8"/>
  <c r="B31" i="8"/>
  <c r="A31" i="8" s="1"/>
  <c r="B32" i="8"/>
  <c r="B33" i="8"/>
  <c r="A33" i="8" s="1"/>
  <c r="B34" i="8"/>
  <c r="A34" i="8" s="1"/>
  <c r="B30" i="8"/>
  <c r="A9" i="8" l="1"/>
  <c r="A14" i="7" a="1"/>
  <c r="B17" i="7" s="1"/>
  <c r="B12" i="7"/>
  <c r="B3" i="7"/>
  <c r="D14" i="7" l="1"/>
  <c r="D15" i="7"/>
  <c r="D16" i="7"/>
  <c r="D17" i="7"/>
  <c r="A14" i="7"/>
  <c r="A15" i="7"/>
  <c r="A16" i="7"/>
  <c r="A17" i="7"/>
  <c r="C14" i="7"/>
  <c r="C15" i="7"/>
  <c r="C16" i="7"/>
  <c r="C17" i="7"/>
  <c r="B14" i="7"/>
  <c r="B15" i="7"/>
  <c r="B16" i="7"/>
</calcChain>
</file>

<file path=xl/sharedStrings.xml><?xml version="1.0" encoding="utf-8"?>
<sst xmlns="http://schemas.openxmlformats.org/spreadsheetml/2006/main" count="278" uniqueCount="179">
  <si>
    <t>Allowances</t>
  </si>
  <si>
    <t>Income</t>
  </si>
  <si>
    <t>Relative Position in list</t>
  </si>
  <si>
    <t>List 1</t>
  </si>
  <si>
    <t>List 2</t>
  </si>
  <si>
    <t>In List 1?</t>
  </si>
  <si>
    <t>Name 1</t>
  </si>
  <si>
    <t>Name 2</t>
  </si>
  <si>
    <t>Name 3</t>
  </si>
  <si>
    <t>Name 4</t>
  </si>
  <si>
    <t>Name 5</t>
  </si>
  <si>
    <t>Name 6</t>
  </si>
  <si>
    <t>Cricket Bats</t>
  </si>
  <si>
    <t>Hitting Range (meters)</t>
  </si>
  <si>
    <t>Price</t>
  </si>
  <si>
    <t>Kookaburra Kahuna</t>
  </si>
  <si>
    <t>Adidas Incurza</t>
  </si>
  <si>
    <t>Gray-Nicolls Viper</t>
  </si>
  <si>
    <t>GM Icon</t>
  </si>
  <si>
    <t>SG Cobra select</t>
  </si>
  <si>
    <t>Puma Ballistic</t>
  </si>
  <si>
    <t>SS Ton GLADIATOR</t>
  </si>
  <si>
    <t>Kookaburra Angry Beast</t>
  </si>
  <si>
    <t>Reebok Blast</t>
  </si>
  <si>
    <t>Spartan CG Authority</t>
  </si>
  <si>
    <t>Hitting range is  40</t>
  </si>
  <si>
    <t>Hitting range is  35</t>
  </si>
  <si>
    <t>Hitting range is  33</t>
  </si>
  <si>
    <t>Hitting range is  32</t>
  </si>
  <si>
    <t>Hitting range is  31</t>
  </si>
  <si>
    <t>Hitting range is  30</t>
  </si>
  <si>
    <t>Hitting range is  29</t>
  </si>
  <si>
    <t>Hitting range is  28</t>
  </si>
  <si>
    <t>Hitting range is  25</t>
  </si>
  <si>
    <t>Hitting range is  20</t>
  </si>
  <si>
    <t>1-Way Lookup Vertical: Lookup Column to Left</t>
  </si>
  <si>
    <t>Description</t>
  </si>
  <si>
    <t>Product</t>
  </si>
  <si>
    <t>Low Bid</t>
  </si>
  <si>
    <t>Vendor for Low Bid</t>
  </si>
  <si>
    <t>Raju's</t>
  </si>
  <si>
    <t>Lenin</t>
  </si>
  <si>
    <t>Sikka</t>
  </si>
  <si>
    <t>Pencils</t>
  </si>
  <si>
    <t>Pens</t>
  </si>
  <si>
    <t>Eraser</t>
  </si>
  <si>
    <t>Biscuit</t>
  </si>
  <si>
    <t>Namkeen</t>
  </si>
  <si>
    <t>Coke</t>
  </si>
  <si>
    <t>Samosa</t>
  </si>
  <si>
    <t>Match</t>
  </si>
  <si>
    <t>Tax</t>
  </si>
  <si>
    <t>2-Way lookup</t>
  </si>
  <si>
    <t>Discount Table</t>
  </si>
  <si>
    <t>PartID/Qty</t>
  </si>
  <si>
    <t>Part1</t>
  </si>
  <si>
    <t>Part2</t>
  </si>
  <si>
    <t>Part3</t>
  </si>
  <si>
    <t>Part4</t>
  </si>
  <si>
    <t>Part5</t>
  </si>
  <si>
    <t>Part6</t>
  </si>
  <si>
    <t>PartID</t>
  </si>
  <si>
    <t xml:space="preserve"> &lt;&lt;== Row</t>
  </si>
  <si>
    <t>Qty</t>
  </si>
  <si>
    <t xml:space="preserve"> &lt;&lt;==Column</t>
  </si>
  <si>
    <t>Discount</t>
  </si>
  <si>
    <t xml:space="preserve"> &lt;&lt;==</t>
  </si>
  <si>
    <t>Returned Value</t>
  </si>
  <si>
    <t>3-Way Lookup: Row, Column, Table (area)</t>
  </si>
  <si>
    <t>Customer Type 10</t>
  </si>
  <si>
    <t>Region</t>
  </si>
  <si>
    <t>Shipping Method</t>
  </si>
  <si>
    <t xml:space="preserve">Customer Type </t>
  </si>
  <si>
    <t xml:space="preserve">Shipping Method - Standard  </t>
  </si>
  <si>
    <t>NW</t>
  </si>
  <si>
    <t>Rail</t>
  </si>
  <si>
    <t>Truck</t>
  </si>
  <si>
    <t>Plane</t>
  </si>
  <si>
    <t>Ship</t>
  </si>
  <si>
    <t>West</t>
  </si>
  <si>
    <t>Customer Type 20</t>
  </si>
  <si>
    <t>SW</t>
  </si>
  <si>
    <t>Customer Type 30</t>
  </si>
  <si>
    <t>MidWest</t>
  </si>
  <si>
    <t>East</t>
  </si>
  <si>
    <t>row #</t>
  </si>
  <si>
    <t>Col #</t>
  </si>
  <si>
    <t xml:space="preserve">Shipping Method - Preferred </t>
  </si>
  <si>
    <t>table #</t>
  </si>
  <si>
    <t>Shipping per Unit</t>
  </si>
  <si>
    <t>&lt;== Named Ranges three tables are one name</t>
  </si>
  <si>
    <t xml:space="preserve">Shipping Method - Most Preferred </t>
  </si>
  <si>
    <t>Use INDEX, MATCH and SUM to retrieve a whole column of values and add them</t>
  </si>
  <si>
    <t>0 (zero) in row_num argument will return a whole column of values (“all rows” or “entire column”)</t>
  </si>
  <si>
    <t>Month to add</t>
  </si>
  <si>
    <t>Mar</t>
  </si>
  <si>
    <t>Jan</t>
  </si>
  <si>
    <t>Feb</t>
  </si>
  <si>
    <t>Apr</t>
  </si>
  <si>
    <t>Use INDEX, MATCH and SUM to retrieve a whole row of values and add them</t>
  </si>
  <si>
    <t>0 (zero) in column_num argument will return a whole row of values (“all columns” or “entire row”)</t>
  </si>
  <si>
    <t>1) Get record with VLOOKUP, change each column manually. Requires less knowledge.</t>
  </si>
  <si>
    <t>ID</t>
  </si>
  <si>
    <t>Last</t>
  </si>
  <si>
    <t>First</t>
  </si>
  <si>
    <t>E-mail</t>
  </si>
  <si>
    <t>Phone</t>
  </si>
  <si>
    <t>880-10005</t>
  </si>
  <si>
    <t>2) Numbers above column header. Easy if you are allowed to have column numbers above column.</t>
  </si>
  <si>
    <t>880-10000</t>
  </si>
  <si>
    <t>253-559-4034</t>
  </si>
  <si>
    <t>880-10001</t>
  </si>
  <si>
    <t>253-553-4381</t>
  </si>
  <si>
    <t>880-10002</t>
  </si>
  <si>
    <t>206-762-2195</t>
  </si>
  <si>
    <t>880-10003</t>
  </si>
  <si>
    <t>253-764-6538</t>
  </si>
  <si>
    <t>880-10004</t>
  </si>
  <si>
    <t>206-736-4510</t>
  </si>
  <si>
    <t>253-452-9723</t>
  </si>
  <si>
    <t>880-10006</t>
  </si>
  <si>
    <t>253-719-7600</t>
  </si>
  <si>
    <t>3) MATCH function is a lookup function.</t>
  </si>
  <si>
    <t>4) ROWS tells you how many rows. Expandable range.</t>
  </si>
  <si>
    <t>5) COLUMNS tells you how many columns. Expandable range.</t>
  </si>
  <si>
    <t>6) DGET is easy if you have just one record to extract</t>
  </si>
  <si>
    <t>7) VLOOKUP and MATCH when you have many records</t>
  </si>
  <si>
    <t>The MATCH function looks up a value and tells you what relative position it is in the list.</t>
  </si>
  <si>
    <t>MATCH(lookup_value,lookup_array,match_type)</t>
  </si>
  <si>
    <t>If match_type is 1, MATCH finds the largest value that is less than or equal to lookup_value. Lookup_array must be placed in ascending order: ...-2, -1, 0, 1, 2, ..., A-Z, FALSE, TRUE.</t>
  </si>
  <si>
    <t>If match_type is 0, MATCH finds the first value that is exactly equal to lookup_value. Lookup_array can be in any order.</t>
  </si>
  <si>
    <t>If match_type is -1, MATCH finds the smallest value that is greater than or equal to lookup_value. Lookup_array must be placed in descending order: TRUE, FALSE, Z-A, ...2, 1, 0, -1, -2, ..., and so on.</t>
  </si>
  <si>
    <t>If match_type is omitted, it is assumed to be 1.</t>
  </si>
  <si>
    <t>Prices of different products by different Vendors. We want to know what is the lowest bid and given by which Vendor.</t>
  </si>
  <si>
    <t>CHOOSE can return a value or a range from a list of 1 to 254 arguments.</t>
  </si>
  <si>
    <t xml:space="preserve"> =CHOOSE(index_num, value1,value2, …)</t>
  </si>
  <si>
    <t>When the "lookup_value" / index_number is whole number between 1 and 254, CHOOSE can be a good lookup tool</t>
  </si>
  <si>
    <t>If index_num is 1, then value1 is used ...
If index_num is 2, then value2 is used</t>
  </si>
  <si>
    <t>value can be a number, or a formula/function, "text" (in quotes), a range, cell references, or defined names</t>
  </si>
  <si>
    <t>Randomly CHOOSE names (where value is "text" (in quotes))</t>
  </si>
  <si>
    <t>Select Name Randomly</t>
  </si>
  <si>
    <t>VLOOKUP with 3 tables</t>
  </si>
  <si>
    <t>Select Table for VLOOKUP with CHOOSE, where the value is a defined name (could be range or cell)</t>
  </si>
  <si>
    <t>Use CHOOSE for Survey Results (Choose rounds down number to integer)</t>
  </si>
  <si>
    <t>Date</t>
  </si>
  <si>
    <t>CustomerType</t>
  </si>
  <si>
    <t>Items</t>
  </si>
  <si>
    <t>ShipFee</t>
  </si>
  <si>
    <t>Rating</t>
  </si>
  <si>
    <t>Response</t>
  </si>
  <si>
    <t>"Very Bad","Bad","OK","Good","Very Good"</t>
  </si>
  <si>
    <t>Use CHOOSE to choose function</t>
  </si>
  <si>
    <t>Not In List 2?</t>
  </si>
  <si>
    <t>Georgia</t>
  </si>
  <si>
    <t>Chunmun Aunty</t>
  </si>
  <si>
    <t>Rishabh</t>
  </si>
  <si>
    <t>Ramachandran</t>
  </si>
  <si>
    <t>Vignesh</t>
  </si>
  <si>
    <t>Sethi</t>
  </si>
  <si>
    <t>SINGHAL</t>
  </si>
  <si>
    <t>HRITIK</t>
  </si>
  <si>
    <t>Kanhe</t>
  </si>
  <si>
    <t>Paritosh</t>
  </si>
  <si>
    <t>SRIVASTAVA</t>
  </si>
  <si>
    <t>ANIRUKTA</t>
  </si>
  <si>
    <t>Kapoor</t>
  </si>
  <si>
    <t>Garima</t>
  </si>
  <si>
    <t>Arora</t>
  </si>
  <si>
    <t>Kabir</t>
  </si>
  <si>
    <t>RV253@snu.com</t>
  </si>
  <si>
    <t>SR253@snu.com</t>
  </si>
  <si>
    <t>SH206@snu.com</t>
  </si>
  <si>
    <t>KP253@snu.com</t>
  </si>
  <si>
    <t>SA206@snu.com</t>
  </si>
  <si>
    <t>KG253@snu.com</t>
  </si>
  <si>
    <t>AK253@snu.com</t>
  </si>
  <si>
    <t>Range</t>
  </si>
  <si>
    <t>In one shot</t>
  </si>
  <si>
    <t>Can't extract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</si>
</sst>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43" formatCode="_(* #,##0.00_);_(* \(#,##0.00\);_(* &quot;-&quot;??_);_(@_)"/>
    <numFmt numFmtId="164" formatCode="&quot;$&quot;#,##0,"/>
    <numFmt numFmtId="165" formatCode="d\-mmm\-yyyy"/>
    <numFmt numFmtId="166" formatCode="#\ ???/???"/>
    <numFmt numFmtId="167" formatCode="0.00000"/>
    <numFmt numFmtId="168" formatCode="_(* #,##0_);_(* \(#,##0\);_(* &quot;-&quot;??_);_(@_)"/>
  </numFmts>
  <fonts count="15" x14ac:knownFonts="1">
    <font>
      <sz val="11"/>
      <color theme="1"/>
      <name val="Calibri"/>
      <family val="2"/>
      <scheme val="minor"/>
    </font>
    <font>
      <sz val="11"/>
      <color theme="0"/>
      <name val="Calibri"/>
      <family val="2"/>
      <scheme val="minor"/>
    </font>
    <font>
      <b/>
      <sz val="10"/>
      <name val="Arial"/>
      <family val="2"/>
    </font>
    <font>
      <sz val="10"/>
      <name val="Arial"/>
      <family val="2"/>
    </font>
    <font>
      <sz val="10"/>
      <color indexed="9"/>
      <name val="Arial"/>
      <family val="2"/>
    </font>
    <font>
      <sz val="12"/>
      <name val="Bookman Old Style"/>
      <family val="1"/>
    </font>
    <font>
      <b/>
      <sz val="16"/>
      <color indexed="53"/>
      <name val="Bell MT"/>
      <family val="1"/>
    </font>
    <font>
      <u/>
      <sz val="11"/>
      <color theme="10"/>
      <name val="Calibri"/>
      <family val="2"/>
      <scheme val="minor"/>
    </font>
    <font>
      <b/>
      <sz val="11"/>
      <color theme="1"/>
      <name val="Calibri"/>
      <family val="2"/>
      <scheme val="minor"/>
    </font>
    <font>
      <b/>
      <sz val="11"/>
      <name val="Calibri"/>
      <family val="2"/>
      <scheme val="minor"/>
    </font>
    <font>
      <sz val="11"/>
      <color theme="1"/>
      <name val="Calibri"/>
      <family val="2"/>
      <scheme val="minor"/>
    </font>
    <font>
      <b/>
      <sz val="10"/>
      <color theme="0"/>
      <name val="Arial"/>
      <family val="2"/>
    </font>
    <font>
      <sz val="16"/>
      <color theme="1"/>
      <name val="Calibri"/>
      <family val="2"/>
      <scheme val="minor"/>
    </font>
    <font>
      <sz val="11"/>
      <name val="Calibri"/>
      <family val="2"/>
      <scheme val="minor"/>
    </font>
    <font>
      <i/>
      <sz val="11"/>
      <color rgb="FF7F7F7F"/>
      <name val="Calibri"/>
      <family val="2"/>
      <scheme val="minor"/>
    </font>
  </fonts>
  <fills count="22">
    <fill>
      <patternFill patternType="none"/>
    </fill>
    <fill>
      <patternFill patternType="gray125"/>
    </fill>
    <fill>
      <patternFill patternType="solid">
        <fgColor indexed="12"/>
        <bgColor indexed="64"/>
      </patternFill>
    </fill>
    <fill>
      <patternFill patternType="solid">
        <fgColor indexed="26"/>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rgb="FFFFFF99"/>
        <bgColor indexed="64"/>
      </patternFill>
    </fill>
    <fill>
      <patternFill patternType="solid">
        <fgColor rgb="FFFF0000"/>
        <bgColor indexed="64"/>
      </patternFill>
    </fill>
    <fill>
      <patternFill patternType="solid">
        <fgColor rgb="FF0066FF"/>
        <bgColor indexed="64"/>
      </patternFill>
    </fill>
    <fill>
      <patternFill patternType="solid">
        <fgColor rgb="FFCCFFCC"/>
        <bgColor indexed="64"/>
      </patternFill>
    </fill>
    <fill>
      <patternFill patternType="solid">
        <fgColor rgb="FF006600"/>
        <bgColor indexed="64"/>
      </patternFill>
    </fill>
    <fill>
      <patternFill patternType="solid">
        <fgColor theme="1"/>
        <bgColor indexed="64"/>
      </patternFill>
    </fill>
    <fill>
      <patternFill patternType="solid">
        <fgColor rgb="FF002060"/>
        <bgColor indexed="64"/>
      </patternFill>
    </fill>
    <fill>
      <patternFill patternType="solid">
        <fgColor rgb="FF0070C0"/>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FF00"/>
        <bgColor indexed="64"/>
      </patternFill>
    </fill>
    <fill>
      <patternFill patternType="solid">
        <fgColor indexed="8"/>
        <bgColor indexed="64"/>
      </patternFill>
    </fill>
    <fill>
      <patternFill patternType="solid">
        <fgColor theme="5" tint="0.59999389629810485"/>
        <bgColor indexed="64"/>
      </patternFill>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ck">
        <color indexed="53"/>
      </left>
      <right style="thick">
        <color indexed="53"/>
      </right>
      <top style="thick">
        <color indexed="53"/>
      </top>
      <bottom style="thick">
        <color indexed="53"/>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8">
    <xf numFmtId="0" fontId="0" fillId="0" borderId="0"/>
    <xf numFmtId="0" fontId="3" fillId="0" borderId="1"/>
    <xf numFmtId="0" fontId="4" fillId="2" borderId="1">
      <alignment wrapText="1"/>
    </xf>
    <xf numFmtId="0" fontId="4" fillId="2" borderId="1">
      <alignment horizontal="centerContinuous" wrapText="1"/>
    </xf>
    <xf numFmtId="44" fontId="3" fillId="0" borderId="0" applyFont="0" applyFill="0" applyBorder="0" applyAlignment="0" applyProtection="0"/>
    <xf numFmtId="164" fontId="5" fillId="0" borderId="0"/>
    <xf numFmtId="165" fontId="2" fillId="0" borderId="0" applyFont="0" applyFill="0" applyBorder="0" applyProtection="0">
      <alignment horizontal="center"/>
    </xf>
    <xf numFmtId="0" fontId="3" fillId="0" borderId="0"/>
    <xf numFmtId="0" fontId="3" fillId="0" borderId="0"/>
    <xf numFmtId="166" fontId="6" fillId="4" borderId="2">
      <alignment horizontal="left" indent="2"/>
    </xf>
    <xf numFmtId="0" fontId="3" fillId="5" borderId="1">
      <alignment horizontal="centerContinuous" wrapText="1"/>
    </xf>
    <xf numFmtId="0" fontId="3" fillId="0" borderId="0">
      <alignment wrapText="1"/>
    </xf>
    <xf numFmtId="0" fontId="3" fillId="3" borderId="0" applyNumberFormat="0" applyFont="0" applyBorder="0" applyAlignment="0" applyProtection="0"/>
    <xf numFmtId="0" fontId="3" fillId="6" borderId="1">
      <alignment horizontal="centerContinuous" wrapText="1"/>
    </xf>
    <xf numFmtId="0" fontId="7" fillId="0" borderId="0" applyNumberForma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0" fontId="14" fillId="0" borderId="0" applyNumberFormat="0" applyFill="0" applyBorder="0" applyAlignment="0" applyProtection="0"/>
  </cellStyleXfs>
  <cellXfs count="62">
    <xf numFmtId="0" fontId="0" fillId="0" borderId="0" xfId="0"/>
    <xf numFmtId="2" fontId="0" fillId="7" borderId="1" xfId="0" applyNumberFormat="1" applyFill="1" applyBorder="1"/>
    <xf numFmtId="0" fontId="0" fillId="0" borderId="1" xfId="0" applyBorder="1"/>
    <xf numFmtId="0" fontId="1" fillId="8" borderId="1" xfId="0" applyFont="1" applyFill="1" applyBorder="1"/>
    <xf numFmtId="0" fontId="0" fillId="10" borderId="1" xfId="0" applyFill="1" applyBorder="1"/>
    <xf numFmtId="0" fontId="1" fillId="12" borderId="1" xfId="0" applyFont="1" applyFill="1" applyBorder="1" applyAlignment="1">
      <alignment horizontal="centerContinuous" wrapText="1"/>
    </xf>
    <xf numFmtId="0" fontId="1" fillId="9" borderId="1" xfId="0" applyFont="1" applyFill="1" applyBorder="1" applyAlignment="1">
      <alignment wrapText="1"/>
    </xf>
    <xf numFmtId="0" fontId="1" fillId="12" borderId="0" xfId="0" applyFont="1" applyFill="1"/>
    <xf numFmtId="0" fontId="1" fillId="8" borderId="3" xfId="0" applyFont="1" applyFill="1" applyBorder="1"/>
    <xf numFmtId="2" fontId="0" fillId="0" borderId="1" xfId="0" applyNumberFormat="1" applyBorder="1"/>
    <xf numFmtId="0" fontId="1" fillId="13" borderId="1" xfId="0" applyFont="1" applyFill="1" applyBorder="1"/>
    <xf numFmtId="0" fontId="1" fillId="11" borderId="1" xfId="0" applyFont="1" applyFill="1" applyBorder="1"/>
    <xf numFmtId="0" fontId="1" fillId="9" borderId="1" xfId="0" applyFont="1" applyFill="1" applyBorder="1"/>
    <xf numFmtId="0" fontId="0" fillId="15" borderId="0" xfId="0" applyFill="1"/>
    <xf numFmtId="2" fontId="0" fillId="10" borderId="1" xfId="0" applyNumberFormat="1" applyFill="1" applyBorder="1"/>
    <xf numFmtId="0" fontId="1" fillId="14" borderId="1" xfId="0" applyFont="1" applyFill="1" applyBorder="1"/>
    <xf numFmtId="0" fontId="1" fillId="14" borderId="1" xfId="0" applyFont="1" applyFill="1" applyBorder="1" applyAlignment="1">
      <alignment wrapText="1"/>
    </xf>
    <xf numFmtId="0" fontId="8" fillId="0" borderId="0" xfId="0" applyFont="1"/>
    <xf numFmtId="0" fontId="9" fillId="0" borderId="1" xfId="0" applyFont="1" applyBorder="1"/>
    <xf numFmtId="10" fontId="0" fillId="16" borderId="1" xfId="0" applyNumberFormat="1" applyFill="1" applyBorder="1"/>
    <xf numFmtId="0" fontId="8" fillId="0" borderId="1" xfId="0" applyFont="1" applyBorder="1"/>
    <xf numFmtId="0" fontId="0" fillId="17" borderId="0" xfId="0" applyFill="1"/>
    <xf numFmtId="0" fontId="0" fillId="18" borderId="0" xfId="0" applyFill="1"/>
    <xf numFmtId="10" fontId="0" fillId="10" borderId="1" xfId="0" applyNumberFormat="1" applyFill="1" applyBorder="1"/>
    <xf numFmtId="0" fontId="1" fillId="8" borderId="0" xfId="0" applyFont="1" applyFill="1"/>
    <xf numFmtId="167" fontId="1" fillId="8" borderId="3" xfId="0" applyNumberFormat="1" applyFont="1" applyFill="1" applyBorder="1"/>
    <xf numFmtId="0" fontId="1" fillId="13" borderId="1" xfId="0" applyFont="1" applyFill="1" applyBorder="1" applyAlignment="1">
      <alignment horizontal="centerContinuous" wrapText="1"/>
    </xf>
    <xf numFmtId="0" fontId="4" fillId="19" borderId="8" xfId="0" applyFont="1" applyFill="1" applyBorder="1" applyAlignment="1">
      <alignment horizontal="centerContinuous" wrapText="1"/>
    </xf>
    <xf numFmtId="0" fontId="4" fillId="19" borderId="1" xfId="0" applyFont="1" applyFill="1" applyBorder="1" applyAlignment="1">
      <alignment horizontal="centerContinuous" wrapText="1"/>
    </xf>
    <xf numFmtId="0" fontId="11" fillId="13" borderId="1" xfId="0" applyFont="1" applyFill="1" applyBorder="1" applyAlignment="1">
      <alignment horizontal="center"/>
    </xf>
    <xf numFmtId="0" fontId="11" fillId="13" borderId="3" xfId="0" applyFont="1" applyFill="1" applyBorder="1" applyAlignment="1">
      <alignment horizontal="centerContinuous" wrapText="1"/>
    </xf>
    <xf numFmtId="0" fontId="11" fillId="13" borderId="7" xfId="0" applyFont="1" applyFill="1" applyBorder="1" applyAlignment="1">
      <alignment horizontal="centerContinuous" wrapText="1"/>
    </xf>
    <xf numFmtId="0" fontId="11" fillId="13" borderId="8" xfId="0" applyFont="1" applyFill="1" applyBorder="1" applyAlignment="1">
      <alignment horizontal="centerContinuous" wrapText="1"/>
    </xf>
    <xf numFmtId="0" fontId="0" fillId="20" borderId="1" xfId="0" applyFill="1" applyBorder="1"/>
    <xf numFmtId="0" fontId="0" fillId="21" borderId="1" xfId="0" applyFill="1" applyBorder="1"/>
    <xf numFmtId="0" fontId="3" fillId="0" borderId="1" xfId="0" applyFont="1" applyBorder="1" applyAlignment="1">
      <alignment horizontal="centerContinuous" wrapText="1"/>
    </xf>
    <xf numFmtId="0" fontId="11" fillId="13" borderId="1" xfId="0" applyFont="1" applyFill="1" applyBorder="1"/>
    <xf numFmtId="0" fontId="4" fillId="14" borderId="8" xfId="0" applyFont="1" applyFill="1" applyBorder="1" applyAlignment="1">
      <alignment horizontal="centerContinuous" wrapText="1"/>
    </xf>
    <xf numFmtId="0" fontId="1" fillId="13" borderId="0" xfId="0" applyFont="1" applyFill="1"/>
    <xf numFmtId="0" fontId="0" fillId="7" borderId="1" xfId="0" applyFill="1" applyBorder="1"/>
    <xf numFmtId="0" fontId="0" fillId="7" borderId="3" xfId="0" applyFill="1" applyBorder="1" applyAlignment="1">
      <alignment horizontal="centerContinuous" wrapText="1"/>
    </xf>
    <xf numFmtId="0" fontId="0" fillId="7" borderId="7" xfId="0" applyFill="1" applyBorder="1" applyAlignment="1">
      <alignment horizontal="centerContinuous" wrapText="1"/>
    </xf>
    <xf numFmtId="0" fontId="0" fillId="7" borderId="8" xfId="0" applyFill="1" applyBorder="1" applyAlignment="1">
      <alignment horizontal="centerContinuous" wrapText="1"/>
    </xf>
    <xf numFmtId="0" fontId="12" fillId="7" borderId="3" xfId="0" applyFont="1" applyFill="1" applyBorder="1"/>
    <xf numFmtId="0" fontId="12" fillId="7" borderId="7" xfId="0" applyFont="1" applyFill="1" applyBorder="1"/>
    <xf numFmtId="0" fontId="12" fillId="7" borderId="8" xfId="0" applyFont="1" applyFill="1" applyBorder="1"/>
    <xf numFmtId="4" fontId="3" fillId="0" borderId="1" xfId="15" applyNumberFormat="1" applyFont="1" applyBorder="1" applyAlignment="1">
      <alignment horizontal="center"/>
    </xf>
    <xf numFmtId="0" fontId="13" fillId="18" borderId="1" xfId="0" applyFont="1" applyFill="1" applyBorder="1" applyAlignment="1">
      <alignment horizontal="centerContinuous" wrapText="1"/>
    </xf>
    <xf numFmtId="0" fontId="1" fillId="13" borderId="9" xfId="0" applyFont="1" applyFill="1" applyBorder="1"/>
    <xf numFmtId="14" fontId="0" fillId="0" borderId="1" xfId="0" applyNumberFormat="1" applyBorder="1"/>
    <xf numFmtId="168" fontId="10" fillId="0" borderId="1" xfId="16" applyNumberFormat="1" applyBorder="1"/>
    <xf numFmtId="8" fontId="0" fillId="10" borderId="1" xfId="0" applyNumberFormat="1" applyFill="1" applyBorder="1"/>
    <xf numFmtId="0" fontId="1" fillId="13" borderId="1" xfId="0" applyFont="1" applyFill="1" applyBorder="1" applyAlignment="1">
      <alignment wrapText="1"/>
    </xf>
    <xf numFmtId="0" fontId="0" fillId="10" borderId="1" xfId="0" applyFill="1" applyBorder="1" applyAlignment="1">
      <alignment horizontal="left" indent="3"/>
    </xf>
    <xf numFmtId="0" fontId="0" fillId="18" borderId="1" xfId="0" applyFill="1" applyBorder="1" applyAlignment="1">
      <alignment horizontal="centerContinuous" wrapText="1"/>
    </xf>
    <xf numFmtId="37" fontId="10" fillId="0" borderId="1" xfId="16" applyNumberFormat="1" applyBorder="1"/>
    <xf numFmtId="8" fontId="0" fillId="0" borderId="1" xfId="0" applyNumberFormat="1" applyBorder="1"/>
    <xf numFmtId="0" fontId="14" fillId="0" borderId="0" xfId="17"/>
    <xf numFmtId="0" fontId="1" fillId="12" borderId="5" xfId="0" applyFont="1" applyFill="1" applyBorder="1" applyAlignment="1">
      <alignment horizontal="center" vertical="center" textRotation="90"/>
    </xf>
    <xf numFmtId="0" fontId="1" fillId="12" borderId="6" xfId="0" applyFont="1" applyFill="1" applyBorder="1" applyAlignment="1">
      <alignment horizontal="center" vertical="center" textRotation="90"/>
    </xf>
    <xf numFmtId="0" fontId="1" fillId="12" borderId="4" xfId="0" applyFont="1" applyFill="1" applyBorder="1" applyAlignment="1">
      <alignment horizontal="center" vertical="center" textRotation="90"/>
    </xf>
    <xf numFmtId="2" fontId="0" fillId="18" borderId="0" xfId="0" applyNumberFormat="1" applyFill="1"/>
  </cellXfs>
  <cellStyles count="18">
    <cellStyle name="b" xfId="1" xr:uid="{00000000-0005-0000-0000-000000000000}"/>
    <cellStyle name="blue" xfId="2" xr:uid="{00000000-0005-0000-0000-000001000000}"/>
    <cellStyle name="bluecenteraccrossselection" xfId="3" xr:uid="{00000000-0005-0000-0000-000002000000}"/>
    <cellStyle name="Comma" xfId="16" builtinId="3"/>
    <cellStyle name="Currency" xfId="15" builtinId="4"/>
    <cellStyle name="Currency 2" xfId="4" xr:uid="{00000000-0005-0000-0000-000005000000}"/>
    <cellStyle name="Currency Round to thousands" xfId="5" xr:uid="{00000000-0005-0000-0000-000006000000}"/>
    <cellStyle name="Explanatory Text" xfId="17" builtinId="53"/>
    <cellStyle name="Four-Digit Year" xfId="6" xr:uid="{00000000-0005-0000-0000-000007000000}"/>
    <cellStyle name="Hyperlink 2" xfId="14" xr:uid="{00000000-0005-0000-0000-000008000000}"/>
    <cellStyle name="Normal" xfId="0" builtinId="0"/>
    <cellStyle name="Normal 2" xfId="7" xr:uid="{00000000-0005-0000-0000-00000A000000}"/>
    <cellStyle name="Normal 3" xfId="8" xr:uid="{00000000-0005-0000-0000-00000B000000}"/>
    <cellStyle name="Rad" xfId="9" xr:uid="{00000000-0005-0000-0000-00000C000000}"/>
    <cellStyle name="redcenteraccrossselection" xfId="10" xr:uid="{00000000-0005-0000-0000-00000D000000}"/>
    <cellStyle name="Wrap Text" xfId="11" xr:uid="{00000000-0005-0000-0000-00000E000000}"/>
    <cellStyle name="Yellow" xfId="12" xr:uid="{00000000-0005-0000-0000-00000F000000}"/>
    <cellStyle name="yellowcenteraccrossselection" xfId="13" xr:uid="{00000000-0005-0000-0000-000010000000}"/>
  </cellStyles>
  <dxfs count="4">
    <dxf>
      <fill>
        <patternFill>
          <bgColor rgb="FFFFFF00"/>
        </patternFill>
      </fill>
    </dxf>
    <dxf>
      <fill>
        <patternFill>
          <bgColor rgb="FFFFC000"/>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13/Busn214-Week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07/Week8Busn214Finish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Examples"/>
      <sheetName val="V Exact"/>
      <sheetName val="V Exact (an)"/>
      <sheetName val="V Aproximate"/>
      <sheetName val="V Aproximate (an)"/>
      <sheetName val="V Partial"/>
      <sheetName val="V Partial (an)"/>
      <sheetName val="Retrieve Record"/>
      <sheetName val="Retrieve Record (an)"/>
      <sheetName val="INDEX &amp; MATCH"/>
      <sheetName val="INDEX &amp; MATCH (an)"/>
      <sheetName val="3 Tables"/>
      <sheetName val="3 Tables (an)"/>
      <sheetName val="V and IFNA"/>
      <sheetName val="V and IFNA (an)"/>
      <sheetName val="Stats"/>
      <sheetName val="Stats (an)"/>
      <sheetName val="GS"/>
      <sheetName val="GS (an)"/>
      <sheetName val="HW(1)"/>
      <sheetName val="HW(1an)"/>
      <sheetName val="HW(2)"/>
      <sheetName val="HW(2an)"/>
      <sheetName val="HW(3)"/>
      <sheetName val="HW(3an)"/>
      <sheetName val="HW(4)"/>
      <sheetName val="HW(4an)"/>
      <sheetName val="HW(5)"/>
      <sheetName val="HW(5an)"/>
      <sheetName val="HW(6)"/>
      <sheetName val="HW(6an)"/>
      <sheetName val="HW(7)"/>
      <sheetName val="HW(7an)"/>
      <sheetName val="HW(8)"/>
      <sheetName val="HW(8an)"/>
      <sheetName val="HW(9)"/>
      <sheetName val="HW(9an)"/>
      <sheetName val="HW(10)"/>
      <sheetName val="HW(10an)"/>
      <sheetName val="HW(11)"/>
      <sheetName val="HW(11an)"/>
      <sheetName val="HW(12)"/>
      <sheetName val="HW(12an)"/>
      <sheetName val="HW(13)"/>
      <sheetName val="HW(13an)"/>
    </sheetNames>
    <sheetDataSet>
      <sheetData sheetId="0" refreshError="1"/>
      <sheetData sheetId="1" refreshError="1"/>
      <sheetData sheetId="2" refreshError="1"/>
      <sheetData sheetId="3">
        <row r="12">
          <cell r="A12" t="str">
            <v>Bellen</v>
          </cell>
          <cell r="B12" t="str">
            <v>1000-165-B100</v>
          </cell>
          <cell r="C12">
            <v>25</v>
          </cell>
          <cell r="D12">
            <v>26.95</v>
          </cell>
        </row>
        <row r="13">
          <cell r="A13" t="str">
            <v>Carlota</v>
          </cell>
          <cell r="B13" t="str">
            <v>1001-540-C101</v>
          </cell>
          <cell r="C13">
            <v>20</v>
          </cell>
          <cell r="D13">
            <v>28.95</v>
          </cell>
        </row>
        <row r="14">
          <cell r="A14" t="str">
            <v>Majestic Beaut</v>
          </cell>
          <cell r="B14" t="str">
            <v>1002-394-M102</v>
          </cell>
          <cell r="C14">
            <v>35</v>
          </cell>
          <cell r="D14">
            <v>31.95</v>
          </cell>
        </row>
        <row r="15">
          <cell r="A15" t="str">
            <v>Quad</v>
          </cell>
          <cell r="B15" t="str">
            <v>1003-307-Q103</v>
          </cell>
          <cell r="C15">
            <v>20</v>
          </cell>
          <cell r="D15">
            <v>35.950000000000003</v>
          </cell>
        </row>
        <row r="16">
          <cell r="A16" t="str">
            <v>Sunshine</v>
          </cell>
          <cell r="B16" t="str">
            <v>1004-848-S104</v>
          </cell>
          <cell r="C16">
            <v>30</v>
          </cell>
          <cell r="D16">
            <v>18.95</v>
          </cell>
        </row>
        <row r="17">
          <cell r="A17" t="str">
            <v>Sunset</v>
          </cell>
          <cell r="B17" t="str">
            <v>1005-155-S105</v>
          </cell>
          <cell r="C17">
            <v>40</v>
          </cell>
          <cell r="D17">
            <v>20.95</v>
          </cell>
        </row>
        <row r="18">
          <cell r="A18" t="str">
            <v>Tri-Fly</v>
          </cell>
          <cell r="B18" t="str">
            <v>1006-552-T106</v>
          </cell>
          <cell r="C18">
            <v>1</v>
          </cell>
          <cell r="D18">
            <v>4.95</v>
          </cell>
        </row>
        <row r="19">
          <cell r="A19" t="str">
            <v>Outdoor Tri-Fly</v>
          </cell>
          <cell r="B19" t="str">
            <v>1007-634-O107</v>
          </cell>
          <cell r="C19">
            <v>5</v>
          </cell>
          <cell r="D19">
            <v>8.9499999999999993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Details"/>
      <sheetName val="V(1)"/>
      <sheetName val="V(2)"/>
      <sheetName val="V(3)"/>
      <sheetName val="V(4,5)"/>
      <sheetName val="V(6)"/>
      <sheetName val="V(7)"/>
      <sheetName val="Table"/>
      <sheetName val="V(8)"/>
      <sheetName val="V(9)"/>
      <sheetName val="V(10)"/>
      <sheetName val="V(11)"/>
      <sheetName val="H(1)"/>
      <sheetName val="L(1)"/>
      <sheetName val="L(2)"/>
      <sheetName val="L(3)"/>
      <sheetName val="L(4)"/>
      <sheetName val="L(5)"/>
      <sheetName val="L(6)"/>
      <sheetName val="L(7)"/>
      <sheetName val="M(1)"/>
      <sheetName val="M(2)"/>
      <sheetName val="I(1)"/>
      <sheetName val="I(2)"/>
      <sheetName val="I(3)"/>
      <sheetName val="I(4)"/>
      <sheetName val="I(5)"/>
      <sheetName val="I(6)"/>
      <sheetName val="I(7)"/>
      <sheetName val="I(8)"/>
      <sheetName val="I(9)"/>
      <sheetName val="I(10)"/>
      <sheetName val="I(11)"/>
      <sheetName val="I(12)"/>
      <sheetName val="CHOOSE"/>
      <sheetName val="Table1"/>
      <sheetName val="Table2"/>
      <sheetName val="Table3"/>
      <sheetName val="Intersector Operator"/>
      <sheetName val="Sheet1"/>
    </sheetNames>
    <sheetDataSet>
      <sheetData sheetId="0" refreshError="1"/>
      <sheetData sheetId="1" refreshError="1"/>
      <sheetData sheetId="2" refreshError="1">
        <row r="8">
          <cell r="A8" t="str">
            <v>Siuox RadCool</v>
          </cell>
          <cell r="B8">
            <v>94</v>
          </cell>
          <cell r="C8">
            <v>0</v>
          </cell>
          <cell r="D8">
            <v>7</v>
          </cell>
          <cell r="E8">
            <v>4</v>
          </cell>
          <cell r="F8">
            <v>53</v>
          </cell>
        </row>
        <row r="9">
          <cell r="A9" t="str">
            <v>Dina Kim</v>
          </cell>
          <cell r="B9">
            <v>38</v>
          </cell>
          <cell r="C9">
            <v>48</v>
          </cell>
          <cell r="D9">
            <v>52</v>
          </cell>
          <cell r="E9">
            <v>71</v>
          </cell>
          <cell r="F9">
            <v>16</v>
          </cell>
        </row>
        <row r="10">
          <cell r="A10" t="str">
            <v>Dennis Ho</v>
          </cell>
          <cell r="B10">
            <v>67</v>
          </cell>
          <cell r="C10">
            <v>99</v>
          </cell>
          <cell r="D10">
            <v>60</v>
          </cell>
          <cell r="E10">
            <v>54</v>
          </cell>
          <cell r="F10">
            <v>7</v>
          </cell>
        </row>
        <row r="11">
          <cell r="A11" t="str">
            <v>Tu Pham</v>
          </cell>
          <cell r="B11">
            <v>58</v>
          </cell>
          <cell r="C11">
            <v>43</v>
          </cell>
          <cell r="D11">
            <v>77</v>
          </cell>
          <cell r="E11">
            <v>41</v>
          </cell>
          <cell r="F11">
            <v>32</v>
          </cell>
        </row>
        <row r="12">
          <cell r="A12" t="str">
            <v>Fred Tap</v>
          </cell>
          <cell r="B12">
            <v>43</v>
          </cell>
          <cell r="C12">
            <v>93</v>
          </cell>
          <cell r="D12">
            <v>3</v>
          </cell>
          <cell r="E12">
            <v>85</v>
          </cell>
          <cell r="F12">
            <v>60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1">
          <cell r="C11">
            <v>0.125</v>
          </cell>
          <cell r="D11">
            <v>0.13500000000000001</v>
          </cell>
          <cell r="E11">
            <v>1.5249999999999999</v>
          </cell>
          <cell r="F11">
            <v>0.22500000000000001</v>
          </cell>
        </row>
        <row r="12">
          <cell r="C12">
            <v>0.20499999999999999</v>
          </cell>
          <cell r="D12">
            <v>0.14499999999999999</v>
          </cell>
          <cell r="E12">
            <v>2.0249999999999999</v>
          </cell>
          <cell r="F12">
            <v>0.245</v>
          </cell>
        </row>
        <row r="13">
          <cell r="C13">
            <v>0.26500000000000001</v>
          </cell>
          <cell r="D13">
            <v>0.16500000000000001</v>
          </cell>
          <cell r="E13">
            <v>2.125</v>
          </cell>
          <cell r="F13">
            <v>0.22500000000000001</v>
          </cell>
        </row>
        <row r="14">
          <cell r="C14">
            <v>0.30500000000000005</v>
          </cell>
          <cell r="D14">
            <v>0.185</v>
          </cell>
          <cell r="E14">
            <v>2.2749999999999999</v>
          </cell>
          <cell r="F14">
            <v>0.22500000000000001</v>
          </cell>
        </row>
        <row r="15">
          <cell r="C15">
            <v>0.47500000000000003</v>
          </cell>
          <cell r="D15">
            <v>0.42500000000000004</v>
          </cell>
          <cell r="E15">
            <v>3.5249999999999999</v>
          </cell>
          <cell r="F15">
            <v>0.375</v>
          </cell>
        </row>
        <row r="20">
          <cell r="C20">
            <v>0.11499999999999999</v>
          </cell>
          <cell r="D20">
            <v>0.125</v>
          </cell>
          <cell r="E20">
            <v>1.375</v>
          </cell>
          <cell r="F20">
            <v>0.20499999999999999</v>
          </cell>
        </row>
        <row r="21">
          <cell r="C21">
            <v>0.185</v>
          </cell>
          <cell r="D21">
            <v>0.13500000000000001</v>
          </cell>
          <cell r="E21">
            <v>1.825</v>
          </cell>
          <cell r="F21">
            <v>0.215</v>
          </cell>
        </row>
        <row r="22">
          <cell r="C22">
            <v>0.245</v>
          </cell>
          <cell r="D22">
            <v>0.155</v>
          </cell>
          <cell r="E22">
            <v>1.9149999999999998</v>
          </cell>
          <cell r="F22">
            <v>0.20499999999999999</v>
          </cell>
        </row>
        <row r="23">
          <cell r="C23">
            <v>0.27500000000000002</v>
          </cell>
          <cell r="D23">
            <v>0.16500000000000001</v>
          </cell>
          <cell r="E23">
            <v>2.0549999999999997</v>
          </cell>
          <cell r="F23">
            <v>0.20499999999999999</v>
          </cell>
        </row>
        <row r="24">
          <cell r="C24">
            <v>0.435</v>
          </cell>
          <cell r="D24">
            <v>0.38500000000000001</v>
          </cell>
          <cell r="E24">
            <v>3.1749999999999998</v>
          </cell>
          <cell r="F24">
            <v>0.34500000000000003</v>
          </cell>
        </row>
        <row r="29">
          <cell r="C29">
            <v>0.10500000000000001</v>
          </cell>
          <cell r="D29">
            <v>0.11499999999999999</v>
          </cell>
          <cell r="E29">
            <v>1.2449999999999999</v>
          </cell>
          <cell r="F29">
            <v>0.17499999999999999</v>
          </cell>
        </row>
        <row r="30">
          <cell r="C30">
            <v>0.17499999999999999</v>
          </cell>
          <cell r="D30">
            <v>0.125</v>
          </cell>
          <cell r="E30">
            <v>1.645</v>
          </cell>
          <cell r="F30">
            <v>0.16500000000000001</v>
          </cell>
        </row>
        <row r="31">
          <cell r="C31">
            <v>0.215</v>
          </cell>
          <cell r="D31">
            <v>0.13500000000000001</v>
          </cell>
          <cell r="E31">
            <v>1.7249999999999999</v>
          </cell>
          <cell r="F31">
            <v>0.185</v>
          </cell>
        </row>
        <row r="32">
          <cell r="C32">
            <v>0.255</v>
          </cell>
          <cell r="D32">
            <v>0.155</v>
          </cell>
          <cell r="E32">
            <v>1.845</v>
          </cell>
          <cell r="F32">
            <v>0.185</v>
          </cell>
        </row>
        <row r="33">
          <cell r="C33">
            <v>0.38500000000000001</v>
          </cell>
          <cell r="D33">
            <v>0.34500000000000003</v>
          </cell>
          <cell r="E33">
            <v>2.8649999999999998</v>
          </cell>
          <cell r="F33">
            <v>0.30500000000000005</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opLeftCell="A22" zoomScale="125" zoomScaleNormal="125" workbookViewId="0">
      <selection activeCell="F39" sqref="F39"/>
    </sheetView>
  </sheetViews>
  <sheetFormatPr defaultRowHeight="14.4" x14ac:dyDescent="0.55000000000000004"/>
  <cols>
    <col min="2" max="2" width="18.83984375" customWidth="1"/>
    <col min="3" max="3" width="9.83984375" bestFit="1" customWidth="1"/>
  </cols>
  <sheetData>
    <row r="1" spans="1:8" ht="28.8" x14ac:dyDescent="0.55000000000000004">
      <c r="A1" s="39" t="str">
        <f t="shared" ref="A1:A6" si="0">ROW()&amp;")"</f>
        <v>1)</v>
      </c>
      <c r="B1" s="40" t="s">
        <v>127</v>
      </c>
      <c r="C1" s="41"/>
      <c r="D1" s="41"/>
      <c r="E1" s="41"/>
      <c r="F1" s="41"/>
      <c r="G1" s="42"/>
    </row>
    <row r="2" spans="1:8" x14ac:dyDescent="0.55000000000000004">
      <c r="A2" s="39" t="str">
        <f t="shared" si="0"/>
        <v>2)</v>
      </c>
      <c r="B2" s="40" t="s">
        <v>128</v>
      </c>
      <c r="C2" s="41"/>
      <c r="D2" s="41"/>
      <c r="E2" s="41"/>
      <c r="F2" s="41"/>
      <c r="G2" s="42"/>
    </row>
    <row r="3" spans="1:8" ht="43.2" x14ac:dyDescent="0.55000000000000004">
      <c r="A3" s="39" t="str">
        <f t="shared" si="0"/>
        <v>3)</v>
      </c>
      <c r="B3" s="40" t="s">
        <v>129</v>
      </c>
      <c r="C3" s="41"/>
      <c r="D3" s="41"/>
      <c r="E3" s="41"/>
      <c r="F3" s="41"/>
      <c r="G3" s="42"/>
    </row>
    <row r="4" spans="1:8" ht="28.8" x14ac:dyDescent="0.55000000000000004">
      <c r="A4" s="39" t="str">
        <f t="shared" si="0"/>
        <v>4)</v>
      </c>
      <c r="B4" s="40" t="s">
        <v>130</v>
      </c>
      <c r="C4" s="41"/>
      <c r="D4" s="41"/>
      <c r="E4" s="41"/>
      <c r="F4" s="41"/>
      <c r="G4" s="42"/>
    </row>
    <row r="5" spans="1:8" ht="43.2" x14ac:dyDescent="0.55000000000000004">
      <c r="A5" s="39" t="str">
        <f t="shared" si="0"/>
        <v>5)</v>
      </c>
      <c r="B5" s="40" t="s">
        <v>131</v>
      </c>
      <c r="C5" s="41"/>
      <c r="D5" s="41"/>
      <c r="E5" s="41"/>
      <c r="F5" s="41"/>
      <c r="G5" s="42"/>
    </row>
    <row r="6" spans="1:8" x14ac:dyDescent="0.55000000000000004">
      <c r="A6" s="39" t="str">
        <f t="shared" si="0"/>
        <v>6)</v>
      </c>
      <c r="B6" s="40" t="s">
        <v>132</v>
      </c>
      <c r="C6" s="41"/>
      <c r="D6" s="41"/>
      <c r="E6" s="41"/>
      <c r="F6" s="41"/>
      <c r="G6" s="42"/>
    </row>
    <row r="10" spans="1:8" x14ac:dyDescent="0.55000000000000004">
      <c r="C10" s="5" t="s">
        <v>0</v>
      </c>
      <c r="D10" s="5"/>
      <c r="E10" s="5"/>
      <c r="F10" s="5"/>
      <c r="G10" s="5"/>
      <c r="H10" s="5"/>
    </row>
    <row r="11" spans="1:8" x14ac:dyDescent="0.55000000000000004">
      <c r="B11" s="2"/>
      <c r="C11" s="3">
        <v>0</v>
      </c>
      <c r="D11" s="3">
        <v>1</v>
      </c>
      <c r="E11" s="3">
        <v>2</v>
      </c>
      <c r="F11" s="3">
        <v>3</v>
      </c>
      <c r="G11" s="3">
        <v>4</v>
      </c>
      <c r="H11" s="3">
        <v>5</v>
      </c>
    </row>
    <row r="12" spans="1:8" x14ac:dyDescent="0.55000000000000004">
      <c r="A12" s="58" t="s">
        <v>1</v>
      </c>
      <c r="B12" s="3">
        <v>0</v>
      </c>
      <c r="C12" s="1">
        <v>7</v>
      </c>
      <c r="D12" s="1">
        <v>6</v>
      </c>
      <c r="E12" s="1">
        <v>5</v>
      </c>
      <c r="F12" s="1">
        <v>4</v>
      </c>
      <c r="G12" s="1">
        <v>3</v>
      </c>
      <c r="H12" s="1">
        <v>2</v>
      </c>
    </row>
    <row r="13" spans="1:8" x14ac:dyDescent="0.55000000000000004">
      <c r="A13" s="59"/>
      <c r="B13" s="3">
        <v>100</v>
      </c>
      <c r="C13" s="1">
        <v>8</v>
      </c>
      <c r="D13" s="1">
        <v>7</v>
      </c>
      <c r="E13" s="1">
        <v>6</v>
      </c>
      <c r="F13" s="1">
        <v>5</v>
      </c>
      <c r="G13" s="1">
        <v>4</v>
      </c>
      <c r="H13" s="1">
        <v>3</v>
      </c>
    </row>
    <row r="14" spans="1:8" x14ac:dyDescent="0.55000000000000004">
      <c r="A14" s="59"/>
      <c r="B14" s="3">
        <v>200</v>
      </c>
      <c r="C14" s="1">
        <v>9</v>
      </c>
      <c r="D14" s="1">
        <v>8</v>
      </c>
      <c r="E14" s="1">
        <v>7</v>
      </c>
      <c r="F14" s="1">
        <v>6</v>
      </c>
      <c r="G14" s="1">
        <v>5</v>
      </c>
      <c r="H14" s="1">
        <v>4</v>
      </c>
    </row>
    <row r="15" spans="1:8" x14ac:dyDescent="0.55000000000000004">
      <c r="A15" s="59"/>
      <c r="B15" s="3">
        <v>300</v>
      </c>
      <c r="C15" s="1">
        <v>10</v>
      </c>
      <c r="D15" s="1">
        <v>9</v>
      </c>
      <c r="E15" s="1">
        <v>8</v>
      </c>
      <c r="F15" s="1">
        <v>7</v>
      </c>
      <c r="G15" s="1">
        <v>6</v>
      </c>
      <c r="H15" s="1">
        <v>5</v>
      </c>
    </row>
    <row r="16" spans="1:8" x14ac:dyDescent="0.55000000000000004">
      <c r="A16" s="59"/>
      <c r="B16" s="3">
        <v>400</v>
      </c>
      <c r="C16" s="1">
        <v>11</v>
      </c>
      <c r="D16" s="1">
        <v>10</v>
      </c>
      <c r="E16" s="1">
        <v>9</v>
      </c>
      <c r="F16" s="1">
        <v>8</v>
      </c>
      <c r="G16" s="1">
        <v>7</v>
      </c>
      <c r="H16" s="1">
        <v>6</v>
      </c>
    </row>
    <row r="17" spans="1:8" x14ac:dyDescent="0.55000000000000004">
      <c r="A17" s="59"/>
      <c r="B17" s="3">
        <v>500</v>
      </c>
      <c r="C17" s="1">
        <v>12</v>
      </c>
      <c r="D17" s="1">
        <v>11</v>
      </c>
      <c r="E17" s="1">
        <v>10</v>
      </c>
      <c r="F17" s="1">
        <v>9</v>
      </c>
      <c r="G17" s="1">
        <v>8</v>
      </c>
      <c r="H17" s="1">
        <v>7</v>
      </c>
    </row>
    <row r="18" spans="1:8" x14ac:dyDescent="0.55000000000000004">
      <c r="A18" s="59"/>
      <c r="B18" s="3">
        <v>600</v>
      </c>
      <c r="C18" s="1">
        <v>13</v>
      </c>
      <c r="D18" s="1">
        <v>12</v>
      </c>
      <c r="E18" s="1">
        <v>11</v>
      </c>
      <c r="F18" s="1">
        <v>10</v>
      </c>
      <c r="G18" s="1">
        <v>9</v>
      </c>
      <c r="H18" s="1">
        <v>8</v>
      </c>
    </row>
    <row r="19" spans="1:8" x14ac:dyDescent="0.55000000000000004">
      <c r="A19" s="59"/>
      <c r="B19" s="3">
        <v>700</v>
      </c>
      <c r="C19" s="1">
        <v>14</v>
      </c>
      <c r="D19" s="1">
        <v>13</v>
      </c>
      <c r="E19" s="1">
        <v>12</v>
      </c>
      <c r="F19" s="1">
        <v>11</v>
      </c>
      <c r="G19" s="1">
        <v>10</v>
      </c>
      <c r="H19" s="1">
        <v>9</v>
      </c>
    </row>
    <row r="20" spans="1:8" x14ac:dyDescent="0.55000000000000004">
      <c r="A20" s="60"/>
    </row>
    <row r="21" spans="1:8" ht="43.2" x14ac:dyDescent="0.55000000000000004">
      <c r="D21" s="6" t="s">
        <v>2</v>
      </c>
    </row>
    <row r="22" spans="1:8" x14ac:dyDescent="0.55000000000000004">
      <c r="B22" s="7" t="s">
        <v>1</v>
      </c>
      <c r="C22" s="25">
        <v>560</v>
      </c>
      <c r="D22" s="4">
        <f>MATCH(C22,B12:B19,1)</f>
        <v>6</v>
      </c>
    </row>
    <row r="23" spans="1:8" x14ac:dyDescent="0.55000000000000004">
      <c r="B23" s="7" t="s">
        <v>0</v>
      </c>
      <c r="C23" s="8">
        <v>2</v>
      </c>
      <c r="D23" s="4">
        <f>MATCH(C23,C11:H11,0)</f>
        <v>3</v>
      </c>
    </row>
    <row r="24" spans="1:8" x14ac:dyDescent="0.55000000000000004">
      <c r="D24" s="61">
        <f>INDEX(C12:H19,D22,D23)</f>
        <v>10</v>
      </c>
    </row>
    <row r="27" spans="1:8" ht="43.2" x14ac:dyDescent="0.55000000000000004">
      <c r="D27" s="7" t="s">
        <v>1</v>
      </c>
      <c r="E27" s="6" t="s">
        <v>2</v>
      </c>
    </row>
    <row r="28" spans="1:8" x14ac:dyDescent="0.55000000000000004">
      <c r="B28" s="3">
        <v>700</v>
      </c>
      <c r="D28">
        <v>560</v>
      </c>
      <c r="E28">
        <f>MATCH(D28,B28:B35,-1)</f>
        <v>2</v>
      </c>
    </row>
    <row r="29" spans="1:8" x14ac:dyDescent="0.55000000000000004">
      <c r="B29" s="3">
        <v>600</v>
      </c>
    </row>
    <row r="30" spans="1:8" x14ac:dyDescent="0.55000000000000004">
      <c r="B30" s="3">
        <v>500</v>
      </c>
    </row>
    <row r="31" spans="1:8" x14ac:dyDescent="0.55000000000000004">
      <c r="B31" s="3">
        <v>400</v>
      </c>
    </row>
    <row r="32" spans="1:8" x14ac:dyDescent="0.55000000000000004">
      <c r="B32" s="3">
        <v>300</v>
      </c>
    </row>
    <row r="33" spans="2:2" x14ac:dyDescent="0.55000000000000004">
      <c r="B33" s="3">
        <v>200</v>
      </c>
    </row>
    <row r="34" spans="2:2" x14ac:dyDescent="0.55000000000000004">
      <c r="B34" s="3">
        <v>100</v>
      </c>
    </row>
    <row r="35" spans="2:2" x14ac:dyDescent="0.55000000000000004">
      <c r="B35" s="3">
        <v>0</v>
      </c>
    </row>
  </sheetData>
  <sortState xmlns:xlrd2="http://schemas.microsoft.com/office/spreadsheetml/2017/richdata2" ref="B28:B35">
    <sortCondition descending="1" ref="B28:B35"/>
  </sortState>
  <mergeCells count="1">
    <mergeCell ref="A12:A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11"/>
  <sheetViews>
    <sheetView zoomScale="120" zoomScaleNormal="120" workbookViewId="0">
      <selection activeCell="D7" sqref="D7"/>
    </sheetView>
  </sheetViews>
  <sheetFormatPr defaultRowHeight="14.4" x14ac:dyDescent="0.55000000000000004"/>
  <cols>
    <col min="5" max="5" width="12.68359375" customWidth="1"/>
  </cols>
  <sheetData>
    <row r="2" spans="1:5" x14ac:dyDescent="0.55000000000000004">
      <c r="A2" s="11" t="s">
        <v>3</v>
      </c>
      <c r="C2" s="11" t="s">
        <v>4</v>
      </c>
      <c r="D2" s="11" t="s">
        <v>5</v>
      </c>
      <c r="E2" s="11" t="s">
        <v>152</v>
      </c>
    </row>
    <row r="3" spans="1:5" x14ac:dyDescent="0.55000000000000004">
      <c r="A3" s="2" t="s">
        <v>6</v>
      </c>
      <c r="C3" s="2" t="s">
        <v>7</v>
      </c>
      <c r="D3" s="4">
        <f>IFERROR(MATCH(C3,A3:A7,0),"Error")</f>
        <v>2</v>
      </c>
      <c r="E3" s="4"/>
    </row>
    <row r="4" spans="1:5" x14ac:dyDescent="0.55000000000000004">
      <c r="A4" s="2" t="s">
        <v>7</v>
      </c>
      <c r="C4" s="2" t="s">
        <v>8</v>
      </c>
      <c r="D4" s="4" t="str">
        <f t="shared" ref="D4:D7" si="0">IFERROR(MATCH(C4,A4:A8,0),"Error")</f>
        <v>Error</v>
      </c>
      <c r="E4" s="4"/>
    </row>
    <row r="5" spans="1:5" x14ac:dyDescent="0.55000000000000004">
      <c r="A5" s="2" t="s">
        <v>7</v>
      </c>
      <c r="C5" s="2" t="s">
        <v>9</v>
      </c>
      <c r="D5" s="4">
        <f t="shared" si="0"/>
        <v>2</v>
      </c>
      <c r="E5" s="4"/>
    </row>
    <row r="6" spans="1:5" x14ac:dyDescent="0.55000000000000004">
      <c r="A6" s="2" t="s">
        <v>9</v>
      </c>
      <c r="C6" s="2" t="s">
        <v>10</v>
      </c>
      <c r="D6" s="4">
        <f t="shared" si="0"/>
        <v>2</v>
      </c>
      <c r="E6" s="4"/>
    </row>
    <row r="7" spans="1:5" x14ac:dyDescent="0.55000000000000004">
      <c r="A7" s="2" t="s">
        <v>10</v>
      </c>
      <c r="C7" s="2" t="s">
        <v>11</v>
      </c>
      <c r="D7" s="4" t="str">
        <f t="shared" si="0"/>
        <v>Error</v>
      </c>
      <c r="E7" s="4"/>
    </row>
    <row r="10" spans="1:5" x14ac:dyDescent="0.55000000000000004">
      <c r="A10" s="2" t="s">
        <v>10</v>
      </c>
    </row>
    <row r="11" spans="1:5" x14ac:dyDescent="0.55000000000000004">
      <c r="A11" s="2"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50"/>
  <sheetViews>
    <sheetView topLeftCell="A25" zoomScaleNormal="100" workbookViewId="0">
      <selection activeCell="H50" sqref="H50"/>
    </sheetView>
  </sheetViews>
  <sheetFormatPr defaultRowHeight="14.4" x14ac:dyDescent="0.55000000000000004"/>
  <cols>
    <col min="1" max="1" width="22.41796875" bestFit="1" customWidth="1"/>
    <col min="2" max="2" width="26.26171875" customWidth="1"/>
    <col min="3" max="3" width="28.15625" customWidth="1"/>
    <col min="4" max="4" width="16.15625" customWidth="1"/>
    <col min="7" max="7" width="17.68359375" customWidth="1"/>
    <col min="8" max="8" width="14.41796875" customWidth="1"/>
  </cols>
  <sheetData>
    <row r="3" spans="1:4" x14ac:dyDescent="0.55000000000000004">
      <c r="A3" s="10" t="s">
        <v>12</v>
      </c>
      <c r="B3" s="10" t="s">
        <v>14</v>
      </c>
      <c r="C3" s="10" t="s">
        <v>13</v>
      </c>
    </row>
    <row r="4" spans="1:4" x14ac:dyDescent="0.55000000000000004">
      <c r="A4" s="2" t="s">
        <v>15</v>
      </c>
      <c r="B4" s="9">
        <v>25000</v>
      </c>
      <c r="C4" s="2" t="s">
        <v>25</v>
      </c>
    </row>
    <row r="5" spans="1:4" x14ac:dyDescent="0.55000000000000004">
      <c r="A5" s="2" t="s">
        <v>16</v>
      </c>
      <c r="B5" s="9">
        <v>23000</v>
      </c>
      <c r="C5" s="2" t="s">
        <v>26</v>
      </c>
    </row>
    <row r="6" spans="1:4" x14ac:dyDescent="0.55000000000000004">
      <c r="A6" s="2" t="s">
        <v>17</v>
      </c>
      <c r="B6" s="9">
        <v>22700</v>
      </c>
      <c r="C6" s="2" t="s">
        <v>27</v>
      </c>
    </row>
    <row r="7" spans="1:4" x14ac:dyDescent="0.55000000000000004">
      <c r="A7" s="2" t="s">
        <v>18</v>
      </c>
      <c r="B7" s="9">
        <v>21900</v>
      </c>
      <c r="C7" s="2" t="s">
        <v>28</v>
      </c>
    </row>
    <row r="8" spans="1:4" x14ac:dyDescent="0.55000000000000004">
      <c r="A8" s="2" t="s">
        <v>19</v>
      </c>
      <c r="B8" s="9">
        <v>20987</v>
      </c>
      <c r="C8" s="2" t="s">
        <v>29</v>
      </c>
    </row>
    <row r="9" spans="1:4" x14ac:dyDescent="0.55000000000000004">
      <c r="A9" s="2" t="s">
        <v>20</v>
      </c>
      <c r="B9" s="9">
        <v>19876</v>
      </c>
      <c r="C9" s="2" t="s">
        <v>30</v>
      </c>
    </row>
    <row r="10" spans="1:4" x14ac:dyDescent="0.55000000000000004">
      <c r="A10" s="2" t="s">
        <v>21</v>
      </c>
      <c r="B10" s="9">
        <v>19654</v>
      </c>
      <c r="C10" s="2" t="s">
        <v>31</v>
      </c>
    </row>
    <row r="11" spans="1:4" x14ac:dyDescent="0.55000000000000004">
      <c r="A11" s="2" t="s">
        <v>22</v>
      </c>
      <c r="B11" s="9">
        <v>18765</v>
      </c>
      <c r="C11" s="2" t="s">
        <v>32</v>
      </c>
    </row>
    <row r="12" spans="1:4" x14ac:dyDescent="0.55000000000000004">
      <c r="A12" s="2" t="s">
        <v>23</v>
      </c>
      <c r="B12" s="9">
        <v>16000</v>
      </c>
      <c r="C12" s="2" t="s">
        <v>33</v>
      </c>
    </row>
    <row r="13" spans="1:4" x14ac:dyDescent="0.55000000000000004">
      <c r="A13" s="2" t="s">
        <v>24</v>
      </c>
      <c r="B13" s="9">
        <v>15000</v>
      </c>
      <c r="C13" s="2" t="s">
        <v>34</v>
      </c>
    </row>
    <row r="15" spans="1:4" x14ac:dyDescent="0.55000000000000004">
      <c r="B15" s="5" t="s">
        <v>35</v>
      </c>
      <c r="C15" s="5"/>
    </row>
    <row r="16" spans="1:4" x14ac:dyDescent="0.55000000000000004">
      <c r="B16" s="12" t="s">
        <v>36</v>
      </c>
      <c r="C16" s="12" t="s">
        <v>37</v>
      </c>
      <c r="D16" t="s">
        <v>14</v>
      </c>
    </row>
    <row r="17" spans="1:8" x14ac:dyDescent="0.55000000000000004">
      <c r="B17" t="s">
        <v>28</v>
      </c>
      <c r="C17" s="13" t="str">
        <f>INDEX(A4:A13,MATCH(B17,C4:C13,0))</f>
        <v>GM Icon</v>
      </c>
      <c r="D17">
        <f>VLOOKUP(C17,A4:C13,2,0)</f>
        <v>21900</v>
      </c>
    </row>
    <row r="19" spans="1:8" ht="20.399999999999999" x14ac:dyDescent="0.75">
      <c r="A19" s="43" t="s">
        <v>133</v>
      </c>
      <c r="B19" s="44"/>
      <c r="C19" s="45"/>
      <c r="D19" s="43"/>
      <c r="E19" s="43"/>
      <c r="F19" s="43"/>
      <c r="G19" s="43"/>
      <c r="H19" s="43"/>
    </row>
    <row r="22" spans="1:8" ht="28.8" x14ac:dyDescent="0.55000000000000004">
      <c r="A22" s="10" t="s">
        <v>37</v>
      </c>
      <c r="B22" s="10" t="s">
        <v>154</v>
      </c>
      <c r="C22" s="10" t="s">
        <v>40</v>
      </c>
      <c r="D22" s="10" t="s">
        <v>41</v>
      </c>
      <c r="E22" s="10" t="s">
        <v>42</v>
      </c>
      <c r="F22" s="10" t="s">
        <v>153</v>
      </c>
      <c r="G22" s="15" t="s">
        <v>38</v>
      </c>
      <c r="H22" s="16" t="s">
        <v>39</v>
      </c>
    </row>
    <row r="23" spans="1:8" x14ac:dyDescent="0.55000000000000004">
      <c r="A23" s="9" t="s">
        <v>43</v>
      </c>
      <c r="B23" s="9">
        <v>38.99</v>
      </c>
      <c r="C23" s="9">
        <v>48.6</v>
      </c>
      <c r="D23" s="9">
        <v>43.53</v>
      </c>
      <c r="E23" s="9">
        <v>40.08</v>
      </c>
      <c r="F23" s="9">
        <v>47.92</v>
      </c>
      <c r="G23" s="14">
        <f>MIN(B23:F23)</f>
        <v>38.99</v>
      </c>
      <c r="H23" s="4" t="str">
        <f>INDEX($B$22:$F$22,1,MATCH(MIN(B23:F23),B23:F23,0))</f>
        <v>Chunmun Aunty</v>
      </c>
    </row>
    <row r="24" spans="1:8" x14ac:dyDescent="0.55000000000000004">
      <c r="A24" s="9" t="s">
        <v>44</v>
      </c>
      <c r="B24" s="9">
        <v>57.68</v>
      </c>
      <c r="C24" s="9">
        <v>31.8</v>
      </c>
      <c r="D24" s="9">
        <v>52.78</v>
      </c>
      <c r="E24" s="9">
        <v>31.42</v>
      </c>
      <c r="F24" s="9">
        <v>55.19</v>
      </c>
      <c r="G24" s="14">
        <f t="shared" ref="G24:G34" si="0">MIN(B24:F24)</f>
        <v>31.42</v>
      </c>
      <c r="H24" s="4" t="str">
        <f t="shared" ref="H24:H34" si="1">INDEX($B$22:$F$22,1,MATCH(MIN(B24:F24),B24:F24,0))</f>
        <v>Sikka</v>
      </c>
    </row>
    <row r="25" spans="1:8" x14ac:dyDescent="0.55000000000000004">
      <c r="A25" s="9" t="s">
        <v>45</v>
      </c>
      <c r="B25" s="9">
        <v>53.32</v>
      </c>
      <c r="C25" s="9">
        <v>32.64</v>
      </c>
      <c r="D25" s="9">
        <v>37.69</v>
      </c>
      <c r="E25" s="9">
        <v>48.29</v>
      </c>
      <c r="F25" s="9">
        <v>41.59</v>
      </c>
      <c r="G25" s="14">
        <f t="shared" si="0"/>
        <v>32.64</v>
      </c>
      <c r="H25" s="4" t="str">
        <f t="shared" si="1"/>
        <v>Raju's</v>
      </c>
    </row>
    <row r="26" spans="1:8" x14ac:dyDescent="0.55000000000000004">
      <c r="A26" s="9" t="s">
        <v>46</v>
      </c>
      <c r="B26" s="9">
        <v>35.200000000000003</v>
      </c>
      <c r="C26" s="9">
        <v>40.549999999999997</v>
      </c>
      <c r="D26" s="9">
        <v>32.65</v>
      </c>
      <c r="E26" s="9">
        <v>36.81</v>
      </c>
      <c r="F26" s="9">
        <v>41.14</v>
      </c>
      <c r="G26" s="14">
        <f t="shared" si="0"/>
        <v>32.65</v>
      </c>
      <c r="H26" s="4" t="str">
        <f t="shared" si="1"/>
        <v>Lenin</v>
      </c>
    </row>
    <row r="27" spans="1:8" x14ac:dyDescent="0.55000000000000004">
      <c r="A27" s="9" t="s">
        <v>47</v>
      </c>
      <c r="B27" s="9">
        <v>56.72</v>
      </c>
      <c r="C27" s="9">
        <v>47.16</v>
      </c>
      <c r="D27" s="9">
        <v>36.42</v>
      </c>
      <c r="E27" s="9">
        <v>49.56</v>
      </c>
      <c r="F27" s="9">
        <v>39.25</v>
      </c>
      <c r="G27" s="14">
        <f t="shared" si="0"/>
        <v>36.42</v>
      </c>
      <c r="H27" s="4" t="str">
        <f t="shared" si="1"/>
        <v>Lenin</v>
      </c>
    </row>
    <row r="28" spans="1:8" x14ac:dyDescent="0.55000000000000004">
      <c r="A28" s="9" t="s">
        <v>48</v>
      </c>
      <c r="B28" s="9">
        <v>47.91</v>
      </c>
      <c r="C28" s="9">
        <v>35.08</v>
      </c>
      <c r="D28" s="9">
        <v>51.129999999999995</v>
      </c>
      <c r="E28" s="9">
        <v>49.84</v>
      </c>
      <c r="F28" s="9">
        <v>42.12</v>
      </c>
      <c r="G28" s="14">
        <f t="shared" si="0"/>
        <v>35.08</v>
      </c>
      <c r="H28" s="4" t="str">
        <f t="shared" si="1"/>
        <v>Raju's</v>
      </c>
    </row>
    <row r="29" spans="1:8" x14ac:dyDescent="0.55000000000000004">
      <c r="A29" s="9" t="s">
        <v>49</v>
      </c>
      <c r="B29" s="9">
        <v>34.81</v>
      </c>
      <c r="C29" s="9">
        <v>35.11</v>
      </c>
      <c r="D29" s="9">
        <v>48.629999999999995</v>
      </c>
      <c r="E29" s="9">
        <v>33.32</v>
      </c>
      <c r="F29" s="9">
        <v>37.83</v>
      </c>
      <c r="G29" s="14">
        <f t="shared" si="0"/>
        <v>33.32</v>
      </c>
      <c r="H29" s="4" t="str">
        <f t="shared" si="1"/>
        <v>Sikka</v>
      </c>
    </row>
    <row r="30" spans="1:8" x14ac:dyDescent="0.55000000000000004">
      <c r="A30" s="9"/>
      <c r="B30" s="9">
        <v>42.25</v>
      </c>
      <c r="C30" s="9">
        <v>35.76</v>
      </c>
      <c r="D30" s="9">
        <v>58.6</v>
      </c>
      <c r="E30" s="9">
        <v>46.28</v>
      </c>
      <c r="F30" s="9">
        <v>40.53</v>
      </c>
      <c r="G30" s="14">
        <f t="shared" si="0"/>
        <v>35.76</v>
      </c>
      <c r="H30" s="4" t="str">
        <f t="shared" si="1"/>
        <v>Raju's</v>
      </c>
    </row>
    <row r="31" spans="1:8" x14ac:dyDescent="0.55000000000000004">
      <c r="A31" s="9"/>
      <c r="B31" s="9">
        <v>40.14</v>
      </c>
      <c r="C31" s="9">
        <v>42.31</v>
      </c>
      <c r="D31" s="9">
        <v>37.619999999999997</v>
      </c>
      <c r="E31" s="9">
        <v>59.97</v>
      </c>
      <c r="F31" s="9">
        <v>42.57</v>
      </c>
      <c r="G31" s="14">
        <f t="shared" si="0"/>
        <v>37.619999999999997</v>
      </c>
      <c r="H31" s="4" t="str">
        <f t="shared" si="1"/>
        <v>Lenin</v>
      </c>
    </row>
    <row r="32" spans="1:8" x14ac:dyDescent="0.55000000000000004">
      <c r="A32" s="9"/>
      <c r="B32" s="9">
        <v>36.480000000000004</v>
      </c>
      <c r="C32" s="9">
        <v>40.79</v>
      </c>
      <c r="D32" s="9">
        <v>53.239999999999995</v>
      </c>
      <c r="E32" s="9">
        <v>51.010000000000005</v>
      </c>
      <c r="F32" s="9">
        <v>51.239999999999995</v>
      </c>
      <c r="G32" s="14">
        <f t="shared" si="0"/>
        <v>36.480000000000004</v>
      </c>
      <c r="H32" s="4" t="str">
        <f t="shared" si="1"/>
        <v>Chunmun Aunty</v>
      </c>
    </row>
    <row r="33" spans="1:8" x14ac:dyDescent="0.55000000000000004">
      <c r="A33" s="9"/>
      <c r="B33" s="9">
        <v>38.57</v>
      </c>
      <c r="C33" s="9">
        <v>40.06</v>
      </c>
      <c r="D33" s="9">
        <v>54.71</v>
      </c>
      <c r="E33" s="9">
        <v>39.700000000000003</v>
      </c>
      <c r="F33" s="9">
        <v>54.730000000000004</v>
      </c>
      <c r="G33" s="14">
        <f t="shared" si="0"/>
        <v>38.57</v>
      </c>
      <c r="H33" s="4" t="str">
        <f t="shared" si="1"/>
        <v>Chunmun Aunty</v>
      </c>
    </row>
    <row r="34" spans="1:8" x14ac:dyDescent="0.55000000000000004">
      <c r="A34" s="9"/>
      <c r="B34" s="9">
        <v>52.66</v>
      </c>
      <c r="C34" s="9">
        <v>43.61</v>
      </c>
      <c r="D34" s="9">
        <v>59.980000000000004</v>
      </c>
      <c r="E34" s="9">
        <v>34.61</v>
      </c>
      <c r="F34" s="9">
        <v>52.65</v>
      </c>
      <c r="G34" s="14">
        <f t="shared" si="0"/>
        <v>34.61</v>
      </c>
      <c r="H34" s="4" t="str">
        <f t="shared" si="1"/>
        <v>Sikka</v>
      </c>
    </row>
    <row r="38" spans="1:8" x14ac:dyDescent="0.55000000000000004">
      <c r="A38" s="59" t="s">
        <v>1</v>
      </c>
      <c r="B38" s="2"/>
      <c r="C38" s="3">
        <v>0</v>
      </c>
      <c r="D38" s="3">
        <v>1</v>
      </c>
      <c r="E38" s="3">
        <v>2</v>
      </c>
      <c r="F38" s="3">
        <v>3</v>
      </c>
      <c r="G38" s="3">
        <v>4</v>
      </c>
      <c r="H38" s="3">
        <v>5</v>
      </c>
    </row>
    <row r="39" spans="1:8" x14ac:dyDescent="0.55000000000000004">
      <c r="A39" s="59"/>
      <c r="B39" s="3">
        <v>0</v>
      </c>
      <c r="C39" s="1">
        <v>6</v>
      </c>
      <c r="D39" s="1">
        <v>5</v>
      </c>
      <c r="E39" s="1">
        <v>4</v>
      </c>
      <c r="F39" s="1">
        <v>3</v>
      </c>
      <c r="G39" s="1">
        <v>2</v>
      </c>
      <c r="H39" s="1">
        <v>1</v>
      </c>
    </row>
    <row r="40" spans="1:8" x14ac:dyDescent="0.55000000000000004">
      <c r="A40" s="59"/>
      <c r="B40" s="3">
        <v>100</v>
      </c>
      <c r="C40" s="1">
        <v>7</v>
      </c>
      <c r="D40" s="1">
        <v>6</v>
      </c>
      <c r="E40" s="1">
        <v>5</v>
      </c>
      <c r="F40" s="1">
        <v>4</v>
      </c>
      <c r="G40" s="1">
        <v>3</v>
      </c>
      <c r="H40" s="1">
        <v>2</v>
      </c>
    </row>
    <row r="41" spans="1:8" x14ac:dyDescent="0.55000000000000004">
      <c r="A41" s="59"/>
      <c r="B41" s="3">
        <v>200</v>
      </c>
      <c r="C41" s="1">
        <v>8</v>
      </c>
      <c r="D41" s="1">
        <v>7</v>
      </c>
      <c r="E41" s="1">
        <v>6</v>
      </c>
      <c r="F41" s="1">
        <v>5</v>
      </c>
      <c r="G41" s="1">
        <v>4</v>
      </c>
      <c r="H41" s="1">
        <v>3</v>
      </c>
    </row>
    <row r="42" spans="1:8" x14ac:dyDescent="0.55000000000000004">
      <c r="A42" s="59"/>
      <c r="B42" s="3">
        <v>300</v>
      </c>
      <c r="C42" s="1">
        <v>9</v>
      </c>
      <c r="D42" s="1">
        <v>8</v>
      </c>
      <c r="E42" s="1">
        <v>7</v>
      </c>
      <c r="F42" s="1">
        <v>6</v>
      </c>
      <c r="G42" s="1">
        <v>5</v>
      </c>
      <c r="H42" s="1">
        <v>4</v>
      </c>
    </row>
    <row r="43" spans="1:8" x14ac:dyDescent="0.55000000000000004">
      <c r="A43" s="59"/>
      <c r="B43" s="3">
        <v>400</v>
      </c>
      <c r="C43" s="1">
        <v>10</v>
      </c>
      <c r="D43" s="1">
        <v>9</v>
      </c>
      <c r="E43" s="1">
        <v>8</v>
      </c>
      <c r="F43" s="1">
        <v>7</v>
      </c>
      <c r="G43" s="1">
        <v>6</v>
      </c>
      <c r="H43" s="1">
        <v>5</v>
      </c>
    </row>
    <row r="44" spans="1:8" x14ac:dyDescent="0.55000000000000004">
      <c r="A44" s="59"/>
      <c r="B44" s="3">
        <v>500</v>
      </c>
      <c r="C44" s="1">
        <v>11</v>
      </c>
      <c r="D44" s="1">
        <v>10</v>
      </c>
      <c r="E44" s="1">
        <v>9</v>
      </c>
      <c r="F44" s="1">
        <v>8</v>
      </c>
      <c r="G44" s="1">
        <v>7</v>
      </c>
      <c r="H44" s="1">
        <v>6</v>
      </c>
    </row>
    <row r="45" spans="1:8" x14ac:dyDescent="0.55000000000000004">
      <c r="A45" s="59"/>
      <c r="B45" s="3">
        <v>600</v>
      </c>
      <c r="C45" s="1">
        <v>12</v>
      </c>
      <c r="D45" s="1">
        <v>11</v>
      </c>
      <c r="E45" s="1">
        <v>10</v>
      </c>
      <c r="F45" s="1">
        <v>9</v>
      </c>
      <c r="G45" s="1">
        <v>8</v>
      </c>
      <c r="H45" s="1">
        <v>7</v>
      </c>
    </row>
    <row r="46" spans="1:8" x14ac:dyDescent="0.55000000000000004">
      <c r="A46" s="60"/>
      <c r="B46" s="3">
        <v>700</v>
      </c>
      <c r="C46" s="1">
        <v>13</v>
      </c>
      <c r="D46" s="1">
        <v>12</v>
      </c>
      <c r="E46" s="1">
        <v>11</v>
      </c>
      <c r="F46" s="1">
        <v>10</v>
      </c>
      <c r="G46" s="1">
        <v>9</v>
      </c>
      <c r="H46" s="1">
        <v>8</v>
      </c>
    </row>
    <row r="48" spans="1:8" x14ac:dyDescent="0.55000000000000004">
      <c r="D48" s="6" t="s">
        <v>50</v>
      </c>
      <c r="F48" s="6" t="s">
        <v>51</v>
      </c>
    </row>
    <row r="49" spans="2:7" x14ac:dyDescent="0.55000000000000004">
      <c r="B49" s="7" t="s">
        <v>1</v>
      </c>
      <c r="C49" s="8">
        <v>450</v>
      </c>
      <c r="D49" s="4">
        <f>MATCH(C49,B39:B46,1)</f>
        <v>5</v>
      </c>
      <c r="F49" s="14">
        <f>INDEX(C39:H46,D49,D50)</f>
        <v>6</v>
      </c>
    </row>
    <row r="50" spans="2:7" x14ac:dyDescent="0.55000000000000004">
      <c r="B50" s="7" t="s">
        <v>0</v>
      </c>
      <c r="C50" s="8">
        <v>4</v>
      </c>
      <c r="D50" s="4">
        <f>MATCH(C50,C38:H38,0)</f>
        <v>5</v>
      </c>
      <c r="F50" s="14">
        <f>INDEX(C39:H46,MATCH(C49,B39:B46,1),MATCH(C50,C38:H38,0))</f>
        <v>6</v>
      </c>
      <c r="G50" s="57" t="s">
        <v>177</v>
      </c>
    </row>
  </sheetData>
  <mergeCells count="1">
    <mergeCell ref="A38:A46"/>
  </mergeCells>
  <dataValidations count="1">
    <dataValidation type="list" allowBlank="1" showInputMessage="1" showErrorMessage="1" sqref="B17:B19" xr:uid="{00000000-0002-0000-0200-000000000000}">
      <formula1>$C$4:$C$13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A1:J13"/>
  <sheetViews>
    <sheetView zoomScaleNormal="100" workbookViewId="0">
      <selection activeCell="A8" sqref="A8"/>
    </sheetView>
  </sheetViews>
  <sheetFormatPr defaultColWidth="9.15625" defaultRowHeight="14.4" x14ac:dyDescent="0.55000000000000004"/>
  <cols>
    <col min="1" max="1" width="16.68359375" customWidth="1"/>
    <col min="2" max="2" width="21.41796875" customWidth="1"/>
    <col min="3" max="3" width="17.68359375" bestFit="1" customWidth="1"/>
    <col min="4" max="4" width="15.26171875" customWidth="1"/>
    <col min="5" max="5" width="10.68359375" customWidth="1"/>
    <col min="6" max="6" width="7.83984375" bestFit="1" customWidth="1"/>
    <col min="7" max="7" width="15.578125" customWidth="1"/>
    <col min="8" max="8" width="2" customWidth="1"/>
    <col min="14" max="15" width="16.578125" bestFit="1" customWidth="1"/>
  </cols>
  <sheetData>
    <row r="1" spans="1:10" x14ac:dyDescent="0.55000000000000004">
      <c r="A1" t="s">
        <v>52</v>
      </c>
    </row>
    <row r="2" spans="1:10" x14ac:dyDescent="0.55000000000000004">
      <c r="A2" t="s">
        <v>53</v>
      </c>
    </row>
    <row r="3" spans="1:10" x14ac:dyDescent="0.55000000000000004">
      <c r="A3" s="10" t="s">
        <v>54</v>
      </c>
      <c r="B3" s="18">
        <v>1</v>
      </c>
      <c r="C3" s="18">
        <v>5</v>
      </c>
      <c r="D3" s="18">
        <v>25</v>
      </c>
      <c r="E3" s="18">
        <v>100</v>
      </c>
    </row>
    <row r="4" spans="1:10" x14ac:dyDescent="0.55000000000000004">
      <c r="A4" s="18" t="s">
        <v>55</v>
      </c>
      <c r="B4" s="19">
        <v>0.13</v>
      </c>
      <c r="C4" s="19">
        <v>0.15</v>
      </c>
      <c r="D4" s="19">
        <v>0.17</v>
      </c>
      <c r="E4" s="19">
        <v>0.19</v>
      </c>
    </row>
    <row r="5" spans="1:10" x14ac:dyDescent="0.55000000000000004">
      <c r="A5" s="18" t="s">
        <v>56</v>
      </c>
      <c r="B5" s="19">
        <v>0.14000000000000001</v>
      </c>
      <c r="C5" s="19">
        <v>0.16</v>
      </c>
      <c r="D5" s="19">
        <v>0.18</v>
      </c>
      <c r="E5" s="19">
        <v>0.2</v>
      </c>
    </row>
    <row r="6" spans="1:10" x14ac:dyDescent="0.55000000000000004">
      <c r="A6" s="18" t="s">
        <v>57</v>
      </c>
      <c r="B6" s="19">
        <v>0.15</v>
      </c>
      <c r="C6" s="19">
        <v>0.17</v>
      </c>
      <c r="D6" s="19">
        <v>0.19</v>
      </c>
      <c r="E6" s="19">
        <v>0.21</v>
      </c>
    </row>
    <row r="7" spans="1:10" x14ac:dyDescent="0.55000000000000004">
      <c r="A7" s="18" t="s">
        <v>58</v>
      </c>
      <c r="B7" s="19">
        <v>0.16</v>
      </c>
      <c r="C7" s="19">
        <v>0.18</v>
      </c>
      <c r="D7" s="19">
        <v>0.2</v>
      </c>
      <c r="E7" s="19">
        <v>0.22</v>
      </c>
    </row>
    <row r="8" spans="1:10" x14ac:dyDescent="0.55000000000000004">
      <c r="A8" s="18" t="s">
        <v>59</v>
      </c>
      <c r="B8" s="19">
        <v>0.17</v>
      </c>
      <c r="C8" s="19">
        <v>0.19</v>
      </c>
      <c r="D8" s="19">
        <v>0.21</v>
      </c>
      <c r="E8" s="19">
        <v>0.23</v>
      </c>
    </row>
    <row r="9" spans="1:10" x14ac:dyDescent="0.55000000000000004">
      <c r="A9" s="18" t="s">
        <v>60</v>
      </c>
      <c r="B9" s="19">
        <v>0.18</v>
      </c>
      <c r="C9" s="19">
        <v>0.2</v>
      </c>
      <c r="D9" s="19">
        <v>0.22</v>
      </c>
      <c r="E9" s="19">
        <v>0.24</v>
      </c>
    </row>
    <row r="11" spans="1:10" x14ac:dyDescent="0.55000000000000004">
      <c r="A11" s="10" t="s">
        <v>61</v>
      </c>
      <c r="B11" s="20" t="s">
        <v>59</v>
      </c>
      <c r="C11" s="4"/>
      <c r="D11" s="21" t="s">
        <v>62</v>
      </c>
    </row>
    <row r="12" spans="1:10" x14ac:dyDescent="0.55000000000000004">
      <c r="A12" s="10" t="s">
        <v>63</v>
      </c>
      <c r="B12" s="20">
        <v>5</v>
      </c>
      <c r="C12" s="4"/>
      <c r="D12" s="22" t="s">
        <v>64</v>
      </c>
      <c r="J12" s="17"/>
    </row>
    <row r="13" spans="1:10" x14ac:dyDescent="0.55000000000000004">
      <c r="A13" s="10" t="s">
        <v>65</v>
      </c>
      <c r="B13" s="23"/>
      <c r="C13" t="s">
        <v>66</v>
      </c>
      <c r="D13" s="24" t="s">
        <v>67</v>
      </c>
    </row>
  </sheetData>
  <conditionalFormatting sqref="A3:E9">
    <cfRule type="expression" dxfId="2" priority="1">
      <formula>AND($A3=$B$11,LOOKUP($B$12,$A$3:$E$3)=A$3)</formula>
    </cfRule>
    <cfRule type="expression" dxfId="0" priority="2">
      <formula>COLUMNS($A3:A3)=MATCH($B$12,$A$3:$E$3)</formula>
    </cfRule>
    <cfRule type="expression" dxfId="1" priority="3">
      <formula>$A3=$B$11</formula>
    </cfRule>
  </conditionalFormatting>
  <dataValidations count="2">
    <dataValidation type="list" allowBlank="1" showInputMessage="1" showErrorMessage="1" sqref="B11" xr:uid="{00000000-0002-0000-0300-000000000000}">
      <formula1>$A$4:$A$9</formula1>
    </dataValidation>
    <dataValidation type="whole" allowBlank="1" showInputMessage="1" showErrorMessage="1" errorTitle="Enter # between 1 and 1000" error="Enter # between 1 and 1000" sqref="B12" xr:uid="{00000000-0002-0000-0300-000001000000}">
      <formula1>1</formula1>
      <formula2>1000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28"/>
  <sheetViews>
    <sheetView topLeftCell="A3" workbookViewId="0">
      <selection activeCell="I18" sqref="I18"/>
    </sheetView>
  </sheetViews>
  <sheetFormatPr defaultColWidth="9.15625" defaultRowHeight="14.4" x14ac:dyDescent="0.55000000000000004"/>
  <cols>
    <col min="1" max="1" width="4" customWidth="1"/>
    <col min="7" max="7" width="1.578125" customWidth="1"/>
    <col min="8" max="8" width="9" bestFit="1" customWidth="1"/>
    <col min="9" max="9" width="17" bestFit="1" customWidth="1"/>
    <col min="10" max="10" width="17.15625" bestFit="1" customWidth="1"/>
    <col min="11" max="11" width="7.578125" bestFit="1" customWidth="1"/>
    <col min="12" max="12" width="16.26171875" customWidth="1"/>
  </cols>
  <sheetData>
    <row r="2" spans="1:10" x14ac:dyDescent="0.55000000000000004">
      <c r="A2" s="26" t="s">
        <v>68</v>
      </c>
      <c r="B2" s="26"/>
      <c r="C2" s="26"/>
      <c r="D2" s="26"/>
      <c r="E2" s="26"/>
      <c r="F2" s="26"/>
    </row>
    <row r="3" spans="1:10" x14ac:dyDescent="0.55000000000000004">
      <c r="A3" s="3">
        <v>2</v>
      </c>
      <c r="B3" s="27" t="s">
        <v>69</v>
      </c>
      <c r="C3" s="28"/>
      <c r="D3" s="28"/>
      <c r="E3" s="28"/>
      <c r="F3" s="28"/>
      <c r="H3" s="29" t="s">
        <v>70</v>
      </c>
      <c r="I3" s="29" t="s">
        <v>71</v>
      </c>
      <c r="J3" s="29" t="s">
        <v>72</v>
      </c>
    </row>
    <row r="4" spans="1:10" x14ac:dyDescent="0.55000000000000004">
      <c r="B4" s="2"/>
      <c r="C4" s="30" t="s">
        <v>73</v>
      </c>
      <c r="D4" s="31"/>
      <c r="E4" s="31"/>
      <c r="F4" s="32"/>
      <c r="H4" s="33" t="s">
        <v>74</v>
      </c>
      <c r="I4" s="34" t="s">
        <v>75</v>
      </c>
      <c r="J4" s="35" t="s">
        <v>69</v>
      </c>
    </row>
    <row r="5" spans="1:10" x14ac:dyDescent="0.55000000000000004">
      <c r="B5" s="29" t="s">
        <v>70</v>
      </c>
      <c r="C5" s="34" t="s">
        <v>75</v>
      </c>
      <c r="D5" s="34" t="s">
        <v>76</v>
      </c>
      <c r="E5" s="34" t="s">
        <v>77</v>
      </c>
      <c r="F5" s="34" t="s">
        <v>78</v>
      </c>
      <c r="H5" s="33" t="s">
        <v>79</v>
      </c>
      <c r="I5" s="34" t="s">
        <v>76</v>
      </c>
      <c r="J5" s="35" t="s">
        <v>80</v>
      </c>
    </row>
    <row r="6" spans="1:10" x14ac:dyDescent="0.55000000000000004">
      <c r="B6" s="33" t="s">
        <v>74</v>
      </c>
      <c r="C6" s="46">
        <v>0.125</v>
      </c>
      <c r="D6" s="46">
        <v>0.13500000000000001</v>
      </c>
      <c r="E6" s="46">
        <v>1.5249999999999999</v>
      </c>
      <c r="F6" s="46">
        <v>0.22500000000000001</v>
      </c>
      <c r="H6" s="33" t="s">
        <v>81</v>
      </c>
      <c r="I6" s="34" t="s">
        <v>77</v>
      </c>
      <c r="J6" s="35" t="s">
        <v>82</v>
      </c>
    </row>
    <row r="7" spans="1:10" x14ac:dyDescent="0.55000000000000004">
      <c r="B7" s="33" t="s">
        <v>79</v>
      </c>
      <c r="C7" s="46">
        <v>0.20499999999999999</v>
      </c>
      <c r="D7" s="46">
        <v>0.14499999999999999</v>
      </c>
      <c r="E7" s="46">
        <v>2.0249999999999999</v>
      </c>
      <c r="F7" s="46">
        <v>0.245</v>
      </c>
      <c r="H7" s="33" t="s">
        <v>83</v>
      </c>
      <c r="I7" s="34" t="s">
        <v>78</v>
      </c>
    </row>
    <row r="8" spans="1:10" x14ac:dyDescent="0.55000000000000004">
      <c r="B8" s="33" t="s">
        <v>81</v>
      </c>
      <c r="C8" s="46">
        <v>0.26500000000000001</v>
      </c>
      <c r="D8" s="46">
        <v>0.16500000000000001</v>
      </c>
      <c r="E8" s="46">
        <v>2.125</v>
      </c>
      <c r="F8" s="46">
        <v>0.22500000000000001</v>
      </c>
      <c r="H8" s="33" t="s">
        <v>84</v>
      </c>
    </row>
    <row r="9" spans="1:10" x14ac:dyDescent="0.55000000000000004">
      <c r="B9" s="33" t="s">
        <v>83</v>
      </c>
      <c r="C9" s="46">
        <v>0.30500000000000005</v>
      </c>
      <c r="D9" s="46">
        <v>0.185</v>
      </c>
      <c r="E9" s="46">
        <v>2.2749999999999999</v>
      </c>
      <c r="F9" s="46">
        <v>0.22500000000000001</v>
      </c>
      <c r="I9" s="29" t="s">
        <v>70</v>
      </c>
      <c r="J9" s="10" t="s">
        <v>85</v>
      </c>
    </row>
    <row r="10" spans="1:10" x14ac:dyDescent="0.55000000000000004">
      <c r="B10" s="33" t="s">
        <v>84</v>
      </c>
      <c r="C10" s="46">
        <v>0.47500000000000003</v>
      </c>
      <c r="D10" s="46">
        <v>0.42500000000000004</v>
      </c>
      <c r="E10" s="46">
        <v>3.5249999999999999</v>
      </c>
      <c r="F10" s="46">
        <v>0.375</v>
      </c>
      <c r="I10" s="2" t="s">
        <v>81</v>
      </c>
      <c r="J10" s="4">
        <f>MATCH(I10,Region,0)</f>
        <v>3</v>
      </c>
    </row>
    <row r="11" spans="1:10" x14ac:dyDescent="0.55000000000000004">
      <c r="I11" s="29" t="s">
        <v>71</v>
      </c>
      <c r="J11" s="10" t="s">
        <v>86</v>
      </c>
    </row>
    <row r="12" spans="1:10" x14ac:dyDescent="0.55000000000000004">
      <c r="B12" s="28" t="s">
        <v>80</v>
      </c>
      <c r="C12" s="28"/>
      <c r="D12" s="28"/>
      <c r="E12" s="28"/>
      <c r="F12" s="28"/>
      <c r="I12" s="2" t="s">
        <v>76</v>
      </c>
      <c r="J12" s="4">
        <f>MATCH(I12,Shipping_Method,0)</f>
        <v>2</v>
      </c>
    </row>
    <row r="13" spans="1:10" x14ac:dyDescent="0.55000000000000004">
      <c r="B13" s="2"/>
      <c r="C13" s="30" t="s">
        <v>87</v>
      </c>
      <c r="D13" s="31"/>
      <c r="E13" s="31"/>
      <c r="F13" s="32"/>
      <c r="I13" s="29" t="s">
        <v>72</v>
      </c>
      <c r="J13" s="10" t="s">
        <v>88</v>
      </c>
    </row>
    <row r="14" spans="1:10" x14ac:dyDescent="0.55000000000000004">
      <c r="B14" s="36" t="s">
        <v>70</v>
      </c>
      <c r="C14" s="34" t="s">
        <v>75</v>
      </c>
      <c r="D14" s="34" t="s">
        <v>76</v>
      </c>
      <c r="E14" s="34" t="s">
        <v>77</v>
      </c>
      <c r="F14" s="34" t="s">
        <v>78</v>
      </c>
      <c r="I14" s="2" t="s">
        <v>80</v>
      </c>
      <c r="J14" s="4">
        <f>MATCH(I14,Customer_Type,0)</f>
        <v>2</v>
      </c>
    </row>
    <row r="15" spans="1:10" x14ac:dyDescent="0.55000000000000004">
      <c r="B15" s="33" t="s">
        <v>74</v>
      </c>
      <c r="C15" s="46">
        <v>0.11499999999999999</v>
      </c>
      <c r="D15" s="46">
        <v>0.125</v>
      </c>
      <c r="E15" s="46">
        <v>1.375</v>
      </c>
      <c r="F15" s="46">
        <v>0.20499999999999999</v>
      </c>
      <c r="I15" s="29" t="s">
        <v>89</v>
      </c>
    </row>
    <row r="16" spans="1:10" x14ac:dyDescent="0.55000000000000004">
      <c r="B16" s="33" t="s">
        <v>79</v>
      </c>
      <c r="C16" s="46">
        <v>0.185</v>
      </c>
      <c r="D16" s="46">
        <v>0.13500000000000001</v>
      </c>
      <c r="E16" s="46">
        <v>1.825</v>
      </c>
      <c r="F16" s="46">
        <v>0.215</v>
      </c>
      <c r="I16" s="14">
        <f>INDEX((C6:F10,C15:F19,C24:F28),J10,J12,J14)</f>
        <v>0.155</v>
      </c>
    </row>
    <row r="17" spans="2:10" x14ac:dyDescent="0.55000000000000004">
      <c r="B17" s="33" t="s">
        <v>81</v>
      </c>
      <c r="C17" s="46">
        <v>0.245</v>
      </c>
      <c r="D17" s="46">
        <v>0.155</v>
      </c>
      <c r="E17" s="46">
        <v>1.9149999999999998</v>
      </c>
      <c r="F17" s="46">
        <v>0.20499999999999999</v>
      </c>
      <c r="I17" s="14"/>
    </row>
    <row r="18" spans="2:10" x14ac:dyDescent="0.55000000000000004">
      <c r="B18" s="33" t="s">
        <v>83</v>
      </c>
      <c r="C18" s="46">
        <v>0.27500000000000002</v>
      </c>
      <c r="D18" s="46">
        <v>0.16500000000000001</v>
      </c>
      <c r="E18" s="46">
        <v>2.0549999999999997</v>
      </c>
      <c r="F18" s="46">
        <v>0.20499999999999999</v>
      </c>
      <c r="I18" s="14">
        <f>INDEX(Tables,J10,J12,J14)</f>
        <v>0.155</v>
      </c>
      <c r="J18" t="s">
        <v>90</v>
      </c>
    </row>
    <row r="19" spans="2:10" x14ac:dyDescent="0.55000000000000004">
      <c r="B19" s="33" t="s">
        <v>84</v>
      </c>
      <c r="C19" s="46">
        <v>0.435</v>
      </c>
      <c r="D19" s="46">
        <v>0.38500000000000001</v>
      </c>
      <c r="E19" s="46">
        <v>3.1749999999999998</v>
      </c>
      <c r="F19" s="46">
        <v>0.34500000000000003</v>
      </c>
    </row>
    <row r="21" spans="2:10" x14ac:dyDescent="0.55000000000000004">
      <c r="B21" s="28" t="s">
        <v>82</v>
      </c>
      <c r="C21" s="28"/>
      <c r="D21" s="28"/>
      <c r="E21" s="28"/>
      <c r="F21" s="28"/>
    </row>
    <row r="22" spans="2:10" x14ac:dyDescent="0.55000000000000004">
      <c r="B22" s="2"/>
      <c r="C22" s="30" t="s">
        <v>91</v>
      </c>
      <c r="D22" s="31"/>
      <c r="E22" s="31"/>
      <c r="F22" s="32"/>
    </row>
    <row r="23" spans="2:10" x14ac:dyDescent="0.55000000000000004">
      <c r="B23" s="36" t="s">
        <v>70</v>
      </c>
      <c r="C23" s="34" t="s">
        <v>75</v>
      </c>
      <c r="D23" s="34" t="s">
        <v>76</v>
      </c>
      <c r="E23" s="34" t="s">
        <v>77</v>
      </c>
      <c r="F23" s="34" t="s">
        <v>78</v>
      </c>
    </row>
    <row r="24" spans="2:10" x14ac:dyDescent="0.55000000000000004">
      <c r="B24" s="33" t="s">
        <v>74</v>
      </c>
      <c r="C24" s="46">
        <v>0.10500000000000001</v>
      </c>
      <c r="D24" s="46">
        <v>0.11499999999999999</v>
      </c>
      <c r="E24" s="46">
        <v>1.2449999999999999</v>
      </c>
      <c r="F24" s="46">
        <v>0.17499999999999999</v>
      </c>
    </row>
    <row r="25" spans="2:10" x14ac:dyDescent="0.55000000000000004">
      <c r="B25" s="33" t="s">
        <v>79</v>
      </c>
      <c r="C25" s="46">
        <v>0.17499999999999999</v>
      </c>
      <c r="D25" s="46">
        <v>0.125</v>
      </c>
      <c r="E25" s="46">
        <v>1.645</v>
      </c>
      <c r="F25" s="46">
        <v>0.16500000000000001</v>
      </c>
    </row>
    <row r="26" spans="2:10" x14ac:dyDescent="0.55000000000000004">
      <c r="B26" s="33" t="s">
        <v>81</v>
      </c>
      <c r="C26" s="46">
        <v>0.215</v>
      </c>
      <c r="D26" s="46">
        <v>0.13500000000000001</v>
      </c>
      <c r="E26" s="46">
        <v>1.7249999999999999</v>
      </c>
      <c r="F26" s="46">
        <v>0.185</v>
      </c>
    </row>
    <row r="27" spans="2:10" x14ac:dyDescent="0.55000000000000004">
      <c r="B27" s="33" t="s">
        <v>83</v>
      </c>
      <c r="C27" s="46">
        <v>0.255</v>
      </c>
      <c r="D27" s="46">
        <v>0.155</v>
      </c>
      <c r="E27" s="46">
        <v>1.845</v>
      </c>
      <c r="F27" s="46">
        <v>0.185</v>
      </c>
    </row>
    <row r="28" spans="2:10" x14ac:dyDescent="0.55000000000000004">
      <c r="B28" s="33" t="s">
        <v>84</v>
      </c>
      <c r="C28" s="46">
        <v>0.38500000000000001</v>
      </c>
      <c r="D28" s="46">
        <v>0.34500000000000003</v>
      </c>
      <c r="E28" s="46">
        <v>2.8649999999999998</v>
      </c>
      <c r="F28" s="46">
        <v>0.30500000000000005</v>
      </c>
    </row>
  </sheetData>
  <conditionalFormatting sqref="C15:F19 C24:F28 C6:F10">
    <cfRule type="expression" dxfId="3" priority="1" stopIfTrue="1">
      <formula>AND($B6=$I$10,C$23=$I$12)</formula>
    </cfRule>
  </conditionalFormatting>
  <dataValidations count="3">
    <dataValidation type="list" allowBlank="1" showInputMessage="1" showErrorMessage="1" sqref="I14" xr:uid="{00000000-0002-0000-0400-000000000000}">
      <formula1>$J$4:$J$6</formula1>
    </dataValidation>
    <dataValidation type="list" allowBlank="1" showInputMessage="1" showErrorMessage="1" sqref="I12" xr:uid="{00000000-0002-0000-0400-000001000000}">
      <formula1>$I$4:$I$7</formula1>
    </dataValidation>
    <dataValidation type="list" allowBlank="1" showInputMessage="1" showErrorMessage="1" sqref="I10" xr:uid="{00000000-0002-0000-0400-000002000000}">
      <formula1>$H$4:$H$8</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7"/>
  <sheetViews>
    <sheetView zoomScale="110" zoomScaleNormal="110" workbookViewId="0">
      <selection activeCell="J12" sqref="J12"/>
    </sheetView>
  </sheetViews>
  <sheetFormatPr defaultColWidth="9.15625" defaultRowHeight="14.4" x14ac:dyDescent="0.55000000000000004"/>
  <cols>
    <col min="1" max="2" width="13.578125" bestFit="1" customWidth="1"/>
    <col min="3" max="3" width="9.41796875" bestFit="1" customWidth="1"/>
    <col min="4" max="4" width="4.15625" bestFit="1" customWidth="1"/>
    <col min="9" max="9" width="2" customWidth="1"/>
    <col min="10" max="10" width="19.578125" bestFit="1" customWidth="1"/>
    <col min="11" max="11" width="2.83984375" customWidth="1"/>
    <col min="12" max="12" width="23.83984375" customWidth="1"/>
  </cols>
  <sheetData>
    <row r="1" spans="1:5" ht="25.5" x14ac:dyDescent="0.55000000000000004">
      <c r="A1" s="27" t="s">
        <v>92</v>
      </c>
      <c r="B1" s="27"/>
      <c r="C1" s="27"/>
      <c r="D1" s="27"/>
      <c r="E1" s="27"/>
    </row>
    <row r="2" spans="1:5" ht="25.5" x14ac:dyDescent="0.55000000000000004">
      <c r="A2" s="37" t="s">
        <v>93</v>
      </c>
      <c r="B2" s="37"/>
      <c r="C2" s="37"/>
      <c r="D2" s="37"/>
      <c r="E2" s="37"/>
    </row>
    <row r="3" spans="1:5" x14ac:dyDescent="0.55000000000000004">
      <c r="A3" s="10" t="s">
        <v>94</v>
      </c>
      <c r="B3" s="38" t="str">
        <f>A4&amp;" Total"</f>
        <v>Feb Total</v>
      </c>
    </row>
    <row r="4" spans="1:5" x14ac:dyDescent="0.55000000000000004">
      <c r="A4" s="2" t="s">
        <v>97</v>
      </c>
      <c r="B4" s="4">
        <f>SUM(INDEX(A5:D8,,MATCH(A4,A5:D5,0)))</f>
        <v>12</v>
      </c>
    </row>
    <row r="5" spans="1:5" x14ac:dyDescent="0.55000000000000004">
      <c r="A5" s="10" t="s">
        <v>96</v>
      </c>
      <c r="B5" s="10" t="s">
        <v>97</v>
      </c>
      <c r="C5" s="10" t="s">
        <v>95</v>
      </c>
      <c r="D5" s="10" t="s">
        <v>98</v>
      </c>
    </row>
    <row r="6" spans="1:5" x14ac:dyDescent="0.55000000000000004">
      <c r="A6" s="2">
        <v>1</v>
      </c>
      <c r="B6" s="2">
        <v>4</v>
      </c>
      <c r="C6" s="2">
        <v>4</v>
      </c>
      <c r="D6" s="2">
        <v>5</v>
      </c>
    </row>
    <row r="7" spans="1:5" x14ac:dyDescent="0.55000000000000004">
      <c r="A7" s="2">
        <v>3</v>
      </c>
      <c r="B7" s="2">
        <v>4</v>
      </c>
      <c r="C7" s="2">
        <v>12</v>
      </c>
      <c r="D7" s="2">
        <v>1</v>
      </c>
    </row>
    <row r="8" spans="1:5" x14ac:dyDescent="0.55000000000000004">
      <c r="A8" s="2">
        <v>1</v>
      </c>
      <c r="B8" s="2">
        <v>4</v>
      </c>
      <c r="C8" s="2">
        <v>2</v>
      </c>
      <c r="D8" s="2">
        <v>2</v>
      </c>
    </row>
    <row r="10" spans="1:5" ht="25.5" x14ac:dyDescent="0.55000000000000004">
      <c r="A10" s="27" t="s">
        <v>99</v>
      </c>
      <c r="B10" s="27"/>
      <c r="C10" s="27"/>
      <c r="D10" s="27"/>
      <c r="E10" s="27"/>
    </row>
    <row r="11" spans="1:5" ht="25.5" x14ac:dyDescent="0.55000000000000004">
      <c r="A11" s="37" t="s">
        <v>100</v>
      </c>
      <c r="B11" s="37"/>
      <c r="C11" s="37"/>
      <c r="D11" s="37"/>
      <c r="E11" s="37"/>
    </row>
    <row r="12" spans="1:5" x14ac:dyDescent="0.55000000000000004">
      <c r="A12" s="10" t="s">
        <v>94</v>
      </c>
      <c r="B12" s="38" t="str">
        <f>A13&amp;" Total"</f>
        <v>Feb Total</v>
      </c>
    </row>
    <row r="13" spans="1:5" x14ac:dyDescent="0.55000000000000004">
      <c r="A13" s="2" t="s">
        <v>97</v>
      </c>
      <c r="B13" s="4">
        <f>SUM(INDEX(B14:D17,MATCH(A13,A14:A17,0),))</f>
        <v>12</v>
      </c>
    </row>
    <row r="14" spans="1:5" x14ac:dyDescent="0.55000000000000004">
      <c r="A14" s="10" t="str">
        <f t="array" ref="A14:D17">TRANSPOSE(A5:D8)</f>
        <v>Jan</v>
      </c>
      <c r="B14" s="2">
        <v>1</v>
      </c>
      <c r="C14" s="2">
        <v>3</v>
      </c>
      <c r="D14" s="2">
        <v>1</v>
      </c>
    </row>
    <row r="15" spans="1:5" x14ac:dyDescent="0.55000000000000004">
      <c r="A15" s="10" t="str">
        <v>Feb</v>
      </c>
      <c r="B15" s="2">
        <v>4</v>
      </c>
      <c r="C15" s="2">
        <v>4</v>
      </c>
      <c r="D15" s="2">
        <v>4</v>
      </c>
    </row>
    <row r="16" spans="1:5" x14ac:dyDescent="0.55000000000000004">
      <c r="A16" s="10" t="str">
        <v>Mar</v>
      </c>
      <c r="B16" s="2">
        <v>4</v>
      </c>
      <c r="C16" s="2">
        <v>12</v>
      </c>
      <c r="D16" s="2">
        <v>2</v>
      </c>
    </row>
    <row r="17" spans="1:4" x14ac:dyDescent="0.55000000000000004">
      <c r="A17" s="10" t="str">
        <v>Apr</v>
      </c>
      <c r="B17" s="2">
        <v>5</v>
      </c>
      <c r="C17" s="2">
        <v>1</v>
      </c>
      <c r="D17" s="2">
        <v>2</v>
      </c>
    </row>
  </sheetData>
  <dataValidations count="1">
    <dataValidation type="list" allowBlank="1" showInputMessage="1" showErrorMessage="1" sqref="A13 A4" xr:uid="{00000000-0002-0000-0500-000000000000}">
      <formula1>$A$5:$D$5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sheetPr>
  <dimension ref="A2:G48"/>
  <sheetViews>
    <sheetView topLeftCell="A25" zoomScale="110" zoomScaleNormal="110" workbookViewId="0">
      <selection activeCell="B41" sqref="B41"/>
    </sheetView>
  </sheetViews>
  <sheetFormatPr defaultColWidth="9.15625" defaultRowHeight="14.4" x14ac:dyDescent="0.55000000000000004"/>
  <cols>
    <col min="1" max="1" width="34" customWidth="1"/>
    <col min="2" max="2" width="17.26171875" customWidth="1"/>
    <col min="3" max="3" width="14.26171875" customWidth="1"/>
    <col min="4" max="4" width="20.68359375" customWidth="1"/>
    <col min="5" max="5" width="13" customWidth="1"/>
    <col min="6" max="6" width="17" bestFit="1" customWidth="1"/>
    <col min="7" max="7" width="13.68359375" customWidth="1"/>
  </cols>
  <sheetData>
    <row r="2" spans="1:5" x14ac:dyDescent="0.55000000000000004">
      <c r="A2" s="17" t="s">
        <v>101</v>
      </c>
    </row>
    <row r="3" spans="1:5" x14ac:dyDescent="0.55000000000000004">
      <c r="A3" s="10" t="s">
        <v>102</v>
      </c>
      <c r="B3" s="10" t="s">
        <v>103</v>
      </c>
      <c r="C3" s="10" t="s">
        <v>104</v>
      </c>
      <c r="D3" s="10" t="s">
        <v>105</v>
      </c>
      <c r="E3" s="10" t="s">
        <v>106</v>
      </c>
    </row>
    <row r="4" spans="1:5" x14ac:dyDescent="0.55000000000000004">
      <c r="A4" s="2" t="s">
        <v>107</v>
      </c>
      <c r="B4" s="4" t="str">
        <f>VLOOKUP($A$4,$A$11:$E$18,2,0)</f>
        <v>Kapoor</v>
      </c>
      <c r="C4" s="4" t="str">
        <f>VLOOKUP($A$4,$A$11:$E$18,3,0)</f>
        <v>Garima</v>
      </c>
      <c r="D4" s="4" t="str">
        <f>VLOOKUP($A$4,$A$11:$E$18,4,0)</f>
        <v>KG253@snu.com</v>
      </c>
      <c r="E4" s="4" t="str">
        <f>VLOOKUP($A$4,$A$11:$E$18,5,0)</f>
        <v>253-452-9723</v>
      </c>
    </row>
    <row r="6" spans="1:5" x14ac:dyDescent="0.55000000000000004">
      <c r="A6" s="17" t="s">
        <v>108</v>
      </c>
    </row>
    <row r="7" spans="1:5" x14ac:dyDescent="0.55000000000000004">
      <c r="A7" s="17"/>
      <c r="B7">
        <v>2</v>
      </c>
      <c r="C7">
        <v>3</v>
      </c>
      <c r="D7">
        <v>4</v>
      </c>
      <c r="E7">
        <v>5</v>
      </c>
    </row>
    <row r="8" spans="1:5" x14ac:dyDescent="0.55000000000000004">
      <c r="A8" s="10" t="s">
        <v>102</v>
      </c>
      <c r="B8" s="10" t="s">
        <v>103</v>
      </c>
      <c r="C8" s="10" t="s">
        <v>104</v>
      </c>
      <c r="D8" s="10" t="s">
        <v>105</v>
      </c>
      <c r="E8" s="10" t="s">
        <v>106</v>
      </c>
    </row>
    <row r="9" spans="1:5" x14ac:dyDescent="0.55000000000000004">
      <c r="A9" s="2" t="str">
        <f>A4</f>
        <v>880-10005</v>
      </c>
      <c r="B9" s="4" t="str">
        <f>VLOOKUP($A$9,$A$11:$E$18,B7,0)</f>
        <v>Kapoor</v>
      </c>
      <c r="C9" s="4" t="str">
        <f t="shared" ref="C9:E9" si="0">VLOOKUP($A$9,$A$11:$E$18,C7,0)</f>
        <v>Garima</v>
      </c>
      <c r="D9" s="4" t="str">
        <f t="shared" si="0"/>
        <v>KG253@snu.com</v>
      </c>
      <c r="E9" s="4" t="str">
        <f t="shared" si="0"/>
        <v>253-452-9723</v>
      </c>
    </row>
    <row r="11" spans="1:5" x14ac:dyDescent="0.55000000000000004">
      <c r="A11" s="10" t="s">
        <v>102</v>
      </c>
      <c r="B11" s="10" t="s">
        <v>103</v>
      </c>
      <c r="C11" s="10" t="s">
        <v>104</v>
      </c>
      <c r="D11" s="10" t="s">
        <v>105</v>
      </c>
      <c r="E11" s="10" t="s">
        <v>106</v>
      </c>
    </row>
    <row r="12" spans="1:5" x14ac:dyDescent="0.55000000000000004">
      <c r="A12" s="2" t="s">
        <v>109</v>
      </c>
      <c r="B12" s="2" t="s">
        <v>156</v>
      </c>
      <c r="C12" s="2" t="s">
        <v>157</v>
      </c>
      <c r="D12" s="2" t="s">
        <v>169</v>
      </c>
      <c r="E12" s="2" t="s">
        <v>110</v>
      </c>
    </row>
    <row r="13" spans="1:5" x14ac:dyDescent="0.55000000000000004">
      <c r="A13" s="2" t="s">
        <v>111</v>
      </c>
      <c r="B13" s="2" t="s">
        <v>158</v>
      </c>
      <c r="C13" s="2" t="s">
        <v>155</v>
      </c>
      <c r="D13" s="2" t="s">
        <v>170</v>
      </c>
      <c r="E13" s="2" t="s">
        <v>112</v>
      </c>
    </row>
    <row r="14" spans="1:5" x14ac:dyDescent="0.55000000000000004">
      <c r="A14" s="2" t="s">
        <v>113</v>
      </c>
      <c r="B14" s="2" t="s">
        <v>159</v>
      </c>
      <c r="C14" s="2" t="s">
        <v>160</v>
      </c>
      <c r="D14" s="2" t="s">
        <v>171</v>
      </c>
      <c r="E14" s="2" t="s">
        <v>114</v>
      </c>
    </row>
    <row r="15" spans="1:5" x14ac:dyDescent="0.55000000000000004">
      <c r="A15" s="2" t="s">
        <v>115</v>
      </c>
      <c r="B15" s="2" t="s">
        <v>161</v>
      </c>
      <c r="C15" s="2" t="s">
        <v>162</v>
      </c>
      <c r="D15" s="2" t="s">
        <v>172</v>
      </c>
      <c r="E15" s="2" t="s">
        <v>116</v>
      </c>
    </row>
    <row r="16" spans="1:5" x14ac:dyDescent="0.55000000000000004">
      <c r="A16" s="2" t="s">
        <v>117</v>
      </c>
      <c r="B16" s="2" t="s">
        <v>163</v>
      </c>
      <c r="C16" s="2" t="s">
        <v>164</v>
      </c>
      <c r="D16" s="2" t="s">
        <v>173</v>
      </c>
      <c r="E16" s="2" t="s">
        <v>118</v>
      </c>
    </row>
    <row r="17" spans="1:7" x14ac:dyDescent="0.55000000000000004">
      <c r="A17" s="2" t="s">
        <v>107</v>
      </c>
      <c r="B17" s="2" t="s">
        <v>165</v>
      </c>
      <c r="C17" s="2" t="s">
        <v>166</v>
      </c>
      <c r="D17" s="2" t="s">
        <v>174</v>
      </c>
      <c r="E17" s="2" t="s">
        <v>119</v>
      </c>
    </row>
    <row r="18" spans="1:7" x14ac:dyDescent="0.55000000000000004">
      <c r="A18" s="2" t="s">
        <v>120</v>
      </c>
      <c r="B18" s="2" t="s">
        <v>167</v>
      </c>
      <c r="C18" s="2" t="s">
        <v>168</v>
      </c>
      <c r="D18" s="2" t="s">
        <v>175</v>
      </c>
      <c r="E18" s="2" t="s">
        <v>121</v>
      </c>
    </row>
    <row r="20" spans="1:7" x14ac:dyDescent="0.55000000000000004">
      <c r="A20" s="17" t="s">
        <v>122</v>
      </c>
    </row>
    <row r="21" spans="1:7" x14ac:dyDescent="0.55000000000000004">
      <c r="A21" s="17"/>
    </row>
    <row r="22" spans="1:7" x14ac:dyDescent="0.55000000000000004">
      <c r="A22" s="17"/>
    </row>
    <row r="23" spans="1:7" x14ac:dyDescent="0.55000000000000004">
      <c r="A23" s="10" t="s">
        <v>102</v>
      </c>
      <c r="B23" s="10" t="s">
        <v>104</v>
      </c>
      <c r="C23" s="10" t="s">
        <v>103</v>
      </c>
      <c r="D23" s="10" t="s">
        <v>105</v>
      </c>
    </row>
    <row r="24" spans="1:7" x14ac:dyDescent="0.55000000000000004">
      <c r="A24" s="2" t="s">
        <v>115</v>
      </c>
      <c r="B24" s="4" t="str">
        <f>INDEX($A$12:$E$18,MATCH($A$24,$A$12:$A$18,0),3)</f>
        <v>Paritosh</v>
      </c>
      <c r="C24" s="4" t="str">
        <f>INDEX($A$12:$E$18,MATCH($A$24,$A$12:$A$18,0),2)</f>
        <v>Kanhe</v>
      </c>
      <c r="D24" s="4" t="str">
        <f>INDEX($A$12:$E$18,MATCH($A$24,$A$12:$A$18,0),4)</f>
        <v>KP253@snu.com</v>
      </c>
    </row>
    <row r="27" spans="1:7" x14ac:dyDescent="0.55000000000000004">
      <c r="A27" s="17" t="s">
        <v>123</v>
      </c>
      <c r="C27" s="17" t="s">
        <v>124</v>
      </c>
    </row>
    <row r="28" spans="1:7" x14ac:dyDescent="0.55000000000000004">
      <c r="A28" s="17"/>
      <c r="C28" s="17"/>
    </row>
    <row r="29" spans="1:7" x14ac:dyDescent="0.55000000000000004">
      <c r="A29" s="10" t="s">
        <v>102</v>
      </c>
      <c r="C29" s="10" t="s">
        <v>102</v>
      </c>
    </row>
    <row r="30" spans="1:7" x14ac:dyDescent="0.55000000000000004">
      <c r="A30" s="2" t="s">
        <v>115</v>
      </c>
      <c r="B30">
        <f>ROWS($B$30:B30)</f>
        <v>1</v>
      </c>
      <c r="C30" s="2" t="s">
        <v>107</v>
      </c>
      <c r="D30" s="4"/>
      <c r="E30" s="4"/>
      <c r="F30" s="4"/>
      <c r="G30" s="4"/>
    </row>
    <row r="31" spans="1:7" x14ac:dyDescent="0.55000000000000004">
      <c r="A31" s="4" t="str">
        <f>VLOOKUP($A$30,$A$11:$E$18,B31,FALSE)</f>
        <v>Kanhe</v>
      </c>
      <c r="B31">
        <f>ROWS($B$30:B31)</f>
        <v>2</v>
      </c>
    </row>
    <row r="32" spans="1:7" x14ac:dyDescent="0.55000000000000004">
      <c r="A32" s="4" t="str">
        <f t="shared" ref="A32:A34" si="1">VLOOKUP($A$30,$A$11:$E$18,B32,FALSE)</f>
        <v>Paritosh</v>
      </c>
      <c r="B32">
        <f>ROWS($B$30:B32)</f>
        <v>3</v>
      </c>
      <c r="D32">
        <f>COLUMNS($D$32:D32)</f>
        <v>1</v>
      </c>
      <c r="E32">
        <f>COLUMNS($D$32:E32)</f>
        <v>2</v>
      </c>
      <c r="F32">
        <f>COLUMNS($D$32:F32)</f>
        <v>3</v>
      </c>
      <c r="G32">
        <f>COLUMNS($D$32:G32)</f>
        <v>4</v>
      </c>
    </row>
    <row r="33" spans="1:4" x14ac:dyDescent="0.55000000000000004">
      <c r="A33" s="4" t="str">
        <f t="shared" si="1"/>
        <v>KP253@snu.com</v>
      </c>
      <c r="B33">
        <f>ROWS($B$30:B33)</f>
        <v>4</v>
      </c>
    </row>
    <row r="34" spans="1:4" x14ac:dyDescent="0.55000000000000004">
      <c r="A34" s="4" t="str">
        <f t="shared" si="1"/>
        <v>253-764-6538</v>
      </c>
      <c r="B34">
        <f>ROWS($B$30:B34)</f>
        <v>5</v>
      </c>
    </row>
    <row r="37" spans="1:4" x14ac:dyDescent="0.55000000000000004">
      <c r="A37" s="17" t="s">
        <v>125</v>
      </c>
    </row>
    <row r="38" spans="1:4" x14ac:dyDescent="0.55000000000000004">
      <c r="A38" s="10" t="s">
        <v>102</v>
      </c>
      <c r="B38" s="10" t="s">
        <v>103</v>
      </c>
      <c r="C38" s="10" t="s">
        <v>104</v>
      </c>
      <c r="D38" s="10" t="s">
        <v>105</v>
      </c>
    </row>
    <row r="39" spans="1:4" x14ac:dyDescent="0.55000000000000004">
      <c r="A39" s="2" t="s">
        <v>113</v>
      </c>
      <c r="B39" s="4" t="str">
        <f>DGET($A$11:$E$18,B38,$A$38:$A39)</f>
        <v>SINGHAL</v>
      </c>
      <c r="C39" s="4" t="str">
        <f t="shared" ref="C39:D39" si="2">DGET($A$11:$E$18,C38,$A$38:$A$39)</f>
        <v>HRITIK</v>
      </c>
      <c r="D39" s="4" t="str">
        <f t="shared" si="2"/>
        <v>SH206@snu.com</v>
      </c>
    </row>
    <row r="40" spans="1:4" x14ac:dyDescent="0.55000000000000004">
      <c r="A40" s="2" t="s">
        <v>109</v>
      </c>
      <c r="B40" s="4" t="s">
        <v>178</v>
      </c>
    </row>
    <row r="41" spans="1:4" x14ac:dyDescent="0.55000000000000004">
      <c r="A41" s="2" t="s">
        <v>107</v>
      </c>
    </row>
    <row r="42" spans="1:4" x14ac:dyDescent="0.55000000000000004">
      <c r="A42" s="2" t="s">
        <v>120</v>
      </c>
    </row>
    <row r="44" spans="1:4" x14ac:dyDescent="0.55000000000000004">
      <c r="A44" s="17" t="s">
        <v>126</v>
      </c>
    </row>
    <row r="45" spans="1:4" x14ac:dyDescent="0.55000000000000004">
      <c r="A45" s="10" t="s">
        <v>102</v>
      </c>
      <c r="B45" s="10" t="s">
        <v>103</v>
      </c>
      <c r="C45" s="10" t="s">
        <v>104</v>
      </c>
      <c r="D45" s="10" t="s">
        <v>105</v>
      </c>
    </row>
    <row r="46" spans="1:4" x14ac:dyDescent="0.55000000000000004">
      <c r="A46" s="2" t="s">
        <v>113</v>
      </c>
      <c r="B46" s="4"/>
      <c r="C46" s="4"/>
      <c r="D46" s="4"/>
    </row>
    <row r="47" spans="1:4" x14ac:dyDescent="0.55000000000000004">
      <c r="A47" s="2" t="s">
        <v>115</v>
      </c>
      <c r="B47" s="4"/>
      <c r="C47" s="4"/>
      <c r="D47" s="4"/>
    </row>
    <row r="48" spans="1:4" x14ac:dyDescent="0.55000000000000004">
      <c r="A48" s="2" t="s">
        <v>117</v>
      </c>
      <c r="B48" s="4"/>
      <c r="C48" s="4"/>
      <c r="D48" s="4"/>
    </row>
  </sheetData>
  <dataValidations count="1">
    <dataValidation type="list" allowBlank="1" showInputMessage="1" showErrorMessage="1" sqref="A9 A46:A48 A39 A24 A4 A30 C30" xr:uid="{00000000-0002-0000-0600-000000000000}">
      <formula1>$A$12:$A$18</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28"/>
  <sheetViews>
    <sheetView tabSelected="1" zoomScale="90" zoomScaleNormal="90" workbookViewId="0">
      <selection activeCell="K6" sqref="K6"/>
    </sheetView>
  </sheetViews>
  <sheetFormatPr defaultRowHeight="14.4" x14ac:dyDescent="0.55000000000000004"/>
  <cols>
    <col min="1" max="1" width="4" customWidth="1"/>
    <col min="2" max="2" width="11.83984375" bestFit="1" customWidth="1"/>
    <col min="3" max="3" width="21.83984375" bestFit="1" customWidth="1"/>
    <col min="4" max="4" width="10.15625" bestFit="1" customWidth="1"/>
    <col min="5" max="5" width="10" bestFit="1" customWidth="1"/>
    <col min="6" max="6" width="9.15625"/>
    <col min="7" max="7" width="12.15625" bestFit="1" customWidth="1"/>
    <col min="8" max="8" width="18.68359375" bestFit="1" customWidth="1"/>
    <col min="9" max="9" width="2.41796875" customWidth="1"/>
    <col min="10" max="10" width="10.68359375" bestFit="1" customWidth="1"/>
    <col min="11" max="256" width="9.15625"/>
    <col min="257" max="257" width="4" customWidth="1"/>
    <col min="258" max="258" width="11.83984375" bestFit="1" customWidth="1"/>
    <col min="259" max="259" width="21.83984375" bestFit="1" customWidth="1"/>
    <col min="260" max="260" width="10.15625" bestFit="1" customWidth="1"/>
    <col min="261" max="261" width="10" bestFit="1" customWidth="1"/>
    <col min="262" max="262" width="9.15625"/>
    <col min="263" max="263" width="12.15625" bestFit="1" customWidth="1"/>
    <col min="264" max="264" width="18.68359375" bestFit="1" customWidth="1"/>
    <col min="265" max="265" width="2.41796875" customWidth="1"/>
    <col min="266" max="266" width="10.68359375" bestFit="1" customWidth="1"/>
    <col min="267" max="512" width="9.15625"/>
    <col min="513" max="513" width="4" customWidth="1"/>
    <col min="514" max="514" width="11.83984375" bestFit="1" customWidth="1"/>
    <col min="515" max="515" width="21.83984375" bestFit="1" customWidth="1"/>
    <col min="516" max="516" width="10.15625" bestFit="1" customWidth="1"/>
    <col min="517" max="517" width="10" bestFit="1" customWidth="1"/>
    <col min="518" max="518" width="9.15625"/>
    <col min="519" max="519" width="12.15625" bestFit="1" customWidth="1"/>
    <col min="520" max="520" width="18.68359375" bestFit="1" customWidth="1"/>
    <col min="521" max="521" width="2.41796875" customWidth="1"/>
    <col min="522" max="522" width="10.68359375" bestFit="1" customWidth="1"/>
    <col min="523" max="768" width="9.15625"/>
    <col min="769" max="769" width="4" customWidth="1"/>
    <col min="770" max="770" width="11.83984375" bestFit="1" customWidth="1"/>
    <col min="771" max="771" width="21.83984375" bestFit="1" customWidth="1"/>
    <col min="772" max="772" width="10.15625" bestFit="1" customWidth="1"/>
    <col min="773" max="773" width="10" bestFit="1" customWidth="1"/>
    <col min="774" max="774" width="9.15625"/>
    <col min="775" max="775" width="12.15625" bestFit="1" customWidth="1"/>
    <col min="776" max="776" width="18.68359375" bestFit="1" customWidth="1"/>
    <col min="777" max="777" width="2.41796875" customWidth="1"/>
    <col min="778" max="778" width="10.68359375" bestFit="1" customWidth="1"/>
    <col min="779" max="1024" width="9.15625"/>
    <col min="1025" max="1025" width="4" customWidth="1"/>
    <col min="1026" max="1026" width="11.83984375" bestFit="1" customWidth="1"/>
    <col min="1027" max="1027" width="21.83984375" bestFit="1" customWidth="1"/>
    <col min="1028" max="1028" width="10.15625" bestFit="1" customWidth="1"/>
    <col min="1029" max="1029" width="10" bestFit="1" customWidth="1"/>
    <col min="1030" max="1030" width="9.15625"/>
    <col min="1031" max="1031" width="12.15625" bestFit="1" customWidth="1"/>
    <col min="1032" max="1032" width="18.68359375" bestFit="1" customWidth="1"/>
    <col min="1033" max="1033" width="2.41796875" customWidth="1"/>
    <col min="1034" max="1034" width="10.68359375" bestFit="1" customWidth="1"/>
    <col min="1035" max="1280" width="9.15625"/>
    <col min="1281" max="1281" width="4" customWidth="1"/>
    <col min="1282" max="1282" width="11.83984375" bestFit="1" customWidth="1"/>
    <col min="1283" max="1283" width="21.83984375" bestFit="1" customWidth="1"/>
    <col min="1284" max="1284" width="10.15625" bestFit="1" customWidth="1"/>
    <col min="1285" max="1285" width="10" bestFit="1" customWidth="1"/>
    <col min="1286" max="1286" width="9.15625"/>
    <col min="1287" max="1287" width="12.15625" bestFit="1" customWidth="1"/>
    <col min="1288" max="1288" width="18.68359375" bestFit="1" customWidth="1"/>
    <col min="1289" max="1289" width="2.41796875" customWidth="1"/>
    <col min="1290" max="1290" width="10.68359375" bestFit="1" customWidth="1"/>
    <col min="1291" max="1536" width="9.15625"/>
    <col min="1537" max="1537" width="4" customWidth="1"/>
    <col min="1538" max="1538" width="11.83984375" bestFit="1" customWidth="1"/>
    <col min="1539" max="1539" width="21.83984375" bestFit="1" customWidth="1"/>
    <col min="1540" max="1540" width="10.15625" bestFit="1" customWidth="1"/>
    <col min="1541" max="1541" width="10" bestFit="1" customWidth="1"/>
    <col min="1542" max="1542" width="9.15625"/>
    <col min="1543" max="1543" width="12.15625" bestFit="1" customWidth="1"/>
    <col min="1544" max="1544" width="18.68359375" bestFit="1" customWidth="1"/>
    <col min="1545" max="1545" width="2.41796875" customWidth="1"/>
    <col min="1546" max="1546" width="10.68359375" bestFit="1" customWidth="1"/>
    <col min="1547" max="1792" width="9.15625"/>
    <col min="1793" max="1793" width="4" customWidth="1"/>
    <col min="1794" max="1794" width="11.83984375" bestFit="1" customWidth="1"/>
    <col min="1795" max="1795" width="21.83984375" bestFit="1" customWidth="1"/>
    <col min="1796" max="1796" width="10.15625" bestFit="1" customWidth="1"/>
    <col min="1797" max="1797" width="10" bestFit="1" customWidth="1"/>
    <col min="1798" max="1798" width="9.15625"/>
    <col min="1799" max="1799" width="12.15625" bestFit="1" customWidth="1"/>
    <col min="1800" max="1800" width="18.68359375" bestFit="1" customWidth="1"/>
    <col min="1801" max="1801" width="2.41796875" customWidth="1"/>
    <col min="1802" max="1802" width="10.68359375" bestFit="1" customWidth="1"/>
    <col min="1803" max="2048" width="9.15625"/>
    <col min="2049" max="2049" width="4" customWidth="1"/>
    <col min="2050" max="2050" width="11.83984375" bestFit="1" customWidth="1"/>
    <col min="2051" max="2051" width="21.83984375" bestFit="1" customWidth="1"/>
    <col min="2052" max="2052" width="10.15625" bestFit="1" customWidth="1"/>
    <col min="2053" max="2053" width="10" bestFit="1" customWidth="1"/>
    <col min="2054" max="2054" width="9.15625"/>
    <col min="2055" max="2055" width="12.15625" bestFit="1" customWidth="1"/>
    <col min="2056" max="2056" width="18.68359375" bestFit="1" customWidth="1"/>
    <col min="2057" max="2057" width="2.41796875" customWidth="1"/>
    <col min="2058" max="2058" width="10.68359375" bestFit="1" customWidth="1"/>
    <col min="2059" max="2304" width="9.15625"/>
    <col min="2305" max="2305" width="4" customWidth="1"/>
    <col min="2306" max="2306" width="11.83984375" bestFit="1" customWidth="1"/>
    <col min="2307" max="2307" width="21.83984375" bestFit="1" customWidth="1"/>
    <col min="2308" max="2308" width="10.15625" bestFit="1" customWidth="1"/>
    <col min="2309" max="2309" width="10" bestFit="1" customWidth="1"/>
    <col min="2310" max="2310" width="9.15625"/>
    <col min="2311" max="2311" width="12.15625" bestFit="1" customWidth="1"/>
    <col min="2312" max="2312" width="18.68359375" bestFit="1" customWidth="1"/>
    <col min="2313" max="2313" width="2.41796875" customWidth="1"/>
    <col min="2314" max="2314" width="10.68359375" bestFit="1" customWidth="1"/>
    <col min="2315" max="2560" width="9.15625"/>
    <col min="2561" max="2561" width="4" customWidth="1"/>
    <col min="2562" max="2562" width="11.83984375" bestFit="1" customWidth="1"/>
    <col min="2563" max="2563" width="21.83984375" bestFit="1" customWidth="1"/>
    <col min="2564" max="2564" width="10.15625" bestFit="1" customWidth="1"/>
    <col min="2565" max="2565" width="10" bestFit="1" customWidth="1"/>
    <col min="2566" max="2566" width="9.15625"/>
    <col min="2567" max="2567" width="12.15625" bestFit="1" customWidth="1"/>
    <col min="2568" max="2568" width="18.68359375" bestFit="1" customWidth="1"/>
    <col min="2569" max="2569" width="2.41796875" customWidth="1"/>
    <col min="2570" max="2570" width="10.68359375" bestFit="1" customWidth="1"/>
    <col min="2571" max="2816" width="9.15625"/>
    <col min="2817" max="2817" width="4" customWidth="1"/>
    <col min="2818" max="2818" width="11.83984375" bestFit="1" customWidth="1"/>
    <col min="2819" max="2819" width="21.83984375" bestFit="1" customWidth="1"/>
    <col min="2820" max="2820" width="10.15625" bestFit="1" customWidth="1"/>
    <col min="2821" max="2821" width="10" bestFit="1" customWidth="1"/>
    <col min="2822" max="2822" width="9.15625"/>
    <col min="2823" max="2823" width="12.15625" bestFit="1" customWidth="1"/>
    <col min="2824" max="2824" width="18.68359375" bestFit="1" customWidth="1"/>
    <col min="2825" max="2825" width="2.41796875" customWidth="1"/>
    <col min="2826" max="2826" width="10.68359375" bestFit="1" customWidth="1"/>
    <col min="2827" max="3072" width="9.15625"/>
    <col min="3073" max="3073" width="4" customWidth="1"/>
    <col min="3074" max="3074" width="11.83984375" bestFit="1" customWidth="1"/>
    <col min="3075" max="3075" width="21.83984375" bestFit="1" customWidth="1"/>
    <col min="3076" max="3076" width="10.15625" bestFit="1" customWidth="1"/>
    <col min="3077" max="3077" width="10" bestFit="1" customWidth="1"/>
    <col min="3078" max="3078" width="9.15625"/>
    <col min="3079" max="3079" width="12.15625" bestFit="1" customWidth="1"/>
    <col min="3080" max="3080" width="18.68359375" bestFit="1" customWidth="1"/>
    <col min="3081" max="3081" width="2.41796875" customWidth="1"/>
    <col min="3082" max="3082" width="10.68359375" bestFit="1" customWidth="1"/>
    <col min="3083" max="3328" width="9.15625"/>
    <col min="3329" max="3329" width="4" customWidth="1"/>
    <col min="3330" max="3330" width="11.83984375" bestFit="1" customWidth="1"/>
    <col min="3331" max="3331" width="21.83984375" bestFit="1" customWidth="1"/>
    <col min="3332" max="3332" width="10.15625" bestFit="1" customWidth="1"/>
    <col min="3333" max="3333" width="10" bestFit="1" customWidth="1"/>
    <col min="3334" max="3334" width="9.15625"/>
    <col min="3335" max="3335" width="12.15625" bestFit="1" customWidth="1"/>
    <col min="3336" max="3336" width="18.68359375" bestFit="1" customWidth="1"/>
    <col min="3337" max="3337" width="2.41796875" customWidth="1"/>
    <col min="3338" max="3338" width="10.68359375" bestFit="1" customWidth="1"/>
    <col min="3339" max="3584" width="9.15625"/>
    <col min="3585" max="3585" width="4" customWidth="1"/>
    <col min="3586" max="3586" width="11.83984375" bestFit="1" customWidth="1"/>
    <col min="3587" max="3587" width="21.83984375" bestFit="1" customWidth="1"/>
    <col min="3588" max="3588" width="10.15625" bestFit="1" customWidth="1"/>
    <col min="3589" max="3589" width="10" bestFit="1" customWidth="1"/>
    <col min="3590" max="3590" width="9.15625"/>
    <col min="3591" max="3591" width="12.15625" bestFit="1" customWidth="1"/>
    <col min="3592" max="3592" width="18.68359375" bestFit="1" customWidth="1"/>
    <col min="3593" max="3593" width="2.41796875" customWidth="1"/>
    <col min="3594" max="3594" width="10.68359375" bestFit="1" customWidth="1"/>
    <col min="3595" max="3840" width="9.15625"/>
    <col min="3841" max="3841" width="4" customWidth="1"/>
    <col min="3842" max="3842" width="11.83984375" bestFit="1" customWidth="1"/>
    <col min="3843" max="3843" width="21.83984375" bestFit="1" customWidth="1"/>
    <col min="3844" max="3844" width="10.15625" bestFit="1" customWidth="1"/>
    <col min="3845" max="3845" width="10" bestFit="1" customWidth="1"/>
    <col min="3846" max="3846" width="9.15625"/>
    <col min="3847" max="3847" width="12.15625" bestFit="1" customWidth="1"/>
    <col min="3848" max="3848" width="18.68359375" bestFit="1" customWidth="1"/>
    <col min="3849" max="3849" width="2.41796875" customWidth="1"/>
    <col min="3850" max="3850" width="10.68359375" bestFit="1" customWidth="1"/>
    <col min="3851" max="4096" width="9.15625"/>
    <col min="4097" max="4097" width="4" customWidth="1"/>
    <col min="4098" max="4098" width="11.83984375" bestFit="1" customWidth="1"/>
    <col min="4099" max="4099" width="21.83984375" bestFit="1" customWidth="1"/>
    <col min="4100" max="4100" width="10.15625" bestFit="1" customWidth="1"/>
    <col min="4101" max="4101" width="10" bestFit="1" customWidth="1"/>
    <col min="4102" max="4102" width="9.15625"/>
    <col min="4103" max="4103" width="12.15625" bestFit="1" customWidth="1"/>
    <col min="4104" max="4104" width="18.68359375" bestFit="1" customWidth="1"/>
    <col min="4105" max="4105" width="2.41796875" customWidth="1"/>
    <col min="4106" max="4106" width="10.68359375" bestFit="1" customWidth="1"/>
    <col min="4107" max="4352" width="9.15625"/>
    <col min="4353" max="4353" width="4" customWidth="1"/>
    <col min="4354" max="4354" width="11.83984375" bestFit="1" customWidth="1"/>
    <col min="4355" max="4355" width="21.83984375" bestFit="1" customWidth="1"/>
    <col min="4356" max="4356" width="10.15625" bestFit="1" customWidth="1"/>
    <col min="4357" max="4357" width="10" bestFit="1" customWidth="1"/>
    <col min="4358" max="4358" width="9.15625"/>
    <col min="4359" max="4359" width="12.15625" bestFit="1" customWidth="1"/>
    <col min="4360" max="4360" width="18.68359375" bestFit="1" customWidth="1"/>
    <col min="4361" max="4361" width="2.41796875" customWidth="1"/>
    <col min="4362" max="4362" width="10.68359375" bestFit="1" customWidth="1"/>
    <col min="4363" max="4608" width="9.15625"/>
    <col min="4609" max="4609" width="4" customWidth="1"/>
    <col min="4610" max="4610" width="11.83984375" bestFit="1" customWidth="1"/>
    <col min="4611" max="4611" width="21.83984375" bestFit="1" customWidth="1"/>
    <col min="4612" max="4612" width="10.15625" bestFit="1" customWidth="1"/>
    <col min="4613" max="4613" width="10" bestFit="1" customWidth="1"/>
    <col min="4614" max="4614" width="9.15625"/>
    <col min="4615" max="4615" width="12.15625" bestFit="1" customWidth="1"/>
    <col min="4616" max="4616" width="18.68359375" bestFit="1" customWidth="1"/>
    <col min="4617" max="4617" width="2.41796875" customWidth="1"/>
    <col min="4618" max="4618" width="10.68359375" bestFit="1" customWidth="1"/>
    <col min="4619" max="4864" width="9.15625"/>
    <col min="4865" max="4865" width="4" customWidth="1"/>
    <col min="4866" max="4866" width="11.83984375" bestFit="1" customWidth="1"/>
    <col min="4867" max="4867" width="21.83984375" bestFit="1" customWidth="1"/>
    <col min="4868" max="4868" width="10.15625" bestFit="1" customWidth="1"/>
    <col min="4869" max="4869" width="10" bestFit="1" customWidth="1"/>
    <col min="4870" max="4870" width="9.15625"/>
    <col min="4871" max="4871" width="12.15625" bestFit="1" customWidth="1"/>
    <col min="4872" max="4872" width="18.68359375" bestFit="1" customWidth="1"/>
    <col min="4873" max="4873" width="2.41796875" customWidth="1"/>
    <col min="4874" max="4874" width="10.68359375" bestFit="1" customWidth="1"/>
    <col min="4875" max="5120" width="9.15625"/>
    <col min="5121" max="5121" width="4" customWidth="1"/>
    <col min="5122" max="5122" width="11.83984375" bestFit="1" customWidth="1"/>
    <col min="5123" max="5123" width="21.83984375" bestFit="1" customWidth="1"/>
    <col min="5124" max="5124" width="10.15625" bestFit="1" customWidth="1"/>
    <col min="5125" max="5125" width="10" bestFit="1" customWidth="1"/>
    <col min="5126" max="5126" width="9.15625"/>
    <col min="5127" max="5127" width="12.15625" bestFit="1" customWidth="1"/>
    <col min="5128" max="5128" width="18.68359375" bestFit="1" customWidth="1"/>
    <col min="5129" max="5129" width="2.41796875" customWidth="1"/>
    <col min="5130" max="5130" width="10.68359375" bestFit="1" customWidth="1"/>
    <col min="5131" max="5376" width="9.15625"/>
    <col min="5377" max="5377" width="4" customWidth="1"/>
    <col min="5378" max="5378" width="11.83984375" bestFit="1" customWidth="1"/>
    <col min="5379" max="5379" width="21.83984375" bestFit="1" customWidth="1"/>
    <col min="5380" max="5380" width="10.15625" bestFit="1" customWidth="1"/>
    <col min="5381" max="5381" width="10" bestFit="1" customWidth="1"/>
    <col min="5382" max="5382" width="9.15625"/>
    <col min="5383" max="5383" width="12.15625" bestFit="1" customWidth="1"/>
    <col min="5384" max="5384" width="18.68359375" bestFit="1" customWidth="1"/>
    <col min="5385" max="5385" width="2.41796875" customWidth="1"/>
    <col min="5386" max="5386" width="10.68359375" bestFit="1" customWidth="1"/>
    <col min="5387" max="5632" width="9.15625"/>
    <col min="5633" max="5633" width="4" customWidth="1"/>
    <col min="5634" max="5634" width="11.83984375" bestFit="1" customWidth="1"/>
    <col min="5635" max="5635" width="21.83984375" bestFit="1" customWidth="1"/>
    <col min="5636" max="5636" width="10.15625" bestFit="1" customWidth="1"/>
    <col min="5637" max="5637" width="10" bestFit="1" customWidth="1"/>
    <col min="5638" max="5638" width="9.15625"/>
    <col min="5639" max="5639" width="12.15625" bestFit="1" customWidth="1"/>
    <col min="5640" max="5640" width="18.68359375" bestFit="1" customWidth="1"/>
    <col min="5641" max="5641" width="2.41796875" customWidth="1"/>
    <col min="5642" max="5642" width="10.68359375" bestFit="1" customWidth="1"/>
    <col min="5643" max="5888" width="9.15625"/>
    <col min="5889" max="5889" width="4" customWidth="1"/>
    <col min="5890" max="5890" width="11.83984375" bestFit="1" customWidth="1"/>
    <col min="5891" max="5891" width="21.83984375" bestFit="1" customWidth="1"/>
    <col min="5892" max="5892" width="10.15625" bestFit="1" customWidth="1"/>
    <col min="5893" max="5893" width="10" bestFit="1" customWidth="1"/>
    <col min="5894" max="5894" width="9.15625"/>
    <col min="5895" max="5895" width="12.15625" bestFit="1" customWidth="1"/>
    <col min="5896" max="5896" width="18.68359375" bestFit="1" customWidth="1"/>
    <col min="5897" max="5897" width="2.41796875" customWidth="1"/>
    <col min="5898" max="5898" width="10.68359375" bestFit="1" customWidth="1"/>
    <col min="5899" max="6144" width="9.15625"/>
    <col min="6145" max="6145" width="4" customWidth="1"/>
    <col min="6146" max="6146" width="11.83984375" bestFit="1" customWidth="1"/>
    <col min="6147" max="6147" width="21.83984375" bestFit="1" customWidth="1"/>
    <col min="6148" max="6148" width="10.15625" bestFit="1" customWidth="1"/>
    <col min="6149" max="6149" width="10" bestFit="1" customWidth="1"/>
    <col min="6150" max="6150" width="9.15625"/>
    <col min="6151" max="6151" width="12.15625" bestFit="1" customWidth="1"/>
    <col min="6152" max="6152" width="18.68359375" bestFit="1" customWidth="1"/>
    <col min="6153" max="6153" width="2.41796875" customWidth="1"/>
    <col min="6154" max="6154" width="10.68359375" bestFit="1" customWidth="1"/>
    <col min="6155" max="6400" width="9.15625"/>
    <col min="6401" max="6401" width="4" customWidth="1"/>
    <col min="6402" max="6402" width="11.83984375" bestFit="1" customWidth="1"/>
    <col min="6403" max="6403" width="21.83984375" bestFit="1" customWidth="1"/>
    <col min="6404" max="6404" width="10.15625" bestFit="1" customWidth="1"/>
    <col min="6405" max="6405" width="10" bestFit="1" customWidth="1"/>
    <col min="6406" max="6406" width="9.15625"/>
    <col min="6407" max="6407" width="12.15625" bestFit="1" customWidth="1"/>
    <col min="6408" max="6408" width="18.68359375" bestFit="1" customWidth="1"/>
    <col min="6409" max="6409" width="2.41796875" customWidth="1"/>
    <col min="6410" max="6410" width="10.68359375" bestFit="1" customWidth="1"/>
    <col min="6411" max="6656" width="9.15625"/>
    <col min="6657" max="6657" width="4" customWidth="1"/>
    <col min="6658" max="6658" width="11.83984375" bestFit="1" customWidth="1"/>
    <col min="6659" max="6659" width="21.83984375" bestFit="1" customWidth="1"/>
    <col min="6660" max="6660" width="10.15625" bestFit="1" customWidth="1"/>
    <col min="6661" max="6661" width="10" bestFit="1" customWidth="1"/>
    <col min="6662" max="6662" width="9.15625"/>
    <col min="6663" max="6663" width="12.15625" bestFit="1" customWidth="1"/>
    <col min="6664" max="6664" width="18.68359375" bestFit="1" customWidth="1"/>
    <col min="6665" max="6665" width="2.41796875" customWidth="1"/>
    <col min="6666" max="6666" width="10.68359375" bestFit="1" customWidth="1"/>
    <col min="6667" max="6912" width="9.15625"/>
    <col min="6913" max="6913" width="4" customWidth="1"/>
    <col min="6914" max="6914" width="11.83984375" bestFit="1" customWidth="1"/>
    <col min="6915" max="6915" width="21.83984375" bestFit="1" customWidth="1"/>
    <col min="6916" max="6916" width="10.15625" bestFit="1" customWidth="1"/>
    <col min="6917" max="6917" width="10" bestFit="1" customWidth="1"/>
    <col min="6918" max="6918" width="9.15625"/>
    <col min="6919" max="6919" width="12.15625" bestFit="1" customWidth="1"/>
    <col min="6920" max="6920" width="18.68359375" bestFit="1" customWidth="1"/>
    <col min="6921" max="6921" width="2.41796875" customWidth="1"/>
    <col min="6922" max="6922" width="10.68359375" bestFit="1" customWidth="1"/>
    <col min="6923" max="7168" width="9.15625"/>
    <col min="7169" max="7169" width="4" customWidth="1"/>
    <col min="7170" max="7170" width="11.83984375" bestFit="1" customWidth="1"/>
    <col min="7171" max="7171" width="21.83984375" bestFit="1" customWidth="1"/>
    <col min="7172" max="7172" width="10.15625" bestFit="1" customWidth="1"/>
    <col min="7173" max="7173" width="10" bestFit="1" customWidth="1"/>
    <col min="7174" max="7174" width="9.15625"/>
    <col min="7175" max="7175" width="12.15625" bestFit="1" customWidth="1"/>
    <col min="7176" max="7176" width="18.68359375" bestFit="1" customWidth="1"/>
    <col min="7177" max="7177" width="2.41796875" customWidth="1"/>
    <col min="7178" max="7178" width="10.68359375" bestFit="1" customWidth="1"/>
    <col min="7179" max="7424" width="9.15625"/>
    <col min="7425" max="7425" width="4" customWidth="1"/>
    <col min="7426" max="7426" width="11.83984375" bestFit="1" customWidth="1"/>
    <col min="7427" max="7427" width="21.83984375" bestFit="1" customWidth="1"/>
    <col min="7428" max="7428" width="10.15625" bestFit="1" customWidth="1"/>
    <col min="7429" max="7429" width="10" bestFit="1" customWidth="1"/>
    <col min="7430" max="7430" width="9.15625"/>
    <col min="7431" max="7431" width="12.15625" bestFit="1" customWidth="1"/>
    <col min="7432" max="7432" width="18.68359375" bestFit="1" customWidth="1"/>
    <col min="7433" max="7433" width="2.41796875" customWidth="1"/>
    <col min="7434" max="7434" width="10.68359375" bestFit="1" customWidth="1"/>
    <col min="7435" max="7680" width="9.15625"/>
    <col min="7681" max="7681" width="4" customWidth="1"/>
    <col min="7682" max="7682" width="11.83984375" bestFit="1" customWidth="1"/>
    <col min="7683" max="7683" width="21.83984375" bestFit="1" customWidth="1"/>
    <col min="7684" max="7684" width="10.15625" bestFit="1" customWidth="1"/>
    <col min="7685" max="7685" width="10" bestFit="1" customWidth="1"/>
    <col min="7686" max="7686" width="9.15625"/>
    <col min="7687" max="7687" width="12.15625" bestFit="1" customWidth="1"/>
    <col min="7688" max="7688" width="18.68359375" bestFit="1" customWidth="1"/>
    <col min="7689" max="7689" width="2.41796875" customWidth="1"/>
    <col min="7690" max="7690" width="10.68359375" bestFit="1" customWidth="1"/>
    <col min="7691" max="7936" width="9.15625"/>
    <col min="7937" max="7937" width="4" customWidth="1"/>
    <col min="7938" max="7938" width="11.83984375" bestFit="1" customWidth="1"/>
    <col min="7939" max="7939" width="21.83984375" bestFit="1" customWidth="1"/>
    <col min="7940" max="7940" width="10.15625" bestFit="1" customWidth="1"/>
    <col min="7941" max="7941" width="10" bestFit="1" customWidth="1"/>
    <col min="7942" max="7942" width="9.15625"/>
    <col min="7943" max="7943" width="12.15625" bestFit="1" customWidth="1"/>
    <col min="7944" max="7944" width="18.68359375" bestFit="1" customWidth="1"/>
    <col min="7945" max="7945" width="2.41796875" customWidth="1"/>
    <col min="7946" max="7946" width="10.68359375" bestFit="1" customWidth="1"/>
    <col min="7947" max="8192" width="9.15625"/>
    <col min="8193" max="8193" width="4" customWidth="1"/>
    <col min="8194" max="8194" width="11.83984375" bestFit="1" customWidth="1"/>
    <col min="8195" max="8195" width="21.83984375" bestFit="1" customWidth="1"/>
    <col min="8196" max="8196" width="10.15625" bestFit="1" customWidth="1"/>
    <col min="8197" max="8197" width="10" bestFit="1" customWidth="1"/>
    <col min="8198" max="8198" width="9.15625"/>
    <col min="8199" max="8199" width="12.15625" bestFit="1" customWidth="1"/>
    <col min="8200" max="8200" width="18.68359375" bestFit="1" customWidth="1"/>
    <col min="8201" max="8201" width="2.41796875" customWidth="1"/>
    <col min="8202" max="8202" width="10.68359375" bestFit="1" customWidth="1"/>
    <col min="8203" max="8448" width="9.15625"/>
    <col min="8449" max="8449" width="4" customWidth="1"/>
    <col min="8450" max="8450" width="11.83984375" bestFit="1" customWidth="1"/>
    <col min="8451" max="8451" width="21.83984375" bestFit="1" customWidth="1"/>
    <col min="8452" max="8452" width="10.15625" bestFit="1" customWidth="1"/>
    <col min="8453" max="8453" width="10" bestFit="1" customWidth="1"/>
    <col min="8454" max="8454" width="9.15625"/>
    <col min="8455" max="8455" width="12.15625" bestFit="1" customWidth="1"/>
    <col min="8456" max="8456" width="18.68359375" bestFit="1" customWidth="1"/>
    <col min="8457" max="8457" width="2.41796875" customWidth="1"/>
    <col min="8458" max="8458" width="10.68359375" bestFit="1" customWidth="1"/>
    <col min="8459" max="8704" width="9.15625"/>
    <col min="8705" max="8705" width="4" customWidth="1"/>
    <col min="8706" max="8706" width="11.83984375" bestFit="1" customWidth="1"/>
    <col min="8707" max="8707" width="21.83984375" bestFit="1" customWidth="1"/>
    <col min="8708" max="8708" width="10.15625" bestFit="1" customWidth="1"/>
    <col min="8709" max="8709" width="10" bestFit="1" customWidth="1"/>
    <col min="8710" max="8710" width="9.15625"/>
    <col min="8711" max="8711" width="12.15625" bestFit="1" customWidth="1"/>
    <col min="8712" max="8712" width="18.68359375" bestFit="1" customWidth="1"/>
    <col min="8713" max="8713" width="2.41796875" customWidth="1"/>
    <col min="8714" max="8714" width="10.68359375" bestFit="1" customWidth="1"/>
    <col min="8715" max="8960" width="9.15625"/>
    <col min="8961" max="8961" width="4" customWidth="1"/>
    <col min="8962" max="8962" width="11.83984375" bestFit="1" customWidth="1"/>
    <col min="8963" max="8963" width="21.83984375" bestFit="1" customWidth="1"/>
    <col min="8964" max="8964" width="10.15625" bestFit="1" customWidth="1"/>
    <col min="8965" max="8965" width="10" bestFit="1" customWidth="1"/>
    <col min="8966" max="8966" width="9.15625"/>
    <col min="8967" max="8967" width="12.15625" bestFit="1" customWidth="1"/>
    <col min="8968" max="8968" width="18.68359375" bestFit="1" customWidth="1"/>
    <col min="8969" max="8969" width="2.41796875" customWidth="1"/>
    <col min="8970" max="8970" width="10.68359375" bestFit="1" customWidth="1"/>
    <col min="8971" max="9216" width="9.15625"/>
    <col min="9217" max="9217" width="4" customWidth="1"/>
    <col min="9218" max="9218" width="11.83984375" bestFit="1" customWidth="1"/>
    <col min="9219" max="9219" width="21.83984375" bestFit="1" customWidth="1"/>
    <col min="9220" max="9220" width="10.15625" bestFit="1" customWidth="1"/>
    <col min="9221" max="9221" width="10" bestFit="1" customWidth="1"/>
    <col min="9222" max="9222" width="9.15625"/>
    <col min="9223" max="9223" width="12.15625" bestFit="1" customWidth="1"/>
    <col min="9224" max="9224" width="18.68359375" bestFit="1" customWidth="1"/>
    <col min="9225" max="9225" width="2.41796875" customWidth="1"/>
    <col min="9226" max="9226" width="10.68359375" bestFit="1" customWidth="1"/>
    <col min="9227" max="9472" width="9.15625"/>
    <col min="9473" max="9473" width="4" customWidth="1"/>
    <col min="9474" max="9474" width="11.83984375" bestFit="1" customWidth="1"/>
    <col min="9475" max="9475" width="21.83984375" bestFit="1" customWidth="1"/>
    <col min="9476" max="9476" width="10.15625" bestFit="1" customWidth="1"/>
    <col min="9477" max="9477" width="10" bestFit="1" customWidth="1"/>
    <col min="9478" max="9478" width="9.15625"/>
    <col min="9479" max="9479" width="12.15625" bestFit="1" customWidth="1"/>
    <col min="9480" max="9480" width="18.68359375" bestFit="1" customWidth="1"/>
    <col min="9481" max="9481" width="2.41796875" customWidth="1"/>
    <col min="9482" max="9482" width="10.68359375" bestFit="1" customWidth="1"/>
    <col min="9483" max="9728" width="9.15625"/>
    <col min="9729" max="9729" width="4" customWidth="1"/>
    <col min="9730" max="9730" width="11.83984375" bestFit="1" customWidth="1"/>
    <col min="9731" max="9731" width="21.83984375" bestFit="1" customWidth="1"/>
    <col min="9732" max="9732" width="10.15625" bestFit="1" customWidth="1"/>
    <col min="9733" max="9733" width="10" bestFit="1" customWidth="1"/>
    <col min="9734" max="9734" width="9.15625"/>
    <col min="9735" max="9735" width="12.15625" bestFit="1" customWidth="1"/>
    <col min="9736" max="9736" width="18.68359375" bestFit="1" customWidth="1"/>
    <col min="9737" max="9737" width="2.41796875" customWidth="1"/>
    <col min="9738" max="9738" width="10.68359375" bestFit="1" customWidth="1"/>
    <col min="9739" max="9984" width="9.15625"/>
    <col min="9985" max="9985" width="4" customWidth="1"/>
    <col min="9986" max="9986" width="11.83984375" bestFit="1" customWidth="1"/>
    <col min="9987" max="9987" width="21.83984375" bestFit="1" customWidth="1"/>
    <col min="9988" max="9988" width="10.15625" bestFit="1" customWidth="1"/>
    <col min="9989" max="9989" width="10" bestFit="1" customWidth="1"/>
    <col min="9990" max="9990" width="9.15625"/>
    <col min="9991" max="9991" width="12.15625" bestFit="1" customWidth="1"/>
    <col min="9992" max="9992" width="18.68359375" bestFit="1" customWidth="1"/>
    <col min="9993" max="9993" width="2.41796875" customWidth="1"/>
    <col min="9994" max="9994" width="10.68359375" bestFit="1" customWidth="1"/>
    <col min="9995" max="10240" width="9.15625"/>
    <col min="10241" max="10241" width="4" customWidth="1"/>
    <col min="10242" max="10242" width="11.83984375" bestFit="1" customWidth="1"/>
    <col min="10243" max="10243" width="21.83984375" bestFit="1" customWidth="1"/>
    <col min="10244" max="10244" width="10.15625" bestFit="1" customWidth="1"/>
    <col min="10245" max="10245" width="10" bestFit="1" customWidth="1"/>
    <col min="10246" max="10246" width="9.15625"/>
    <col min="10247" max="10247" width="12.15625" bestFit="1" customWidth="1"/>
    <col min="10248" max="10248" width="18.68359375" bestFit="1" customWidth="1"/>
    <col min="10249" max="10249" width="2.41796875" customWidth="1"/>
    <col min="10250" max="10250" width="10.68359375" bestFit="1" customWidth="1"/>
    <col min="10251" max="10496" width="9.15625"/>
    <col min="10497" max="10497" width="4" customWidth="1"/>
    <col min="10498" max="10498" width="11.83984375" bestFit="1" customWidth="1"/>
    <col min="10499" max="10499" width="21.83984375" bestFit="1" customWidth="1"/>
    <col min="10500" max="10500" width="10.15625" bestFit="1" customWidth="1"/>
    <col min="10501" max="10501" width="10" bestFit="1" customWidth="1"/>
    <col min="10502" max="10502" width="9.15625"/>
    <col min="10503" max="10503" width="12.15625" bestFit="1" customWidth="1"/>
    <col min="10504" max="10504" width="18.68359375" bestFit="1" customWidth="1"/>
    <col min="10505" max="10505" width="2.41796875" customWidth="1"/>
    <col min="10506" max="10506" width="10.68359375" bestFit="1" customWidth="1"/>
    <col min="10507" max="10752" width="9.15625"/>
    <col min="10753" max="10753" width="4" customWidth="1"/>
    <col min="10754" max="10754" width="11.83984375" bestFit="1" customWidth="1"/>
    <col min="10755" max="10755" width="21.83984375" bestFit="1" customWidth="1"/>
    <col min="10756" max="10756" width="10.15625" bestFit="1" customWidth="1"/>
    <col min="10757" max="10757" width="10" bestFit="1" customWidth="1"/>
    <col min="10758" max="10758" width="9.15625"/>
    <col min="10759" max="10759" width="12.15625" bestFit="1" customWidth="1"/>
    <col min="10760" max="10760" width="18.68359375" bestFit="1" customWidth="1"/>
    <col min="10761" max="10761" width="2.41796875" customWidth="1"/>
    <col min="10762" max="10762" width="10.68359375" bestFit="1" customWidth="1"/>
    <col min="10763" max="11008" width="9.15625"/>
    <col min="11009" max="11009" width="4" customWidth="1"/>
    <col min="11010" max="11010" width="11.83984375" bestFit="1" customWidth="1"/>
    <col min="11011" max="11011" width="21.83984375" bestFit="1" customWidth="1"/>
    <col min="11012" max="11012" width="10.15625" bestFit="1" customWidth="1"/>
    <col min="11013" max="11013" width="10" bestFit="1" customWidth="1"/>
    <col min="11014" max="11014" width="9.15625"/>
    <col min="11015" max="11015" width="12.15625" bestFit="1" customWidth="1"/>
    <col min="11016" max="11016" width="18.68359375" bestFit="1" customWidth="1"/>
    <col min="11017" max="11017" width="2.41796875" customWidth="1"/>
    <col min="11018" max="11018" width="10.68359375" bestFit="1" customWidth="1"/>
    <col min="11019" max="11264" width="9.15625"/>
    <col min="11265" max="11265" width="4" customWidth="1"/>
    <col min="11266" max="11266" width="11.83984375" bestFit="1" customWidth="1"/>
    <col min="11267" max="11267" width="21.83984375" bestFit="1" customWidth="1"/>
    <col min="11268" max="11268" width="10.15625" bestFit="1" customWidth="1"/>
    <col min="11269" max="11269" width="10" bestFit="1" customWidth="1"/>
    <col min="11270" max="11270" width="9.15625"/>
    <col min="11271" max="11271" width="12.15625" bestFit="1" customWidth="1"/>
    <col min="11272" max="11272" width="18.68359375" bestFit="1" customWidth="1"/>
    <col min="11273" max="11273" width="2.41796875" customWidth="1"/>
    <col min="11274" max="11274" width="10.68359375" bestFit="1" customWidth="1"/>
    <col min="11275" max="11520" width="9.15625"/>
    <col min="11521" max="11521" width="4" customWidth="1"/>
    <col min="11522" max="11522" width="11.83984375" bestFit="1" customWidth="1"/>
    <col min="11523" max="11523" width="21.83984375" bestFit="1" customWidth="1"/>
    <col min="11524" max="11524" width="10.15625" bestFit="1" customWidth="1"/>
    <col min="11525" max="11525" width="10" bestFit="1" customWidth="1"/>
    <col min="11526" max="11526" width="9.15625"/>
    <col min="11527" max="11527" width="12.15625" bestFit="1" customWidth="1"/>
    <col min="11528" max="11528" width="18.68359375" bestFit="1" customWidth="1"/>
    <col min="11529" max="11529" width="2.41796875" customWidth="1"/>
    <col min="11530" max="11530" width="10.68359375" bestFit="1" customWidth="1"/>
    <col min="11531" max="11776" width="9.15625"/>
    <col min="11777" max="11777" width="4" customWidth="1"/>
    <col min="11778" max="11778" width="11.83984375" bestFit="1" customWidth="1"/>
    <col min="11779" max="11779" width="21.83984375" bestFit="1" customWidth="1"/>
    <col min="11780" max="11780" width="10.15625" bestFit="1" customWidth="1"/>
    <col min="11781" max="11781" width="10" bestFit="1" customWidth="1"/>
    <col min="11782" max="11782" width="9.15625"/>
    <col min="11783" max="11783" width="12.15625" bestFit="1" customWidth="1"/>
    <col min="11784" max="11784" width="18.68359375" bestFit="1" customWidth="1"/>
    <col min="11785" max="11785" width="2.41796875" customWidth="1"/>
    <col min="11786" max="11786" width="10.68359375" bestFit="1" customWidth="1"/>
    <col min="11787" max="12032" width="9.15625"/>
    <col min="12033" max="12033" width="4" customWidth="1"/>
    <col min="12034" max="12034" width="11.83984375" bestFit="1" customWidth="1"/>
    <col min="12035" max="12035" width="21.83984375" bestFit="1" customWidth="1"/>
    <col min="12036" max="12036" width="10.15625" bestFit="1" customWidth="1"/>
    <col min="12037" max="12037" width="10" bestFit="1" customWidth="1"/>
    <col min="12038" max="12038" width="9.15625"/>
    <col min="12039" max="12039" width="12.15625" bestFit="1" customWidth="1"/>
    <col min="12040" max="12040" width="18.68359375" bestFit="1" customWidth="1"/>
    <col min="12041" max="12041" width="2.41796875" customWidth="1"/>
    <col min="12042" max="12042" width="10.68359375" bestFit="1" customWidth="1"/>
    <col min="12043" max="12288" width="9.15625"/>
    <col min="12289" max="12289" width="4" customWidth="1"/>
    <col min="12290" max="12290" width="11.83984375" bestFit="1" customWidth="1"/>
    <col min="12291" max="12291" width="21.83984375" bestFit="1" customWidth="1"/>
    <col min="12292" max="12292" width="10.15625" bestFit="1" customWidth="1"/>
    <col min="12293" max="12293" width="10" bestFit="1" customWidth="1"/>
    <col min="12294" max="12294" width="9.15625"/>
    <col min="12295" max="12295" width="12.15625" bestFit="1" customWidth="1"/>
    <col min="12296" max="12296" width="18.68359375" bestFit="1" customWidth="1"/>
    <col min="12297" max="12297" width="2.41796875" customWidth="1"/>
    <col min="12298" max="12298" width="10.68359375" bestFit="1" customWidth="1"/>
    <col min="12299" max="12544" width="9.15625"/>
    <col min="12545" max="12545" width="4" customWidth="1"/>
    <col min="12546" max="12546" width="11.83984375" bestFit="1" customWidth="1"/>
    <col min="12547" max="12547" width="21.83984375" bestFit="1" customWidth="1"/>
    <col min="12548" max="12548" width="10.15625" bestFit="1" customWidth="1"/>
    <col min="12549" max="12549" width="10" bestFit="1" customWidth="1"/>
    <col min="12550" max="12550" width="9.15625"/>
    <col min="12551" max="12551" width="12.15625" bestFit="1" customWidth="1"/>
    <col min="12552" max="12552" width="18.68359375" bestFit="1" customWidth="1"/>
    <col min="12553" max="12553" width="2.41796875" customWidth="1"/>
    <col min="12554" max="12554" width="10.68359375" bestFit="1" customWidth="1"/>
    <col min="12555" max="12800" width="9.15625"/>
    <col min="12801" max="12801" width="4" customWidth="1"/>
    <col min="12802" max="12802" width="11.83984375" bestFit="1" customWidth="1"/>
    <col min="12803" max="12803" width="21.83984375" bestFit="1" customWidth="1"/>
    <col min="12804" max="12804" width="10.15625" bestFit="1" customWidth="1"/>
    <col min="12805" max="12805" width="10" bestFit="1" customWidth="1"/>
    <col min="12806" max="12806" width="9.15625"/>
    <col min="12807" max="12807" width="12.15625" bestFit="1" customWidth="1"/>
    <col min="12808" max="12808" width="18.68359375" bestFit="1" customWidth="1"/>
    <col min="12809" max="12809" width="2.41796875" customWidth="1"/>
    <col min="12810" max="12810" width="10.68359375" bestFit="1" customWidth="1"/>
    <col min="12811" max="13056" width="9.15625"/>
    <col min="13057" max="13057" width="4" customWidth="1"/>
    <col min="13058" max="13058" width="11.83984375" bestFit="1" customWidth="1"/>
    <col min="13059" max="13059" width="21.83984375" bestFit="1" customWidth="1"/>
    <col min="13060" max="13060" width="10.15625" bestFit="1" customWidth="1"/>
    <col min="13061" max="13061" width="10" bestFit="1" customWidth="1"/>
    <col min="13062" max="13062" width="9.15625"/>
    <col min="13063" max="13063" width="12.15625" bestFit="1" customWidth="1"/>
    <col min="13064" max="13064" width="18.68359375" bestFit="1" customWidth="1"/>
    <col min="13065" max="13065" width="2.41796875" customWidth="1"/>
    <col min="13066" max="13066" width="10.68359375" bestFit="1" customWidth="1"/>
    <col min="13067" max="13312" width="9.15625"/>
    <col min="13313" max="13313" width="4" customWidth="1"/>
    <col min="13314" max="13314" width="11.83984375" bestFit="1" customWidth="1"/>
    <col min="13315" max="13315" width="21.83984375" bestFit="1" customWidth="1"/>
    <col min="13316" max="13316" width="10.15625" bestFit="1" customWidth="1"/>
    <col min="13317" max="13317" width="10" bestFit="1" customWidth="1"/>
    <col min="13318" max="13318" width="9.15625"/>
    <col min="13319" max="13319" width="12.15625" bestFit="1" customWidth="1"/>
    <col min="13320" max="13320" width="18.68359375" bestFit="1" customWidth="1"/>
    <col min="13321" max="13321" width="2.41796875" customWidth="1"/>
    <col min="13322" max="13322" width="10.68359375" bestFit="1" customWidth="1"/>
    <col min="13323" max="13568" width="9.15625"/>
    <col min="13569" max="13569" width="4" customWidth="1"/>
    <col min="13570" max="13570" width="11.83984375" bestFit="1" customWidth="1"/>
    <col min="13571" max="13571" width="21.83984375" bestFit="1" customWidth="1"/>
    <col min="13572" max="13572" width="10.15625" bestFit="1" customWidth="1"/>
    <col min="13573" max="13573" width="10" bestFit="1" customWidth="1"/>
    <col min="13574" max="13574" width="9.15625"/>
    <col min="13575" max="13575" width="12.15625" bestFit="1" customWidth="1"/>
    <col min="13576" max="13576" width="18.68359375" bestFit="1" customWidth="1"/>
    <col min="13577" max="13577" width="2.41796875" customWidth="1"/>
    <col min="13578" max="13578" width="10.68359375" bestFit="1" customWidth="1"/>
    <col min="13579" max="13824" width="9.15625"/>
    <col min="13825" max="13825" width="4" customWidth="1"/>
    <col min="13826" max="13826" width="11.83984375" bestFit="1" customWidth="1"/>
    <col min="13827" max="13827" width="21.83984375" bestFit="1" customWidth="1"/>
    <col min="13828" max="13828" width="10.15625" bestFit="1" customWidth="1"/>
    <col min="13829" max="13829" width="10" bestFit="1" customWidth="1"/>
    <col min="13830" max="13830" width="9.15625"/>
    <col min="13831" max="13831" width="12.15625" bestFit="1" customWidth="1"/>
    <col min="13832" max="13832" width="18.68359375" bestFit="1" customWidth="1"/>
    <col min="13833" max="13833" width="2.41796875" customWidth="1"/>
    <col min="13834" max="13834" width="10.68359375" bestFit="1" customWidth="1"/>
    <col min="13835" max="14080" width="9.15625"/>
    <col min="14081" max="14081" width="4" customWidth="1"/>
    <col min="14082" max="14082" width="11.83984375" bestFit="1" customWidth="1"/>
    <col min="14083" max="14083" width="21.83984375" bestFit="1" customWidth="1"/>
    <col min="14084" max="14084" width="10.15625" bestFit="1" customWidth="1"/>
    <col min="14085" max="14085" width="10" bestFit="1" customWidth="1"/>
    <col min="14086" max="14086" width="9.15625"/>
    <col min="14087" max="14087" width="12.15625" bestFit="1" customWidth="1"/>
    <col min="14088" max="14088" width="18.68359375" bestFit="1" customWidth="1"/>
    <col min="14089" max="14089" width="2.41796875" customWidth="1"/>
    <col min="14090" max="14090" width="10.68359375" bestFit="1" customWidth="1"/>
    <col min="14091" max="14336" width="9.15625"/>
    <col min="14337" max="14337" width="4" customWidth="1"/>
    <col min="14338" max="14338" width="11.83984375" bestFit="1" customWidth="1"/>
    <col min="14339" max="14339" width="21.83984375" bestFit="1" customWidth="1"/>
    <col min="14340" max="14340" width="10.15625" bestFit="1" customWidth="1"/>
    <col min="14341" max="14341" width="10" bestFit="1" customWidth="1"/>
    <col min="14342" max="14342" width="9.15625"/>
    <col min="14343" max="14343" width="12.15625" bestFit="1" customWidth="1"/>
    <col min="14344" max="14344" width="18.68359375" bestFit="1" customWidth="1"/>
    <col min="14345" max="14345" width="2.41796875" customWidth="1"/>
    <col min="14346" max="14346" width="10.68359375" bestFit="1" customWidth="1"/>
    <col min="14347" max="14592" width="9.15625"/>
    <col min="14593" max="14593" width="4" customWidth="1"/>
    <col min="14594" max="14594" width="11.83984375" bestFit="1" customWidth="1"/>
    <col min="14595" max="14595" width="21.83984375" bestFit="1" customWidth="1"/>
    <col min="14596" max="14596" width="10.15625" bestFit="1" customWidth="1"/>
    <col min="14597" max="14597" width="10" bestFit="1" customWidth="1"/>
    <col min="14598" max="14598" width="9.15625"/>
    <col min="14599" max="14599" width="12.15625" bestFit="1" customWidth="1"/>
    <col min="14600" max="14600" width="18.68359375" bestFit="1" customWidth="1"/>
    <col min="14601" max="14601" width="2.41796875" customWidth="1"/>
    <col min="14602" max="14602" width="10.68359375" bestFit="1" customWidth="1"/>
    <col min="14603" max="14848" width="9.15625"/>
    <col min="14849" max="14849" width="4" customWidth="1"/>
    <col min="14850" max="14850" width="11.83984375" bestFit="1" customWidth="1"/>
    <col min="14851" max="14851" width="21.83984375" bestFit="1" customWidth="1"/>
    <col min="14852" max="14852" width="10.15625" bestFit="1" customWidth="1"/>
    <col min="14853" max="14853" width="10" bestFit="1" customWidth="1"/>
    <col min="14854" max="14854" width="9.15625"/>
    <col min="14855" max="14855" width="12.15625" bestFit="1" customWidth="1"/>
    <col min="14856" max="14856" width="18.68359375" bestFit="1" customWidth="1"/>
    <col min="14857" max="14857" width="2.41796875" customWidth="1"/>
    <col min="14858" max="14858" width="10.68359375" bestFit="1" customWidth="1"/>
    <col min="14859" max="15104" width="9.15625"/>
    <col min="15105" max="15105" width="4" customWidth="1"/>
    <col min="15106" max="15106" width="11.83984375" bestFit="1" customWidth="1"/>
    <col min="15107" max="15107" width="21.83984375" bestFit="1" customWidth="1"/>
    <col min="15108" max="15108" width="10.15625" bestFit="1" customWidth="1"/>
    <col min="15109" max="15109" width="10" bestFit="1" customWidth="1"/>
    <col min="15110" max="15110" width="9.15625"/>
    <col min="15111" max="15111" width="12.15625" bestFit="1" customWidth="1"/>
    <col min="15112" max="15112" width="18.68359375" bestFit="1" customWidth="1"/>
    <col min="15113" max="15113" width="2.41796875" customWidth="1"/>
    <col min="15114" max="15114" width="10.68359375" bestFit="1" customWidth="1"/>
    <col min="15115" max="15360" width="9.15625"/>
    <col min="15361" max="15361" width="4" customWidth="1"/>
    <col min="15362" max="15362" width="11.83984375" bestFit="1" customWidth="1"/>
    <col min="15363" max="15363" width="21.83984375" bestFit="1" customWidth="1"/>
    <col min="15364" max="15364" width="10.15625" bestFit="1" customWidth="1"/>
    <col min="15365" max="15365" width="10" bestFit="1" customWidth="1"/>
    <col min="15366" max="15366" width="9.15625"/>
    <col min="15367" max="15367" width="12.15625" bestFit="1" customWidth="1"/>
    <col min="15368" max="15368" width="18.68359375" bestFit="1" customWidth="1"/>
    <col min="15369" max="15369" width="2.41796875" customWidth="1"/>
    <col min="15370" max="15370" width="10.68359375" bestFit="1" customWidth="1"/>
    <col min="15371" max="15616" width="9.15625"/>
    <col min="15617" max="15617" width="4" customWidth="1"/>
    <col min="15618" max="15618" width="11.83984375" bestFit="1" customWidth="1"/>
    <col min="15619" max="15619" width="21.83984375" bestFit="1" customWidth="1"/>
    <col min="15620" max="15620" width="10.15625" bestFit="1" customWidth="1"/>
    <col min="15621" max="15621" width="10" bestFit="1" customWidth="1"/>
    <col min="15622" max="15622" width="9.15625"/>
    <col min="15623" max="15623" width="12.15625" bestFit="1" customWidth="1"/>
    <col min="15624" max="15624" width="18.68359375" bestFit="1" customWidth="1"/>
    <col min="15625" max="15625" width="2.41796875" customWidth="1"/>
    <col min="15626" max="15626" width="10.68359375" bestFit="1" customWidth="1"/>
    <col min="15627" max="15872" width="9.15625"/>
    <col min="15873" max="15873" width="4" customWidth="1"/>
    <col min="15874" max="15874" width="11.83984375" bestFit="1" customWidth="1"/>
    <col min="15875" max="15875" width="21.83984375" bestFit="1" customWidth="1"/>
    <col min="15876" max="15876" width="10.15625" bestFit="1" customWidth="1"/>
    <col min="15877" max="15877" width="10" bestFit="1" customWidth="1"/>
    <col min="15878" max="15878" width="9.15625"/>
    <col min="15879" max="15879" width="12.15625" bestFit="1" customWidth="1"/>
    <col min="15880" max="15880" width="18.68359375" bestFit="1" customWidth="1"/>
    <col min="15881" max="15881" width="2.41796875" customWidth="1"/>
    <col min="15882" max="15882" width="10.68359375" bestFit="1" customWidth="1"/>
    <col min="15883" max="16128" width="9.15625"/>
    <col min="16129" max="16129" width="4" customWidth="1"/>
    <col min="16130" max="16130" width="11.83984375" bestFit="1" customWidth="1"/>
    <col min="16131" max="16131" width="21.83984375" bestFit="1" customWidth="1"/>
    <col min="16132" max="16132" width="10.15625" bestFit="1" customWidth="1"/>
    <col min="16133" max="16133" width="10" bestFit="1" customWidth="1"/>
    <col min="16134" max="16134" width="9.15625"/>
    <col min="16135" max="16135" width="12.15625" bestFit="1" customWidth="1"/>
    <col min="16136" max="16136" width="18.68359375" bestFit="1" customWidth="1"/>
    <col min="16137" max="16137" width="2.41796875" customWidth="1"/>
    <col min="16138" max="16138" width="10.68359375" bestFit="1" customWidth="1"/>
    <col min="16139" max="16384" width="9.15625"/>
  </cols>
  <sheetData>
    <row r="1" spans="1:12" x14ac:dyDescent="0.55000000000000004">
      <c r="A1" s="39" t="str">
        <f>ROW()&amp;")"</f>
        <v>1)</v>
      </c>
      <c r="B1" s="40" t="s">
        <v>134</v>
      </c>
      <c r="C1" s="41"/>
      <c r="D1" s="41"/>
      <c r="E1" s="41"/>
      <c r="F1" s="41"/>
      <c r="G1" s="42"/>
    </row>
    <row r="2" spans="1:12" x14ac:dyDescent="0.55000000000000004">
      <c r="A2" s="39" t="str">
        <f>ROW()&amp;")"</f>
        <v>2)</v>
      </c>
      <c r="B2" s="40" t="s">
        <v>135</v>
      </c>
      <c r="C2" s="41"/>
      <c r="D2" s="41"/>
      <c r="E2" s="41"/>
      <c r="F2" s="41"/>
      <c r="G2" s="42"/>
    </row>
    <row r="3" spans="1:12" ht="28.8" x14ac:dyDescent="0.55000000000000004">
      <c r="A3" s="39" t="str">
        <f>ROW()&amp;")"</f>
        <v>3)</v>
      </c>
      <c r="B3" s="40" t="s">
        <v>136</v>
      </c>
      <c r="C3" s="41"/>
      <c r="D3" s="41"/>
      <c r="E3" s="41"/>
      <c r="F3" s="41"/>
      <c r="G3" s="42"/>
    </row>
    <row r="4" spans="1:12" ht="28.8" x14ac:dyDescent="0.55000000000000004">
      <c r="A4" s="39" t="str">
        <f>ROW()&amp;")"</f>
        <v>4)</v>
      </c>
      <c r="B4" s="40" t="s">
        <v>137</v>
      </c>
      <c r="C4" s="41"/>
      <c r="D4" s="41"/>
      <c r="E4" s="41"/>
      <c r="F4" s="41"/>
      <c r="G4" s="42"/>
    </row>
    <row r="5" spans="1:12" ht="28.8" x14ac:dyDescent="0.55000000000000004">
      <c r="A5" s="39" t="str">
        <f>ROW()&amp;")"</f>
        <v>5)</v>
      </c>
      <c r="B5" s="40" t="s">
        <v>138</v>
      </c>
      <c r="C5" s="41"/>
      <c r="D5" s="41"/>
      <c r="E5" s="41"/>
      <c r="F5" s="41"/>
      <c r="G5" s="42"/>
    </row>
    <row r="7" spans="1:12" ht="28.8" x14ac:dyDescent="0.55000000000000004">
      <c r="C7" s="5" t="s">
        <v>139</v>
      </c>
      <c r="D7" s="5"/>
    </row>
    <row r="8" spans="1:12" x14ac:dyDescent="0.55000000000000004">
      <c r="C8" s="2" t="s">
        <v>140</v>
      </c>
      <c r="D8" s="4" t="str">
        <f ca="1">CHOOSE(INT(RAND()*5+1),"Sioux","Jo","Joe","Sue","Fred")</f>
        <v>Joe</v>
      </c>
    </row>
    <row r="10" spans="1:12" x14ac:dyDescent="0.55000000000000004">
      <c r="B10" s="47" t="s">
        <v>141</v>
      </c>
      <c r="C10" s="47"/>
      <c r="D10" s="47"/>
      <c r="E10" s="47"/>
    </row>
    <row r="11" spans="1:12" ht="43.2" x14ac:dyDescent="0.55000000000000004">
      <c r="B11" s="5" t="s">
        <v>142</v>
      </c>
      <c r="C11" s="5"/>
      <c r="D11" s="5"/>
      <c r="E11" s="5"/>
      <c r="G11" s="5" t="s">
        <v>143</v>
      </c>
      <c r="H11" s="5"/>
    </row>
    <row r="12" spans="1:12" x14ac:dyDescent="0.55000000000000004">
      <c r="B12" s="10" t="s">
        <v>144</v>
      </c>
      <c r="C12" s="10" t="s">
        <v>145</v>
      </c>
      <c r="D12" s="10" t="s">
        <v>146</v>
      </c>
      <c r="E12" s="10" t="s">
        <v>147</v>
      </c>
      <c r="G12" s="48" t="s">
        <v>148</v>
      </c>
      <c r="H12" s="48" t="s">
        <v>149</v>
      </c>
    </row>
    <row r="13" spans="1:12" x14ac:dyDescent="0.55000000000000004">
      <c r="B13" s="49">
        <v>39067</v>
      </c>
      <c r="C13" s="2">
        <v>2</v>
      </c>
      <c r="D13" s="50">
        <v>2301</v>
      </c>
      <c r="E13" s="51">
        <f t="shared" ref="E13:E44" si="0">VLOOKUP(D13,CHOOSE(C13,Table1,Table2,Table3),2)</f>
        <v>575</v>
      </c>
      <c r="G13" s="2">
        <v>2.5</v>
      </c>
      <c r="H13" s="4" t="str">
        <f>CHOOSE(G13,"Very Bad","Bad","OK","Good","Very Good")</f>
        <v>Bad</v>
      </c>
      <c r="L13" t="s">
        <v>150</v>
      </c>
    </row>
    <row r="14" spans="1:12" x14ac:dyDescent="0.55000000000000004">
      <c r="B14" s="49">
        <v>39069</v>
      </c>
      <c r="C14" s="2">
        <v>1</v>
      </c>
      <c r="D14" s="50">
        <v>1703</v>
      </c>
      <c r="E14" s="51">
        <f t="shared" si="0"/>
        <v>475</v>
      </c>
      <c r="G14" s="2">
        <v>1.1000000000000001</v>
      </c>
      <c r="H14" s="4" t="str">
        <f>CHOOSE(G14,"Very Bad","Bad","OK","Good","Very Good")</f>
        <v>Very Bad</v>
      </c>
    </row>
    <row r="15" spans="1:12" x14ac:dyDescent="0.55000000000000004">
      <c r="B15" s="49">
        <v>39031</v>
      </c>
      <c r="C15" s="2">
        <v>1</v>
      </c>
      <c r="D15" s="50">
        <v>3853</v>
      </c>
      <c r="E15" s="51">
        <f t="shared" si="0"/>
        <v>475</v>
      </c>
      <c r="G15" s="2">
        <v>2</v>
      </c>
      <c r="H15" s="4" t="str">
        <f>CHOOSE(G15,"Very Bad","Bad","OK","Good","Very Good")</f>
        <v>Bad</v>
      </c>
    </row>
    <row r="16" spans="1:12" x14ac:dyDescent="0.55000000000000004">
      <c r="B16" s="49">
        <v>39099</v>
      </c>
      <c r="C16" s="2">
        <v>3</v>
      </c>
      <c r="D16" s="50">
        <v>3470</v>
      </c>
      <c r="E16" s="51">
        <f t="shared" si="0"/>
        <v>625</v>
      </c>
      <c r="G16" s="2">
        <v>5.9</v>
      </c>
      <c r="H16" s="4" t="str">
        <f>CHOOSE(G16,"Very Bad","Bad","OK","Good","Very Good")</f>
        <v>Very Good</v>
      </c>
    </row>
    <row r="17" spans="2:11" x14ac:dyDescent="0.55000000000000004">
      <c r="B17" s="49">
        <v>39053</v>
      </c>
      <c r="C17" s="2">
        <v>1</v>
      </c>
      <c r="D17" s="50">
        <v>6298</v>
      </c>
      <c r="E17" s="51">
        <f t="shared" si="0"/>
        <v>400</v>
      </c>
      <c r="G17" s="2">
        <v>4</v>
      </c>
      <c r="H17" s="4" t="str">
        <f>CHOOSE(G17,"Very Bad","Bad","OK","Good","Very Good")</f>
        <v>Good</v>
      </c>
    </row>
    <row r="18" spans="2:11" x14ac:dyDescent="0.55000000000000004">
      <c r="B18" s="49">
        <v>39089</v>
      </c>
      <c r="C18" s="2">
        <v>1</v>
      </c>
      <c r="D18" s="50">
        <v>6444</v>
      </c>
      <c r="E18" s="51">
        <f t="shared" si="0"/>
        <v>400</v>
      </c>
    </row>
    <row r="19" spans="2:11" x14ac:dyDescent="0.55000000000000004">
      <c r="B19" s="49">
        <v>39046</v>
      </c>
      <c r="C19" s="2">
        <v>1</v>
      </c>
      <c r="D19" s="50">
        <v>2109</v>
      </c>
      <c r="E19" s="51">
        <f t="shared" si="0"/>
        <v>475</v>
      </c>
      <c r="G19" s="5" t="s">
        <v>151</v>
      </c>
      <c r="H19" s="5"/>
    </row>
    <row r="20" spans="2:11" ht="28.8" x14ac:dyDescent="0.55000000000000004">
      <c r="B20" s="49">
        <v>39086</v>
      </c>
      <c r="C20" s="2">
        <v>1</v>
      </c>
      <c r="D20" s="50">
        <v>5937</v>
      </c>
      <c r="E20" s="51">
        <f t="shared" si="0"/>
        <v>400</v>
      </c>
      <c r="G20" s="52" t="str">
        <f>J21&amp;" = "&amp;K21&amp;CHAR(10)&amp;J22&amp;" = "&amp;K22</f>
        <v xml:space="preserve"> = 
 = </v>
      </c>
      <c r="H20" s="10">
        <f>IF(G21=K21,J21,J22)</f>
        <v>0</v>
      </c>
    </row>
    <row r="21" spans="2:11" x14ac:dyDescent="0.55000000000000004">
      <c r="B21" s="49">
        <v>39042</v>
      </c>
      <c r="C21" s="2">
        <v>1</v>
      </c>
      <c r="D21" s="50">
        <v>2822</v>
      </c>
      <c r="E21" s="51">
        <f t="shared" si="0"/>
        <v>475</v>
      </c>
      <c r="G21" s="2">
        <v>2</v>
      </c>
      <c r="H21" s="53">
        <f>CHOOSE(G21,SUM(H22:H34),AVERAGE(H22:H34))</f>
        <v>3.7692307692307692</v>
      </c>
      <c r="J21" s="2"/>
      <c r="K21" s="2"/>
    </row>
    <row r="22" spans="2:11" x14ac:dyDescent="0.55000000000000004">
      <c r="B22" s="49">
        <v>39074</v>
      </c>
      <c r="C22" s="2">
        <v>1</v>
      </c>
      <c r="D22" s="50">
        <v>6312</v>
      </c>
      <c r="E22" s="51">
        <f t="shared" si="0"/>
        <v>400</v>
      </c>
      <c r="H22">
        <v>5</v>
      </c>
      <c r="J22" s="2"/>
      <c r="K22" s="2"/>
    </row>
    <row r="23" spans="2:11" x14ac:dyDescent="0.55000000000000004">
      <c r="B23" s="49">
        <v>39054</v>
      </c>
      <c r="C23" s="2">
        <v>2</v>
      </c>
      <c r="D23" s="50">
        <v>6000</v>
      </c>
      <c r="E23" s="51">
        <f t="shared" si="0"/>
        <v>500</v>
      </c>
      <c r="H23">
        <v>4</v>
      </c>
    </row>
    <row r="24" spans="2:11" x14ac:dyDescent="0.55000000000000004">
      <c r="B24" s="49">
        <v>39041</v>
      </c>
      <c r="C24" s="2">
        <v>3</v>
      </c>
      <c r="D24" s="50">
        <v>8426</v>
      </c>
      <c r="E24" s="51">
        <f t="shared" si="0"/>
        <v>400</v>
      </c>
      <c r="H24">
        <v>4</v>
      </c>
    </row>
    <row r="25" spans="2:11" x14ac:dyDescent="0.55000000000000004">
      <c r="B25" s="49">
        <v>39084</v>
      </c>
      <c r="C25" s="2">
        <v>1</v>
      </c>
      <c r="D25" s="50">
        <v>6984</v>
      </c>
      <c r="E25" s="51">
        <f t="shared" si="0"/>
        <v>400</v>
      </c>
      <c r="H25">
        <v>4</v>
      </c>
    </row>
    <row r="26" spans="2:11" x14ac:dyDescent="0.55000000000000004">
      <c r="B26" s="49">
        <v>39071</v>
      </c>
      <c r="C26" s="2">
        <v>2</v>
      </c>
      <c r="D26" s="50">
        <v>4172</v>
      </c>
      <c r="E26" s="51">
        <f t="shared" si="0"/>
        <v>575</v>
      </c>
      <c r="H26">
        <v>5</v>
      </c>
    </row>
    <row r="27" spans="2:11" x14ac:dyDescent="0.55000000000000004">
      <c r="B27" s="49">
        <v>39069</v>
      </c>
      <c r="C27" s="2">
        <v>2</v>
      </c>
      <c r="D27" s="50">
        <v>28</v>
      </c>
      <c r="E27" s="51">
        <f t="shared" si="0"/>
        <v>600</v>
      </c>
      <c r="H27">
        <v>5</v>
      </c>
    </row>
    <row r="28" spans="2:11" x14ac:dyDescent="0.55000000000000004">
      <c r="B28" s="49">
        <v>39039</v>
      </c>
      <c r="C28" s="2">
        <v>1</v>
      </c>
      <c r="D28" s="50">
        <v>2186</v>
      </c>
      <c r="E28" s="51">
        <f t="shared" si="0"/>
        <v>475</v>
      </c>
      <c r="H28">
        <v>3</v>
      </c>
    </row>
    <row r="29" spans="2:11" x14ac:dyDescent="0.55000000000000004">
      <c r="B29" s="49">
        <v>39028</v>
      </c>
      <c r="C29" s="2">
        <v>1</v>
      </c>
      <c r="D29" s="50">
        <v>7783</v>
      </c>
      <c r="E29" s="51">
        <f t="shared" si="0"/>
        <v>250</v>
      </c>
      <c r="H29">
        <v>5</v>
      </c>
    </row>
    <row r="30" spans="2:11" x14ac:dyDescent="0.55000000000000004">
      <c r="B30" s="49">
        <v>39063</v>
      </c>
      <c r="C30" s="2">
        <v>2</v>
      </c>
      <c r="D30" s="50">
        <v>4027</v>
      </c>
      <c r="E30" s="51">
        <f t="shared" si="0"/>
        <v>575</v>
      </c>
      <c r="H30">
        <v>3</v>
      </c>
    </row>
    <row r="31" spans="2:11" x14ac:dyDescent="0.55000000000000004">
      <c r="B31" s="49">
        <v>39024</v>
      </c>
      <c r="C31" s="2">
        <v>2</v>
      </c>
      <c r="D31" s="50">
        <v>6848</v>
      </c>
      <c r="E31" s="51">
        <f t="shared" si="0"/>
        <v>500</v>
      </c>
      <c r="H31">
        <v>5</v>
      </c>
    </row>
    <row r="32" spans="2:11" x14ac:dyDescent="0.55000000000000004">
      <c r="B32" s="49">
        <v>39077</v>
      </c>
      <c r="C32" s="2">
        <v>1</v>
      </c>
      <c r="D32" s="50">
        <v>7752</v>
      </c>
      <c r="E32" s="51">
        <f t="shared" si="0"/>
        <v>250</v>
      </c>
      <c r="H32">
        <v>1</v>
      </c>
    </row>
    <row r="33" spans="2:8" x14ac:dyDescent="0.55000000000000004">
      <c r="B33" s="49">
        <v>39040</v>
      </c>
      <c r="C33" s="2">
        <v>1</v>
      </c>
      <c r="D33" s="50">
        <v>7814</v>
      </c>
      <c r="E33" s="51">
        <f t="shared" si="0"/>
        <v>250</v>
      </c>
      <c r="H33">
        <v>3</v>
      </c>
    </row>
    <row r="34" spans="2:8" x14ac:dyDescent="0.55000000000000004">
      <c r="B34" s="49">
        <v>39095</v>
      </c>
      <c r="C34" s="2">
        <v>3</v>
      </c>
      <c r="D34" s="50">
        <v>6348</v>
      </c>
      <c r="E34" s="51">
        <f t="shared" si="0"/>
        <v>550</v>
      </c>
      <c r="H34">
        <v>2</v>
      </c>
    </row>
    <row r="35" spans="2:8" x14ac:dyDescent="0.55000000000000004">
      <c r="B35" s="49">
        <v>39009</v>
      </c>
      <c r="C35" s="2">
        <v>1</v>
      </c>
      <c r="D35" s="50">
        <v>6795</v>
      </c>
      <c r="E35" s="51">
        <f t="shared" si="0"/>
        <v>400</v>
      </c>
    </row>
    <row r="36" spans="2:8" x14ac:dyDescent="0.55000000000000004">
      <c r="B36" s="49">
        <v>39022</v>
      </c>
      <c r="C36" s="2">
        <v>2</v>
      </c>
      <c r="D36" s="50">
        <v>2700</v>
      </c>
      <c r="E36" s="51">
        <f t="shared" si="0"/>
        <v>575</v>
      </c>
    </row>
    <row r="37" spans="2:8" x14ac:dyDescent="0.55000000000000004">
      <c r="B37" s="49">
        <v>39003</v>
      </c>
      <c r="C37" s="2">
        <v>1</v>
      </c>
      <c r="D37" s="50">
        <v>3535</v>
      </c>
      <c r="E37" s="51">
        <f t="shared" si="0"/>
        <v>475</v>
      </c>
    </row>
    <row r="38" spans="2:8" x14ac:dyDescent="0.55000000000000004">
      <c r="B38" s="49">
        <v>39023</v>
      </c>
      <c r="C38" s="2">
        <v>1</v>
      </c>
      <c r="D38" s="50">
        <v>2769</v>
      </c>
      <c r="E38" s="51">
        <f t="shared" si="0"/>
        <v>475</v>
      </c>
    </row>
    <row r="39" spans="2:8" x14ac:dyDescent="0.55000000000000004">
      <c r="B39" s="49">
        <v>39032</v>
      </c>
      <c r="C39" s="2">
        <v>2</v>
      </c>
      <c r="D39" s="50">
        <v>9310</v>
      </c>
      <c r="E39" s="51">
        <f t="shared" si="0"/>
        <v>350</v>
      </c>
    </row>
    <row r="40" spans="2:8" x14ac:dyDescent="0.55000000000000004">
      <c r="B40" s="49">
        <v>39087</v>
      </c>
      <c r="C40" s="2">
        <v>1</v>
      </c>
      <c r="D40" s="50">
        <v>1280</v>
      </c>
      <c r="E40" s="51">
        <f t="shared" si="0"/>
        <v>475</v>
      </c>
    </row>
    <row r="41" spans="2:8" x14ac:dyDescent="0.55000000000000004">
      <c r="B41" s="49">
        <v>39016</v>
      </c>
      <c r="C41" s="2">
        <v>3</v>
      </c>
      <c r="D41" s="50">
        <v>2222</v>
      </c>
      <c r="E41" s="51">
        <f t="shared" si="0"/>
        <v>625</v>
      </c>
    </row>
    <row r="42" spans="2:8" x14ac:dyDescent="0.55000000000000004">
      <c r="B42" s="49">
        <v>39067</v>
      </c>
      <c r="C42" s="2">
        <v>2</v>
      </c>
      <c r="D42" s="50">
        <v>5024</v>
      </c>
      <c r="E42" s="51">
        <f t="shared" si="0"/>
        <v>500</v>
      </c>
    </row>
    <row r="43" spans="2:8" x14ac:dyDescent="0.55000000000000004">
      <c r="B43" s="49">
        <v>39075</v>
      </c>
      <c r="C43" s="2">
        <v>3</v>
      </c>
      <c r="D43" s="50">
        <v>6798</v>
      </c>
      <c r="E43" s="51">
        <f t="shared" si="0"/>
        <v>550</v>
      </c>
    </row>
    <row r="44" spans="2:8" x14ac:dyDescent="0.55000000000000004">
      <c r="B44" s="49">
        <v>39010</v>
      </c>
      <c r="C44" s="2">
        <v>3</v>
      </c>
      <c r="D44" s="50">
        <v>5183</v>
      </c>
      <c r="E44" s="51">
        <f t="shared" si="0"/>
        <v>550</v>
      </c>
    </row>
    <row r="45" spans="2:8" x14ac:dyDescent="0.55000000000000004">
      <c r="B45" s="49">
        <v>39092</v>
      </c>
      <c r="C45" s="2">
        <v>3</v>
      </c>
      <c r="D45" s="50">
        <v>562</v>
      </c>
      <c r="E45" s="51">
        <f t="shared" ref="E45:E76" si="1">VLOOKUP(D45,CHOOSE(C45,Table1,Table2,Table3),2)</f>
        <v>650</v>
      </c>
    </row>
    <row r="46" spans="2:8" x14ac:dyDescent="0.55000000000000004">
      <c r="B46" s="49">
        <v>39051</v>
      </c>
      <c r="C46" s="2">
        <v>3</v>
      </c>
      <c r="D46" s="50">
        <v>2374</v>
      </c>
      <c r="E46" s="51">
        <f t="shared" si="1"/>
        <v>625</v>
      </c>
    </row>
    <row r="47" spans="2:8" x14ac:dyDescent="0.55000000000000004">
      <c r="B47" s="49">
        <v>39032</v>
      </c>
      <c r="C47" s="2">
        <v>3</v>
      </c>
      <c r="D47" s="50">
        <v>9679</v>
      </c>
      <c r="E47" s="51">
        <f t="shared" si="1"/>
        <v>400</v>
      </c>
    </row>
    <row r="48" spans="2:8" x14ac:dyDescent="0.55000000000000004">
      <c r="B48" s="49">
        <v>39027</v>
      </c>
      <c r="C48" s="2">
        <v>2</v>
      </c>
      <c r="D48" s="50">
        <v>8193</v>
      </c>
      <c r="E48" s="51">
        <f t="shared" si="1"/>
        <v>350</v>
      </c>
    </row>
    <row r="49" spans="2:5" x14ac:dyDescent="0.55000000000000004">
      <c r="B49" s="49">
        <v>39060</v>
      </c>
      <c r="C49" s="2">
        <v>1</v>
      </c>
      <c r="D49" s="50">
        <v>5863</v>
      </c>
      <c r="E49" s="51">
        <f t="shared" si="1"/>
        <v>400</v>
      </c>
    </row>
    <row r="50" spans="2:5" x14ac:dyDescent="0.55000000000000004">
      <c r="B50" s="49">
        <v>39036</v>
      </c>
      <c r="C50" s="2">
        <v>1</v>
      </c>
      <c r="D50" s="50">
        <v>208</v>
      </c>
      <c r="E50" s="51">
        <f t="shared" si="1"/>
        <v>500</v>
      </c>
    </row>
    <row r="51" spans="2:5" x14ac:dyDescent="0.55000000000000004">
      <c r="B51" s="49">
        <v>39058</v>
      </c>
      <c r="C51" s="2">
        <v>3</v>
      </c>
      <c r="D51" s="50">
        <v>1784</v>
      </c>
      <c r="E51" s="51">
        <f t="shared" si="1"/>
        <v>625</v>
      </c>
    </row>
    <row r="52" spans="2:5" x14ac:dyDescent="0.55000000000000004">
      <c r="B52" s="49">
        <v>39047</v>
      </c>
      <c r="C52" s="2">
        <v>1</v>
      </c>
      <c r="D52" s="50">
        <v>8091</v>
      </c>
      <c r="E52" s="51">
        <f t="shared" si="1"/>
        <v>250</v>
      </c>
    </row>
    <row r="53" spans="2:5" x14ac:dyDescent="0.55000000000000004">
      <c r="B53" s="49">
        <v>39061</v>
      </c>
      <c r="C53" s="2">
        <v>3</v>
      </c>
      <c r="D53" s="50">
        <v>3072</v>
      </c>
      <c r="E53" s="51">
        <f t="shared" si="1"/>
        <v>625</v>
      </c>
    </row>
    <row r="54" spans="2:5" x14ac:dyDescent="0.55000000000000004">
      <c r="B54" s="49">
        <v>39066</v>
      </c>
      <c r="C54" s="2">
        <v>3</v>
      </c>
      <c r="D54" s="50">
        <v>6247</v>
      </c>
      <c r="E54" s="51">
        <f t="shared" si="1"/>
        <v>550</v>
      </c>
    </row>
    <row r="55" spans="2:5" x14ac:dyDescent="0.55000000000000004">
      <c r="B55" s="49">
        <v>39017</v>
      </c>
      <c r="C55" s="2">
        <v>2</v>
      </c>
      <c r="D55" s="50">
        <v>5691</v>
      </c>
      <c r="E55" s="51">
        <f t="shared" si="1"/>
        <v>500</v>
      </c>
    </row>
    <row r="56" spans="2:5" x14ac:dyDescent="0.55000000000000004">
      <c r="B56" s="49">
        <v>39032</v>
      </c>
      <c r="C56" s="2">
        <v>2</v>
      </c>
      <c r="D56" s="50">
        <v>8306</v>
      </c>
      <c r="E56" s="51">
        <f t="shared" si="1"/>
        <v>350</v>
      </c>
    </row>
    <row r="57" spans="2:5" x14ac:dyDescent="0.55000000000000004">
      <c r="B57" s="49">
        <v>39037</v>
      </c>
      <c r="C57" s="2">
        <v>2</v>
      </c>
      <c r="D57" s="50">
        <v>8909</v>
      </c>
      <c r="E57" s="51">
        <f t="shared" si="1"/>
        <v>350</v>
      </c>
    </row>
    <row r="58" spans="2:5" x14ac:dyDescent="0.55000000000000004">
      <c r="B58" s="49">
        <v>39092</v>
      </c>
      <c r="C58" s="2">
        <v>3</v>
      </c>
      <c r="D58" s="50">
        <v>8838</v>
      </c>
      <c r="E58" s="51">
        <f t="shared" si="1"/>
        <v>400</v>
      </c>
    </row>
    <row r="59" spans="2:5" x14ac:dyDescent="0.55000000000000004">
      <c r="B59" s="49">
        <v>39073</v>
      </c>
      <c r="C59" s="2">
        <v>3</v>
      </c>
      <c r="D59" s="50">
        <v>6810</v>
      </c>
      <c r="E59" s="51">
        <f t="shared" si="1"/>
        <v>550</v>
      </c>
    </row>
    <row r="60" spans="2:5" x14ac:dyDescent="0.55000000000000004">
      <c r="B60" s="49">
        <v>39004</v>
      </c>
      <c r="C60" s="2">
        <v>2</v>
      </c>
      <c r="D60" s="50">
        <v>1205</v>
      </c>
      <c r="E60" s="51">
        <f t="shared" si="1"/>
        <v>575</v>
      </c>
    </row>
    <row r="61" spans="2:5" x14ac:dyDescent="0.55000000000000004">
      <c r="B61" s="49">
        <v>39049</v>
      </c>
      <c r="C61" s="2">
        <v>1</v>
      </c>
      <c r="D61" s="50">
        <v>7084</v>
      </c>
      <c r="E61" s="51">
        <f t="shared" si="1"/>
        <v>400</v>
      </c>
    </row>
    <row r="62" spans="2:5" x14ac:dyDescent="0.55000000000000004">
      <c r="B62" s="49">
        <v>39071</v>
      </c>
      <c r="C62" s="2">
        <v>1</v>
      </c>
      <c r="D62" s="50">
        <v>5525</v>
      </c>
      <c r="E62" s="51">
        <f t="shared" si="1"/>
        <v>400</v>
      </c>
    </row>
    <row r="63" spans="2:5" x14ac:dyDescent="0.55000000000000004">
      <c r="B63" s="49">
        <v>39050</v>
      </c>
      <c r="C63" s="2">
        <v>2</v>
      </c>
      <c r="D63" s="50">
        <v>4961</v>
      </c>
      <c r="E63" s="51">
        <f t="shared" si="1"/>
        <v>575</v>
      </c>
    </row>
    <row r="64" spans="2:5" x14ac:dyDescent="0.55000000000000004">
      <c r="B64" s="49">
        <v>39082</v>
      </c>
      <c r="C64" s="2">
        <v>2</v>
      </c>
      <c r="D64" s="50">
        <v>1453</v>
      </c>
      <c r="E64" s="51">
        <f t="shared" si="1"/>
        <v>575</v>
      </c>
    </row>
    <row r="65" spans="2:5" x14ac:dyDescent="0.55000000000000004">
      <c r="B65" s="49">
        <v>39075</v>
      </c>
      <c r="C65" s="2">
        <v>2</v>
      </c>
      <c r="D65" s="50">
        <v>2454</v>
      </c>
      <c r="E65" s="51">
        <f t="shared" si="1"/>
        <v>575</v>
      </c>
    </row>
    <row r="66" spans="2:5" x14ac:dyDescent="0.55000000000000004">
      <c r="B66" s="49">
        <v>39047</v>
      </c>
      <c r="C66" s="2">
        <v>1</v>
      </c>
      <c r="D66" s="50">
        <v>8609</v>
      </c>
      <c r="E66" s="51">
        <f t="shared" si="1"/>
        <v>250</v>
      </c>
    </row>
    <row r="67" spans="2:5" x14ac:dyDescent="0.55000000000000004">
      <c r="B67" s="49">
        <v>39080</v>
      </c>
      <c r="C67" s="2">
        <v>2</v>
      </c>
      <c r="D67" s="50">
        <v>4546</v>
      </c>
      <c r="E67" s="51">
        <f t="shared" si="1"/>
        <v>575</v>
      </c>
    </row>
    <row r="68" spans="2:5" x14ac:dyDescent="0.55000000000000004">
      <c r="B68" s="49">
        <v>39057</v>
      </c>
      <c r="C68" s="2">
        <v>2</v>
      </c>
      <c r="D68" s="50">
        <v>1791</v>
      </c>
      <c r="E68" s="51">
        <f t="shared" si="1"/>
        <v>575</v>
      </c>
    </row>
    <row r="69" spans="2:5" x14ac:dyDescent="0.55000000000000004">
      <c r="B69" s="49">
        <v>39048</v>
      </c>
      <c r="C69" s="2">
        <v>1</v>
      </c>
      <c r="D69" s="50">
        <v>8764</v>
      </c>
      <c r="E69" s="51">
        <f t="shared" si="1"/>
        <v>250</v>
      </c>
    </row>
    <row r="70" spans="2:5" x14ac:dyDescent="0.55000000000000004">
      <c r="B70" s="49">
        <v>39049</v>
      </c>
      <c r="C70" s="2">
        <v>3</v>
      </c>
      <c r="D70" s="50">
        <v>4099</v>
      </c>
      <c r="E70" s="51">
        <f t="shared" si="1"/>
        <v>625</v>
      </c>
    </row>
    <row r="71" spans="2:5" x14ac:dyDescent="0.55000000000000004">
      <c r="B71" s="49">
        <v>39077</v>
      </c>
      <c r="C71" s="2">
        <v>2</v>
      </c>
      <c r="D71" s="50">
        <v>1886</v>
      </c>
      <c r="E71" s="51">
        <f t="shared" si="1"/>
        <v>575</v>
      </c>
    </row>
    <row r="72" spans="2:5" x14ac:dyDescent="0.55000000000000004">
      <c r="B72" s="49">
        <v>39012</v>
      </c>
      <c r="C72" s="2">
        <v>3</v>
      </c>
      <c r="D72" s="50">
        <v>6278</v>
      </c>
      <c r="E72" s="51">
        <f t="shared" si="1"/>
        <v>550</v>
      </c>
    </row>
    <row r="73" spans="2:5" x14ac:dyDescent="0.55000000000000004">
      <c r="B73" s="49">
        <v>39053</v>
      </c>
      <c r="C73" s="2">
        <v>2</v>
      </c>
      <c r="D73" s="50">
        <v>2200</v>
      </c>
      <c r="E73" s="51">
        <f t="shared" si="1"/>
        <v>575</v>
      </c>
    </row>
    <row r="74" spans="2:5" x14ac:dyDescent="0.55000000000000004">
      <c r="B74" s="49">
        <v>39094</v>
      </c>
      <c r="C74" s="2">
        <v>3</v>
      </c>
      <c r="D74" s="50">
        <v>2141</v>
      </c>
      <c r="E74" s="51">
        <f t="shared" si="1"/>
        <v>625</v>
      </c>
    </row>
    <row r="75" spans="2:5" x14ac:dyDescent="0.55000000000000004">
      <c r="B75" s="49">
        <v>39031</v>
      </c>
      <c r="C75" s="2">
        <v>3</v>
      </c>
      <c r="D75" s="50">
        <v>8543</v>
      </c>
      <c r="E75" s="51">
        <f t="shared" si="1"/>
        <v>400</v>
      </c>
    </row>
    <row r="76" spans="2:5" x14ac:dyDescent="0.55000000000000004">
      <c r="B76" s="49">
        <v>39047</v>
      </c>
      <c r="C76" s="2">
        <v>1</v>
      </c>
      <c r="D76" s="50">
        <v>9475</v>
      </c>
      <c r="E76" s="51">
        <f t="shared" si="1"/>
        <v>250</v>
      </c>
    </row>
    <row r="77" spans="2:5" x14ac:dyDescent="0.55000000000000004">
      <c r="B77" s="49">
        <v>39073</v>
      </c>
      <c r="C77" s="2">
        <v>2</v>
      </c>
      <c r="D77" s="50">
        <v>2489</v>
      </c>
      <c r="E77" s="51">
        <f t="shared" ref="E77:E108" si="2">VLOOKUP(D77,CHOOSE(C77,Table1,Table2,Table3),2)</f>
        <v>575</v>
      </c>
    </row>
    <row r="78" spans="2:5" x14ac:dyDescent="0.55000000000000004">
      <c r="B78" s="49">
        <v>39085</v>
      </c>
      <c r="C78" s="2">
        <v>1</v>
      </c>
      <c r="D78" s="50">
        <v>4863</v>
      </c>
      <c r="E78" s="51">
        <f t="shared" si="2"/>
        <v>475</v>
      </c>
    </row>
    <row r="79" spans="2:5" x14ac:dyDescent="0.55000000000000004">
      <c r="B79" s="49">
        <v>39067</v>
      </c>
      <c r="C79" s="2">
        <v>3</v>
      </c>
      <c r="D79" s="50">
        <v>8424</v>
      </c>
      <c r="E79" s="51">
        <f t="shared" si="2"/>
        <v>400</v>
      </c>
    </row>
    <row r="80" spans="2:5" x14ac:dyDescent="0.55000000000000004">
      <c r="B80" s="49">
        <v>39029</v>
      </c>
      <c r="C80" s="2">
        <v>1</v>
      </c>
      <c r="D80" s="50">
        <v>2188</v>
      </c>
      <c r="E80" s="51">
        <f t="shared" si="2"/>
        <v>475</v>
      </c>
    </row>
    <row r="81" spans="2:5" x14ac:dyDescent="0.55000000000000004">
      <c r="B81" s="49">
        <v>39069</v>
      </c>
      <c r="C81" s="2">
        <v>1</v>
      </c>
      <c r="D81" s="50">
        <v>3777</v>
      </c>
      <c r="E81" s="51">
        <f t="shared" si="2"/>
        <v>475</v>
      </c>
    </row>
    <row r="82" spans="2:5" x14ac:dyDescent="0.55000000000000004">
      <c r="B82" s="49">
        <v>39056</v>
      </c>
      <c r="C82" s="2">
        <v>3</v>
      </c>
      <c r="D82" s="50">
        <v>1397</v>
      </c>
      <c r="E82" s="51">
        <f t="shared" si="2"/>
        <v>625</v>
      </c>
    </row>
    <row r="83" spans="2:5" x14ac:dyDescent="0.55000000000000004">
      <c r="B83" s="49">
        <v>39027</v>
      </c>
      <c r="C83" s="2">
        <v>1</v>
      </c>
      <c r="D83" s="50">
        <v>6026</v>
      </c>
      <c r="E83" s="51">
        <f t="shared" si="2"/>
        <v>400</v>
      </c>
    </row>
    <row r="84" spans="2:5" x14ac:dyDescent="0.55000000000000004">
      <c r="B84" s="49">
        <v>39063</v>
      </c>
      <c r="C84" s="2">
        <v>3</v>
      </c>
      <c r="D84" s="50">
        <v>2328</v>
      </c>
      <c r="E84" s="51">
        <f t="shared" si="2"/>
        <v>625</v>
      </c>
    </row>
    <row r="85" spans="2:5" x14ac:dyDescent="0.55000000000000004">
      <c r="B85" s="49">
        <v>39089</v>
      </c>
      <c r="C85" s="2">
        <v>1</v>
      </c>
      <c r="D85" s="50">
        <v>8292</v>
      </c>
      <c r="E85" s="51">
        <f t="shared" si="2"/>
        <v>250</v>
      </c>
    </row>
    <row r="86" spans="2:5" x14ac:dyDescent="0.55000000000000004">
      <c r="B86" s="49">
        <v>39049</v>
      </c>
      <c r="C86" s="2">
        <v>3</v>
      </c>
      <c r="D86" s="50">
        <v>1083</v>
      </c>
      <c r="E86" s="51">
        <f t="shared" si="2"/>
        <v>625</v>
      </c>
    </row>
    <row r="87" spans="2:5" x14ac:dyDescent="0.55000000000000004">
      <c r="B87" s="49">
        <v>39064</v>
      </c>
      <c r="C87" s="2">
        <v>3</v>
      </c>
      <c r="D87" s="50">
        <v>1403</v>
      </c>
      <c r="E87" s="51">
        <f t="shared" si="2"/>
        <v>625</v>
      </c>
    </row>
    <row r="88" spans="2:5" x14ac:dyDescent="0.55000000000000004">
      <c r="B88" s="49">
        <v>39020</v>
      </c>
      <c r="C88" s="2">
        <v>2</v>
      </c>
      <c r="D88" s="50">
        <v>4366</v>
      </c>
      <c r="E88" s="51">
        <f t="shared" si="2"/>
        <v>575</v>
      </c>
    </row>
    <row r="89" spans="2:5" x14ac:dyDescent="0.55000000000000004">
      <c r="B89" s="49">
        <v>39052</v>
      </c>
      <c r="C89" s="2">
        <v>2</v>
      </c>
      <c r="D89" s="50">
        <v>778</v>
      </c>
      <c r="E89" s="51">
        <f t="shared" si="2"/>
        <v>600</v>
      </c>
    </row>
    <row r="90" spans="2:5" x14ac:dyDescent="0.55000000000000004">
      <c r="B90" s="49">
        <v>39009</v>
      </c>
      <c r="C90" s="2">
        <v>1</v>
      </c>
      <c r="D90" s="50">
        <v>5983</v>
      </c>
      <c r="E90" s="51">
        <f t="shared" si="2"/>
        <v>400</v>
      </c>
    </row>
    <row r="91" spans="2:5" x14ac:dyDescent="0.55000000000000004">
      <c r="B91" s="49">
        <v>39014</v>
      </c>
      <c r="C91" s="2">
        <v>3</v>
      </c>
      <c r="D91" s="50">
        <v>8627</v>
      </c>
      <c r="E91" s="51">
        <f t="shared" si="2"/>
        <v>400</v>
      </c>
    </row>
    <row r="92" spans="2:5" x14ac:dyDescent="0.55000000000000004">
      <c r="B92" s="49">
        <v>39030</v>
      </c>
      <c r="C92" s="2">
        <v>2</v>
      </c>
      <c r="D92" s="50">
        <v>2806</v>
      </c>
      <c r="E92" s="51">
        <f t="shared" si="2"/>
        <v>575</v>
      </c>
    </row>
    <row r="93" spans="2:5" x14ac:dyDescent="0.55000000000000004">
      <c r="B93" s="49">
        <v>39006</v>
      </c>
      <c r="C93" s="2">
        <v>2</v>
      </c>
      <c r="D93" s="50">
        <v>3766</v>
      </c>
      <c r="E93" s="51">
        <f t="shared" si="2"/>
        <v>575</v>
      </c>
    </row>
    <row r="94" spans="2:5" x14ac:dyDescent="0.55000000000000004">
      <c r="B94" s="49">
        <v>39078</v>
      </c>
      <c r="C94" s="2">
        <v>1</v>
      </c>
      <c r="D94" s="50">
        <v>6595</v>
      </c>
      <c r="E94" s="51">
        <f t="shared" si="2"/>
        <v>400</v>
      </c>
    </row>
    <row r="95" spans="2:5" x14ac:dyDescent="0.55000000000000004">
      <c r="B95" s="49">
        <v>39084</v>
      </c>
      <c r="C95" s="2">
        <v>2</v>
      </c>
      <c r="D95" s="50">
        <v>4195</v>
      </c>
      <c r="E95" s="51">
        <f t="shared" si="2"/>
        <v>575</v>
      </c>
    </row>
    <row r="96" spans="2:5" x14ac:dyDescent="0.55000000000000004">
      <c r="B96" s="49">
        <v>39042</v>
      </c>
      <c r="C96" s="2">
        <v>3</v>
      </c>
      <c r="D96" s="50">
        <v>3656</v>
      </c>
      <c r="E96" s="51">
        <f t="shared" si="2"/>
        <v>625</v>
      </c>
    </row>
    <row r="97" spans="2:5" x14ac:dyDescent="0.55000000000000004">
      <c r="B97" s="49">
        <v>39000</v>
      </c>
      <c r="C97" s="2">
        <v>2</v>
      </c>
      <c r="D97" s="50">
        <v>3012</v>
      </c>
      <c r="E97" s="51">
        <f t="shared" si="2"/>
        <v>575</v>
      </c>
    </row>
    <row r="98" spans="2:5" x14ac:dyDescent="0.55000000000000004">
      <c r="B98" s="49">
        <v>39029</v>
      </c>
      <c r="C98" s="2">
        <v>3</v>
      </c>
      <c r="D98" s="50">
        <v>8670</v>
      </c>
      <c r="E98" s="51">
        <f t="shared" si="2"/>
        <v>400</v>
      </c>
    </row>
    <row r="99" spans="2:5" x14ac:dyDescent="0.55000000000000004">
      <c r="B99" s="49">
        <v>39068</v>
      </c>
      <c r="C99" s="2">
        <v>3</v>
      </c>
      <c r="D99" s="50">
        <v>8959</v>
      </c>
      <c r="E99" s="51">
        <f t="shared" si="2"/>
        <v>400</v>
      </c>
    </row>
    <row r="100" spans="2:5" x14ac:dyDescent="0.55000000000000004">
      <c r="B100" s="49">
        <v>39031</v>
      </c>
      <c r="C100" s="2">
        <v>3</v>
      </c>
      <c r="D100" s="50">
        <v>7360</v>
      </c>
      <c r="E100" s="51">
        <f t="shared" si="2"/>
        <v>550</v>
      </c>
    </row>
    <row r="101" spans="2:5" x14ac:dyDescent="0.55000000000000004">
      <c r="B101" s="49">
        <v>39086</v>
      </c>
      <c r="C101" s="2">
        <v>1</v>
      </c>
      <c r="D101" s="50">
        <v>7407</v>
      </c>
      <c r="E101" s="51">
        <f t="shared" si="2"/>
        <v>400</v>
      </c>
    </row>
    <row r="102" spans="2:5" x14ac:dyDescent="0.55000000000000004">
      <c r="B102" s="49">
        <v>39087</v>
      </c>
      <c r="C102" s="2">
        <v>1</v>
      </c>
      <c r="D102" s="50">
        <v>633</v>
      </c>
      <c r="E102" s="51">
        <f t="shared" si="2"/>
        <v>500</v>
      </c>
    </row>
    <row r="103" spans="2:5" x14ac:dyDescent="0.55000000000000004">
      <c r="B103" s="49">
        <v>39023</v>
      </c>
      <c r="C103" s="2">
        <v>3</v>
      </c>
      <c r="D103" s="50">
        <v>5660</v>
      </c>
      <c r="E103" s="51">
        <f t="shared" si="2"/>
        <v>550</v>
      </c>
    </row>
    <row r="104" spans="2:5" x14ac:dyDescent="0.55000000000000004">
      <c r="B104" s="49">
        <v>39028</v>
      </c>
      <c r="C104" s="2">
        <v>2</v>
      </c>
      <c r="D104" s="50">
        <v>6303</v>
      </c>
      <c r="E104" s="51">
        <f t="shared" si="2"/>
        <v>500</v>
      </c>
    </row>
    <row r="105" spans="2:5" x14ac:dyDescent="0.55000000000000004">
      <c r="B105" s="49">
        <v>39037</v>
      </c>
      <c r="C105" s="2">
        <v>1</v>
      </c>
      <c r="D105" s="50">
        <v>737</v>
      </c>
      <c r="E105" s="51">
        <f t="shared" si="2"/>
        <v>500</v>
      </c>
    </row>
    <row r="106" spans="2:5" x14ac:dyDescent="0.55000000000000004">
      <c r="B106" s="49">
        <v>39011</v>
      </c>
      <c r="C106" s="2">
        <v>2</v>
      </c>
      <c r="D106" s="50">
        <v>9002</v>
      </c>
      <c r="E106" s="51">
        <f t="shared" si="2"/>
        <v>350</v>
      </c>
    </row>
    <row r="107" spans="2:5" x14ac:dyDescent="0.55000000000000004">
      <c r="B107" s="49">
        <v>39030</v>
      </c>
      <c r="C107" s="2">
        <v>2</v>
      </c>
      <c r="D107" s="50">
        <v>2225</v>
      </c>
      <c r="E107" s="51">
        <f t="shared" si="2"/>
        <v>575</v>
      </c>
    </row>
    <row r="108" spans="2:5" x14ac:dyDescent="0.55000000000000004">
      <c r="B108" s="49">
        <v>39052</v>
      </c>
      <c r="C108" s="2">
        <v>2</v>
      </c>
      <c r="D108" s="50">
        <v>6414</v>
      </c>
      <c r="E108" s="51">
        <f t="shared" si="2"/>
        <v>500</v>
      </c>
    </row>
    <row r="109" spans="2:5" x14ac:dyDescent="0.55000000000000004">
      <c r="B109" s="49">
        <v>39042</v>
      </c>
      <c r="C109" s="2">
        <v>2</v>
      </c>
      <c r="D109" s="50">
        <v>8442</v>
      </c>
      <c r="E109" s="51">
        <f t="shared" ref="E109:E128" si="3">VLOOKUP(D109,CHOOSE(C109,Table1,Table2,Table3),2)</f>
        <v>350</v>
      </c>
    </row>
    <row r="110" spans="2:5" x14ac:dyDescent="0.55000000000000004">
      <c r="B110" s="49">
        <v>39070</v>
      </c>
      <c r="C110" s="2">
        <v>2</v>
      </c>
      <c r="D110" s="50">
        <v>3280</v>
      </c>
      <c r="E110" s="51">
        <f t="shared" si="3"/>
        <v>575</v>
      </c>
    </row>
    <row r="111" spans="2:5" x14ac:dyDescent="0.55000000000000004">
      <c r="B111" s="49">
        <v>39058</v>
      </c>
      <c r="C111" s="2">
        <v>1</v>
      </c>
      <c r="D111" s="50">
        <v>2690</v>
      </c>
      <c r="E111" s="51">
        <f t="shared" si="3"/>
        <v>475</v>
      </c>
    </row>
    <row r="112" spans="2:5" x14ac:dyDescent="0.55000000000000004">
      <c r="B112" s="49">
        <v>39061</v>
      </c>
      <c r="C112" s="2">
        <v>3</v>
      </c>
      <c r="D112" s="50">
        <v>4123</v>
      </c>
      <c r="E112" s="51">
        <f t="shared" si="3"/>
        <v>625</v>
      </c>
    </row>
    <row r="113" spans="2:5" x14ac:dyDescent="0.55000000000000004">
      <c r="B113" s="49">
        <v>39081</v>
      </c>
      <c r="C113" s="2">
        <v>3</v>
      </c>
      <c r="D113" s="50">
        <v>2511</v>
      </c>
      <c r="E113" s="51">
        <f t="shared" si="3"/>
        <v>625</v>
      </c>
    </row>
    <row r="114" spans="2:5" x14ac:dyDescent="0.55000000000000004">
      <c r="B114" s="49">
        <v>39082</v>
      </c>
      <c r="C114" s="2">
        <v>3</v>
      </c>
      <c r="D114" s="50">
        <v>1809</v>
      </c>
      <c r="E114" s="51">
        <f t="shared" si="3"/>
        <v>625</v>
      </c>
    </row>
    <row r="115" spans="2:5" x14ac:dyDescent="0.55000000000000004">
      <c r="B115" s="49">
        <v>39100</v>
      </c>
      <c r="C115" s="2">
        <v>1</v>
      </c>
      <c r="D115" s="50">
        <v>2495</v>
      </c>
      <c r="E115" s="51">
        <f t="shared" si="3"/>
        <v>475</v>
      </c>
    </row>
    <row r="116" spans="2:5" x14ac:dyDescent="0.55000000000000004">
      <c r="B116" s="49">
        <v>39032</v>
      </c>
      <c r="C116" s="2">
        <v>3</v>
      </c>
      <c r="D116" s="50">
        <v>2356</v>
      </c>
      <c r="E116" s="51">
        <f t="shared" si="3"/>
        <v>625</v>
      </c>
    </row>
    <row r="117" spans="2:5" x14ac:dyDescent="0.55000000000000004">
      <c r="B117" s="49">
        <v>39014</v>
      </c>
      <c r="C117" s="2">
        <v>3</v>
      </c>
      <c r="D117" s="50">
        <v>6444</v>
      </c>
      <c r="E117" s="51">
        <f t="shared" si="3"/>
        <v>550</v>
      </c>
    </row>
    <row r="118" spans="2:5" x14ac:dyDescent="0.55000000000000004">
      <c r="B118" s="49">
        <v>39028</v>
      </c>
      <c r="C118" s="2">
        <v>3</v>
      </c>
      <c r="D118" s="50">
        <v>7626</v>
      </c>
      <c r="E118" s="51">
        <f t="shared" si="3"/>
        <v>400</v>
      </c>
    </row>
    <row r="119" spans="2:5" x14ac:dyDescent="0.55000000000000004">
      <c r="B119" s="49">
        <v>39022</v>
      </c>
      <c r="C119" s="2">
        <v>1</v>
      </c>
      <c r="D119" s="50">
        <v>4311</v>
      </c>
      <c r="E119" s="51">
        <f t="shared" si="3"/>
        <v>475</v>
      </c>
    </row>
    <row r="120" spans="2:5" x14ac:dyDescent="0.55000000000000004">
      <c r="B120" s="49">
        <v>39098</v>
      </c>
      <c r="C120" s="2">
        <v>3</v>
      </c>
      <c r="D120" s="50">
        <v>8869</v>
      </c>
      <c r="E120" s="51">
        <f t="shared" si="3"/>
        <v>400</v>
      </c>
    </row>
    <row r="121" spans="2:5" x14ac:dyDescent="0.55000000000000004">
      <c r="B121" s="49">
        <v>39057</v>
      </c>
      <c r="C121" s="2">
        <v>3</v>
      </c>
      <c r="D121" s="50">
        <v>4016</v>
      </c>
      <c r="E121" s="51">
        <f t="shared" si="3"/>
        <v>625</v>
      </c>
    </row>
    <row r="122" spans="2:5" x14ac:dyDescent="0.55000000000000004">
      <c r="B122" s="49">
        <v>39091</v>
      </c>
      <c r="C122" s="2">
        <v>1</v>
      </c>
      <c r="D122" s="50">
        <v>1576</v>
      </c>
      <c r="E122" s="51">
        <f t="shared" si="3"/>
        <v>475</v>
      </c>
    </row>
    <row r="123" spans="2:5" x14ac:dyDescent="0.55000000000000004">
      <c r="B123" s="49">
        <v>39095</v>
      </c>
      <c r="C123" s="2">
        <v>2</v>
      </c>
      <c r="D123" s="50">
        <v>972</v>
      </c>
      <c r="E123" s="51">
        <f t="shared" si="3"/>
        <v>600</v>
      </c>
    </row>
    <row r="124" spans="2:5" x14ac:dyDescent="0.55000000000000004">
      <c r="B124" s="49">
        <v>39005</v>
      </c>
      <c r="C124" s="2">
        <v>3</v>
      </c>
      <c r="D124" s="50">
        <v>7785</v>
      </c>
      <c r="E124" s="51">
        <f t="shared" si="3"/>
        <v>400</v>
      </c>
    </row>
    <row r="125" spans="2:5" x14ac:dyDescent="0.55000000000000004">
      <c r="B125" s="49">
        <v>39083</v>
      </c>
      <c r="C125" s="2">
        <v>2</v>
      </c>
      <c r="D125" s="50">
        <v>3176</v>
      </c>
      <c r="E125" s="51">
        <f t="shared" si="3"/>
        <v>575</v>
      </c>
    </row>
    <row r="126" spans="2:5" x14ac:dyDescent="0.55000000000000004">
      <c r="B126" s="49">
        <v>39058</v>
      </c>
      <c r="C126" s="2">
        <v>1</v>
      </c>
      <c r="D126" s="50">
        <v>8319</v>
      </c>
      <c r="E126" s="51">
        <f t="shared" si="3"/>
        <v>250</v>
      </c>
    </row>
    <row r="127" spans="2:5" x14ac:dyDescent="0.55000000000000004">
      <c r="B127" s="49">
        <v>39020</v>
      </c>
      <c r="C127" s="2">
        <v>2</v>
      </c>
      <c r="D127" s="50">
        <v>5107</v>
      </c>
      <c r="E127" s="51">
        <f t="shared" si="3"/>
        <v>500</v>
      </c>
    </row>
    <row r="128" spans="2:5" x14ac:dyDescent="0.55000000000000004">
      <c r="B128" s="49">
        <v>39100</v>
      </c>
      <c r="C128" s="2">
        <v>1</v>
      </c>
      <c r="D128" s="50">
        <v>8353</v>
      </c>
      <c r="E128" s="51">
        <f t="shared" si="3"/>
        <v>250</v>
      </c>
    </row>
  </sheetData>
  <dataValidations count="2">
    <dataValidation type="list" allowBlank="1" showInputMessage="1" showErrorMessage="1" errorTitle="1 or 2 only" sqref="G21 JC21 SY21 ACU21 AMQ21 AWM21 BGI21 BQE21 CAA21 CJW21 CTS21 DDO21 DNK21 DXG21 EHC21 EQY21 FAU21 FKQ21 FUM21 GEI21 GOE21 GYA21 HHW21 HRS21 IBO21 ILK21 IVG21 JFC21 JOY21 JYU21 KIQ21 KSM21 LCI21 LME21 LWA21 MFW21 MPS21 MZO21 NJK21 NTG21 ODC21 OMY21 OWU21 PGQ21 PQM21 QAI21 QKE21 QUA21 RDW21 RNS21 RXO21 SHK21 SRG21 TBC21 TKY21 TUU21 UEQ21 UOM21 UYI21 VIE21 VSA21 WBW21 WLS21 WVO21 G65557 JC65557 SY65557 ACU65557 AMQ65557 AWM65557 BGI65557 BQE65557 CAA65557 CJW65557 CTS65557 DDO65557 DNK65557 DXG65557 EHC65557 EQY65557 FAU65557 FKQ65557 FUM65557 GEI65557 GOE65557 GYA65557 HHW65557 HRS65557 IBO65557 ILK65557 IVG65557 JFC65557 JOY65557 JYU65557 KIQ65557 KSM65557 LCI65557 LME65557 LWA65557 MFW65557 MPS65557 MZO65557 NJK65557 NTG65557 ODC65557 OMY65557 OWU65557 PGQ65557 PQM65557 QAI65557 QKE65557 QUA65557 RDW65557 RNS65557 RXO65557 SHK65557 SRG65557 TBC65557 TKY65557 TUU65557 UEQ65557 UOM65557 UYI65557 VIE65557 VSA65557 WBW65557 WLS65557 WVO65557 G131093 JC131093 SY131093 ACU131093 AMQ131093 AWM131093 BGI131093 BQE131093 CAA131093 CJW131093 CTS131093 DDO131093 DNK131093 DXG131093 EHC131093 EQY131093 FAU131093 FKQ131093 FUM131093 GEI131093 GOE131093 GYA131093 HHW131093 HRS131093 IBO131093 ILK131093 IVG131093 JFC131093 JOY131093 JYU131093 KIQ131093 KSM131093 LCI131093 LME131093 LWA131093 MFW131093 MPS131093 MZO131093 NJK131093 NTG131093 ODC131093 OMY131093 OWU131093 PGQ131093 PQM131093 QAI131093 QKE131093 QUA131093 RDW131093 RNS131093 RXO131093 SHK131093 SRG131093 TBC131093 TKY131093 TUU131093 UEQ131093 UOM131093 UYI131093 VIE131093 VSA131093 WBW131093 WLS131093 WVO131093 G196629 JC196629 SY196629 ACU196629 AMQ196629 AWM196629 BGI196629 BQE196629 CAA196629 CJW196629 CTS196629 DDO196629 DNK196629 DXG196629 EHC196629 EQY196629 FAU196629 FKQ196629 FUM196629 GEI196629 GOE196629 GYA196629 HHW196629 HRS196629 IBO196629 ILK196629 IVG196629 JFC196629 JOY196629 JYU196629 KIQ196629 KSM196629 LCI196629 LME196629 LWA196629 MFW196629 MPS196629 MZO196629 NJK196629 NTG196629 ODC196629 OMY196629 OWU196629 PGQ196629 PQM196629 QAI196629 QKE196629 QUA196629 RDW196629 RNS196629 RXO196629 SHK196629 SRG196629 TBC196629 TKY196629 TUU196629 UEQ196629 UOM196629 UYI196629 VIE196629 VSA196629 WBW196629 WLS196629 WVO196629 G262165 JC262165 SY262165 ACU262165 AMQ262165 AWM262165 BGI262165 BQE262165 CAA262165 CJW262165 CTS262165 DDO262165 DNK262165 DXG262165 EHC262165 EQY262165 FAU262165 FKQ262165 FUM262165 GEI262165 GOE262165 GYA262165 HHW262165 HRS262165 IBO262165 ILK262165 IVG262165 JFC262165 JOY262165 JYU262165 KIQ262165 KSM262165 LCI262165 LME262165 LWA262165 MFW262165 MPS262165 MZO262165 NJK262165 NTG262165 ODC262165 OMY262165 OWU262165 PGQ262165 PQM262165 QAI262165 QKE262165 QUA262165 RDW262165 RNS262165 RXO262165 SHK262165 SRG262165 TBC262165 TKY262165 TUU262165 UEQ262165 UOM262165 UYI262165 VIE262165 VSA262165 WBW262165 WLS262165 WVO262165 G327701 JC327701 SY327701 ACU327701 AMQ327701 AWM327701 BGI327701 BQE327701 CAA327701 CJW327701 CTS327701 DDO327701 DNK327701 DXG327701 EHC327701 EQY327701 FAU327701 FKQ327701 FUM327701 GEI327701 GOE327701 GYA327701 HHW327701 HRS327701 IBO327701 ILK327701 IVG327701 JFC327701 JOY327701 JYU327701 KIQ327701 KSM327701 LCI327701 LME327701 LWA327701 MFW327701 MPS327701 MZO327701 NJK327701 NTG327701 ODC327701 OMY327701 OWU327701 PGQ327701 PQM327701 QAI327701 QKE327701 QUA327701 RDW327701 RNS327701 RXO327701 SHK327701 SRG327701 TBC327701 TKY327701 TUU327701 UEQ327701 UOM327701 UYI327701 VIE327701 VSA327701 WBW327701 WLS327701 WVO327701 G393237 JC393237 SY393237 ACU393237 AMQ393237 AWM393237 BGI393237 BQE393237 CAA393237 CJW393237 CTS393237 DDO393237 DNK393237 DXG393237 EHC393237 EQY393237 FAU393237 FKQ393237 FUM393237 GEI393237 GOE393237 GYA393237 HHW393237 HRS393237 IBO393237 ILK393237 IVG393237 JFC393237 JOY393237 JYU393237 KIQ393237 KSM393237 LCI393237 LME393237 LWA393237 MFW393237 MPS393237 MZO393237 NJK393237 NTG393237 ODC393237 OMY393237 OWU393237 PGQ393237 PQM393237 QAI393237 QKE393237 QUA393237 RDW393237 RNS393237 RXO393237 SHK393237 SRG393237 TBC393237 TKY393237 TUU393237 UEQ393237 UOM393237 UYI393237 VIE393237 VSA393237 WBW393237 WLS393237 WVO393237 G458773 JC458773 SY458773 ACU458773 AMQ458773 AWM458773 BGI458773 BQE458773 CAA458773 CJW458773 CTS458773 DDO458773 DNK458773 DXG458773 EHC458773 EQY458773 FAU458773 FKQ458773 FUM458773 GEI458773 GOE458773 GYA458773 HHW458773 HRS458773 IBO458773 ILK458773 IVG458773 JFC458773 JOY458773 JYU458773 KIQ458773 KSM458773 LCI458773 LME458773 LWA458773 MFW458773 MPS458773 MZO458773 NJK458773 NTG458773 ODC458773 OMY458773 OWU458773 PGQ458773 PQM458773 QAI458773 QKE458773 QUA458773 RDW458773 RNS458773 RXO458773 SHK458773 SRG458773 TBC458773 TKY458773 TUU458773 UEQ458773 UOM458773 UYI458773 VIE458773 VSA458773 WBW458773 WLS458773 WVO458773 G524309 JC524309 SY524309 ACU524309 AMQ524309 AWM524309 BGI524309 BQE524309 CAA524309 CJW524309 CTS524309 DDO524309 DNK524309 DXG524309 EHC524309 EQY524309 FAU524309 FKQ524309 FUM524309 GEI524309 GOE524309 GYA524309 HHW524309 HRS524309 IBO524309 ILK524309 IVG524309 JFC524309 JOY524309 JYU524309 KIQ524309 KSM524309 LCI524309 LME524309 LWA524309 MFW524309 MPS524309 MZO524309 NJK524309 NTG524309 ODC524309 OMY524309 OWU524309 PGQ524309 PQM524309 QAI524309 QKE524309 QUA524309 RDW524309 RNS524309 RXO524309 SHK524309 SRG524309 TBC524309 TKY524309 TUU524309 UEQ524309 UOM524309 UYI524309 VIE524309 VSA524309 WBW524309 WLS524309 WVO524309 G589845 JC589845 SY589845 ACU589845 AMQ589845 AWM589845 BGI589845 BQE589845 CAA589845 CJW589845 CTS589845 DDO589845 DNK589845 DXG589845 EHC589845 EQY589845 FAU589845 FKQ589845 FUM589845 GEI589845 GOE589845 GYA589845 HHW589845 HRS589845 IBO589845 ILK589845 IVG589845 JFC589845 JOY589845 JYU589845 KIQ589845 KSM589845 LCI589845 LME589845 LWA589845 MFW589845 MPS589845 MZO589845 NJK589845 NTG589845 ODC589845 OMY589845 OWU589845 PGQ589845 PQM589845 QAI589845 QKE589845 QUA589845 RDW589845 RNS589845 RXO589845 SHK589845 SRG589845 TBC589845 TKY589845 TUU589845 UEQ589845 UOM589845 UYI589845 VIE589845 VSA589845 WBW589845 WLS589845 WVO589845 G655381 JC655381 SY655381 ACU655381 AMQ655381 AWM655381 BGI655381 BQE655381 CAA655381 CJW655381 CTS655381 DDO655381 DNK655381 DXG655381 EHC655381 EQY655381 FAU655381 FKQ655381 FUM655381 GEI655381 GOE655381 GYA655381 HHW655381 HRS655381 IBO655381 ILK655381 IVG655381 JFC655381 JOY655381 JYU655381 KIQ655381 KSM655381 LCI655381 LME655381 LWA655381 MFW655381 MPS655381 MZO655381 NJK655381 NTG655381 ODC655381 OMY655381 OWU655381 PGQ655381 PQM655381 QAI655381 QKE655381 QUA655381 RDW655381 RNS655381 RXO655381 SHK655381 SRG655381 TBC655381 TKY655381 TUU655381 UEQ655381 UOM655381 UYI655381 VIE655381 VSA655381 WBW655381 WLS655381 WVO655381 G720917 JC720917 SY720917 ACU720917 AMQ720917 AWM720917 BGI720917 BQE720917 CAA720917 CJW720917 CTS720917 DDO720917 DNK720917 DXG720917 EHC720917 EQY720917 FAU720917 FKQ720917 FUM720917 GEI720917 GOE720917 GYA720917 HHW720917 HRS720917 IBO720917 ILK720917 IVG720917 JFC720917 JOY720917 JYU720917 KIQ720917 KSM720917 LCI720917 LME720917 LWA720917 MFW720917 MPS720917 MZO720917 NJK720917 NTG720917 ODC720917 OMY720917 OWU720917 PGQ720917 PQM720917 QAI720917 QKE720917 QUA720917 RDW720917 RNS720917 RXO720917 SHK720917 SRG720917 TBC720917 TKY720917 TUU720917 UEQ720917 UOM720917 UYI720917 VIE720917 VSA720917 WBW720917 WLS720917 WVO720917 G786453 JC786453 SY786453 ACU786453 AMQ786453 AWM786453 BGI786453 BQE786453 CAA786453 CJW786453 CTS786453 DDO786453 DNK786453 DXG786453 EHC786453 EQY786453 FAU786453 FKQ786453 FUM786453 GEI786453 GOE786453 GYA786453 HHW786453 HRS786453 IBO786453 ILK786453 IVG786453 JFC786453 JOY786453 JYU786453 KIQ786453 KSM786453 LCI786453 LME786453 LWA786453 MFW786453 MPS786453 MZO786453 NJK786453 NTG786453 ODC786453 OMY786453 OWU786453 PGQ786453 PQM786453 QAI786453 QKE786453 QUA786453 RDW786453 RNS786453 RXO786453 SHK786453 SRG786453 TBC786453 TKY786453 TUU786453 UEQ786453 UOM786453 UYI786453 VIE786453 VSA786453 WBW786453 WLS786453 WVO786453 G851989 JC851989 SY851989 ACU851989 AMQ851989 AWM851989 BGI851989 BQE851989 CAA851989 CJW851989 CTS851989 DDO851989 DNK851989 DXG851989 EHC851989 EQY851989 FAU851989 FKQ851989 FUM851989 GEI851989 GOE851989 GYA851989 HHW851989 HRS851989 IBO851989 ILK851989 IVG851989 JFC851989 JOY851989 JYU851989 KIQ851989 KSM851989 LCI851989 LME851989 LWA851989 MFW851989 MPS851989 MZO851989 NJK851989 NTG851989 ODC851989 OMY851989 OWU851989 PGQ851989 PQM851989 QAI851989 QKE851989 QUA851989 RDW851989 RNS851989 RXO851989 SHK851989 SRG851989 TBC851989 TKY851989 TUU851989 UEQ851989 UOM851989 UYI851989 VIE851989 VSA851989 WBW851989 WLS851989 WVO851989 G917525 JC917525 SY917525 ACU917525 AMQ917525 AWM917525 BGI917525 BQE917525 CAA917525 CJW917525 CTS917525 DDO917525 DNK917525 DXG917525 EHC917525 EQY917525 FAU917525 FKQ917525 FUM917525 GEI917525 GOE917525 GYA917525 HHW917525 HRS917525 IBO917525 ILK917525 IVG917525 JFC917525 JOY917525 JYU917525 KIQ917525 KSM917525 LCI917525 LME917525 LWA917525 MFW917525 MPS917525 MZO917525 NJK917525 NTG917525 ODC917525 OMY917525 OWU917525 PGQ917525 PQM917525 QAI917525 QKE917525 QUA917525 RDW917525 RNS917525 RXO917525 SHK917525 SRG917525 TBC917525 TKY917525 TUU917525 UEQ917525 UOM917525 UYI917525 VIE917525 VSA917525 WBW917525 WLS917525 WVO917525 G983061 JC983061 SY983061 ACU983061 AMQ983061 AWM983061 BGI983061 BQE983061 CAA983061 CJW983061 CTS983061 DDO983061 DNK983061 DXG983061 EHC983061 EQY983061 FAU983061 FKQ983061 FUM983061 GEI983061 GOE983061 GYA983061 HHW983061 HRS983061 IBO983061 ILK983061 IVG983061 JFC983061 JOY983061 JYU983061 KIQ983061 KSM983061 LCI983061 LME983061 LWA983061 MFW983061 MPS983061 MZO983061 NJK983061 NTG983061 ODC983061 OMY983061 OWU983061 PGQ983061 PQM983061 QAI983061 QKE983061 QUA983061 RDW983061 RNS983061 RXO983061 SHK983061 SRG983061 TBC983061 TKY983061 TUU983061 UEQ983061 UOM983061 UYI983061 VIE983061 VSA983061 WBW983061 WLS983061 WVO983061" xr:uid="{00000000-0002-0000-0800-000000000000}">
      <formula1>$K$21:$K$22</formula1>
    </dataValidation>
    <dataValidation type="decimal" allowBlank="1" showInputMessage="1" showErrorMessage="1" errorTitle="Only numbers between 1 and 5.9" error="Only numbers between 1 and 5.9" sqref="G13:G17 JC13:JC17 SY13:SY17 ACU13:ACU17 AMQ13:AMQ17 AWM13:AWM17 BGI13:BGI17 BQE13:BQE17 CAA13:CAA17 CJW13:CJW17 CTS13:CTS17 DDO13:DDO17 DNK13:DNK17 DXG13:DXG17 EHC13:EHC17 EQY13:EQY17 FAU13:FAU17 FKQ13:FKQ17 FUM13:FUM17 GEI13:GEI17 GOE13:GOE17 GYA13:GYA17 HHW13:HHW17 HRS13:HRS17 IBO13:IBO17 ILK13:ILK17 IVG13:IVG17 JFC13:JFC17 JOY13:JOY17 JYU13:JYU17 KIQ13:KIQ17 KSM13:KSM17 LCI13:LCI17 LME13:LME17 LWA13:LWA17 MFW13:MFW17 MPS13:MPS17 MZO13:MZO17 NJK13:NJK17 NTG13:NTG17 ODC13:ODC17 OMY13:OMY17 OWU13:OWU17 PGQ13:PGQ17 PQM13:PQM17 QAI13:QAI17 QKE13:QKE17 QUA13:QUA17 RDW13:RDW17 RNS13:RNS17 RXO13:RXO17 SHK13:SHK17 SRG13:SRG17 TBC13:TBC17 TKY13:TKY17 TUU13:TUU17 UEQ13:UEQ17 UOM13:UOM17 UYI13:UYI17 VIE13:VIE17 VSA13:VSA17 WBW13:WBW17 WLS13:WLS17 WVO13:WVO17 G65549:G65553 JC65549:JC65553 SY65549:SY65553 ACU65549:ACU65553 AMQ65549:AMQ65553 AWM65549:AWM65553 BGI65549:BGI65553 BQE65549:BQE65553 CAA65549:CAA65553 CJW65549:CJW65553 CTS65549:CTS65553 DDO65549:DDO65553 DNK65549:DNK65553 DXG65549:DXG65553 EHC65549:EHC65553 EQY65549:EQY65553 FAU65549:FAU65553 FKQ65549:FKQ65553 FUM65549:FUM65553 GEI65549:GEI65553 GOE65549:GOE65553 GYA65549:GYA65553 HHW65549:HHW65553 HRS65549:HRS65553 IBO65549:IBO65553 ILK65549:ILK65553 IVG65549:IVG65553 JFC65549:JFC65553 JOY65549:JOY65553 JYU65549:JYU65553 KIQ65549:KIQ65553 KSM65549:KSM65553 LCI65549:LCI65553 LME65549:LME65553 LWA65549:LWA65553 MFW65549:MFW65553 MPS65549:MPS65553 MZO65549:MZO65553 NJK65549:NJK65553 NTG65549:NTG65553 ODC65549:ODC65553 OMY65549:OMY65553 OWU65549:OWU65553 PGQ65549:PGQ65553 PQM65549:PQM65553 QAI65549:QAI65553 QKE65549:QKE65553 QUA65549:QUA65553 RDW65549:RDW65553 RNS65549:RNS65553 RXO65549:RXO65553 SHK65549:SHK65553 SRG65549:SRG65553 TBC65549:TBC65553 TKY65549:TKY65553 TUU65549:TUU65553 UEQ65549:UEQ65553 UOM65549:UOM65553 UYI65549:UYI65553 VIE65549:VIE65553 VSA65549:VSA65553 WBW65549:WBW65553 WLS65549:WLS65553 WVO65549:WVO65553 G131085:G131089 JC131085:JC131089 SY131085:SY131089 ACU131085:ACU131089 AMQ131085:AMQ131089 AWM131085:AWM131089 BGI131085:BGI131089 BQE131085:BQE131089 CAA131085:CAA131089 CJW131085:CJW131089 CTS131085:CTS131089 DDO131085:DDO131089 DNK131085:DNK131089 DXG131085:DXG131089 EHC131085:EHC131089 EQY131085:EQY131089 FAU131085:FAU131089 FKQ131085:FKQ131089 FUM131085:FUM131089 GEI131085:GEI131089 GOE131085:GOE131089 GYA131085:GYA131089 HHW131085:HHW131089 HRS131085:HRS131089 IBO131085:IBO131089 ILK131085:ILK131089 IVG131085:IVG131089 JFC131085:JFC131089 JOY131085:JOY131089 JYU131085:JYU131089 KIQ131085:KIQ131089 KSM131085:KSM131089 LCI131085:LCI131089 LME131085:LME131089 LWA131085:LWA131089 MFW131085:MFW131089 MPS131085:MPS131089 MZO131085:MZO131089 NJK131085:NJK131089 NTG131085:NTG131089 ODC131085:ODC131089 OMY131085:OMY131089 OWU131085:OWU131089 PGQ131085:PGQ131089 PQM131085:PQM131089 QAI131085:QAI131089 QKE131085:QKE131089 QUA131085:QUA131089 RDW131085:RDW131089 RNS131085:RNS131089 RXO131085:RXO131089 SHK131085:SHK131089 SRG131085:SRG131089 TBC131085:TBC131089 TKY131085:TKY131089 TUU131085:TUU131089 UEQ131085:UEQ131089 UOM131085:UOM131089 UYI131085:UYI131089 VIE131085:VIE131089 VSA131085:VSA131089 WBW131085:WBW131089 WLS131085:WLS131089 WVO131085:WVO131089 G196621:G196625 JC196621:JC196625 SY196621:SY196625 ACU196621:ACU196625 AMQ196621:AMQ196625 AWM196621:AWM196625 BGI196621:BGI196625 BQE196621:BQE196625 CAA196621:CAA196625 CJW196621:CJW196625 CTS196621:CTS196625 DDO196621:DDO196625 DNK196621:DNK196625 DXG196621:DXG196625 EHC196621:EHC196625 EQY196621:EQY196625 FAU196621:FAU196625 FKQ196621:FKQ196625 FUM196621:FUM196625 GEI196621:GEI196625 GOE196621:GOE196625 GYA196621:GYA196625 HHW196621:HHW196625 HRS196621:HRS196625 IBO196621:IBO196625 ILK196621:ILK196625 IVG196621:IVG196625 JFC196621:JFC196625 JOY196621:JOY196625 JYU196621:JYU196625 KIQ196621:KIQ196625 KSM196621:KSM196625 LCI196621:LCI196625 LME196621:LME196625 LWA196621:LWA196625 MFW196621:MFW196625 MPS196621:MPS196625 MZO196621:MZO196625 NJK196621:NJK196625 NTG196621:NTG196625 ODC196621:ODC196625 OMY196621:OMY196625 OWU196621:OWU196625 PGQ196621:PGQ196625 PQM196621:PQM196625 QAI196621:QAI196625 QKE196621:QKE196625 QUA196621:QUA196625 RDW196621:RDW196625 RNS196621:RNS196625 RXO196621:RXO196625 SHK196621:SHK196625 SRG196621:SRG196625 TBC196621:TBC196625 TKY196621:TKY196625 TUU196621:TUU196625 UEQ196621:UEQ196625 UOM196621:UOM196625 UYI196621:UYI196625 VIE196621:VIE196625 VSA196621:VSA196625 WBW196621:WBW196625 WLS196621:WLS196625 WVO196621:WVO196625 G262157:G262161 JC262157:JC262161 SY262157:SY262161 ACU262157:ACU262161 AMQ262157:AMQ262161 AWM262157:AWM262161 BGI262157:BGI262161 BQE262157:BQE262161 CAA262157:CAA262161 CJW262157:CJW262161 CTS262157:CTS262161 DDO262157:DDO262161 DNK262157:DNK262161 DXG262157:DXG262161 EHC262157:EHC262161 EQY262157:EQY262161 FAU262157:FAU262161 FKQ262157:FKQ262161 FUM262157:FUM262161 GEI262157:GEI262161 GOE262157:GOE262161 GYA262157:GYA262161 HHW262157:HHW262161 HRS262157:HRS262161 IBO262157:IBO262161 ILK262157:ILK262161 IVG262157:IVG262161 JFC262157:JFC262161 JOY262157:JOY262161 JYU262157:JYU262161 KIQ262157:KIQ262161 KSM262157:KSM262161 LCI262157:LCI262161 LME262157:LME262161 LWA262157:LWA262161 MFW262157:MFW262161 MPS262157:MPS262161 MZO262157:MZO262161 NJK262157:NJK262161 NTG262157:NTG262161 ODC262157:ODC262161 OMY262157:OMY262161 OWU262157:OWU262161 PGQ262157:PGQ262161 PQM262157:PQM262161 QAI262157:QAI262161 QKE262157:QKE262161 QUA262157:QUA262161 RDW262157:RDW262161 RNS262157:RNS262161 RXO262157:RXO262161 SHK262157:SHK262161 SRG262157:SRG262161 TBC262157:TBC262161 TKY262157:TKY262161 TUU262157:TUU262161 UEQ262157:UEQ262161 UOM262157:UOM262161 UYI262157:UYI262161 VIE262157:VIE262161 VSA262157:VSA262161 WBW262157:WBW262161 WLS262157:WLS262161 WVO262157:WVO262161 G327693:G327697 JC327693:JC327697 SY327693:SY327697 ACU327693:ACU327697 AMQ327693:AMQ327697 AWM327693:AWM327697 BGI327693:BGI327697 BQE327693:BQE327697 CAA327693:CAA327697 CJW327693:CJW327697 CTS327693:CTS327697 DDO327693:DDO327697 DNK327693:DNK327697 DXG327693:DXG327697 EHC327693:EHC327697 EQY327693:EQY327697 FAU327693:FAU327697 FKQ327693:FKQ327697 FUM327693:FUM327697 GEI327693:GEI327697 GOE327693:GOE327697 GYA327693:GYA327697 HHW327693:HHW327697 HRS327693:HRS327697 IBO327693:IBO327697 ILK327693:ILK327697 IVG327693:IVG327697 JFC327693:JFC327697 JOY327693:JOY327697 JYU327693:JYU327697 KIQ327693:KIQ327697 KSM327693:KSM327697 LCI327693:LCI327697 LME327693:LME327697 LWA327693:LWA327697 MFW327693:MFW327697 MPS327693:MPS327697 MZO327693:MZO327697 NJK327693:NJK327697 NTG327693:NTG327697 ODC327693:ODC327697 OMY327693:OMY327697 OWU327693:OWU327697 PGQ327693:PGQ327697 PQM327693:PQM327697 QAI327693:QAI327697 QKE327693:QKE327697 QUA327693:QUA327697 RDW327693:RDW327697 RNS327693:RNS327697 RXO327693:RXO327697 SHK327693:SHK327697 SRG327693:SRG327697 TBC327693:TBC327697 TKY327693:TKY327697 TUU327693:TUU327697 UEQ327693:UEQ327697 UOM327693:UOM327697 UYI327693:UYI327697 VIE327693:VIE327697 VSA327693:VSA327697 WBW327693:WBW327697 WLS327693:WLS327697 WVO327693:WVO327697 G393229:G393233 JC393229:JC393233 SY393229:SY393233 ACU393229:ACU393233 AMQ393229:AMQ393233 AWM393229:AWM393233 BGI393229:BGI393233 BQE393229:BQE393233 CAA393229:CAA393233 CJW393229:CJW393233 CTS393229:CTS393233 DDO393229:DDO393233 DNK393229:DNK393233 DXG393229:DXG393233 EHC393229:EHC393233 EQY393229:EQY393233 FAU393229:FAU393233 FKQ393229:FKQ393233 FUM393229:FUM393233 GEI393229:GEI393233 GOE393229:GOE393233 GYA393229:GYA393233 HHW393229:HHW393233 HRS393229:HRS393233 IBO393229:IBO393233 ILK393229:ILK393233 IVG393229:IVG393233 JFC393229:JFC393233 JOY393229:JOY393233 JYU393229:JYU393233 KIQ393229:KIQ393233 KSM393229:KSM393233 LCI393229:LCI393233 LME393229:LME393233 LWA393229:LWA393233 MFW393229:MFW393233 MPS393229:MPS393233 MZO393229:MZO393233 NJK393229:NJK393233 NTG393229:NTG393233 ODC393229:ODC393233 OMY393229:OMY393233 OWU393229:OWU393233 PGQ393229:PGQ393233 PQM393229:PQM393233 QAI393229:QAI393233 QKE393229:QKE393233 QUA393229:QUA393233 RDW393229:RDW393233 RNS393229:RNS393233 RXO393229:RXO393233 SHK393229:SHK393233 SRG393229:SRG393233 TBC393229:TBC393233 TKY393229:TKY393233 TUU393229:TUU393233 UEQ393229:UEQ393233 UOM393229:UOM393233 UYI393229:UYI393233 VIE393229:VIE393233 VSA393229:VSA393233 WBW393229:WBW393233 WLS393229:WLS393233 WVO393229:WVO393233 G458765:G458769 JC458765:JC458769 SY458765:SY458769 ACU458765:ACU458769 AMQ458765:AMQ458769 AWM458765:AWM458769 BGI458765:BGI458769 BQE458765:BQE458769 CAA458765:CAA458769 CJW458765:CJW458769 CTS458765:CTS458769 DDO458765:DDO458769 DNK458765:DNK458769 DXG458765:DXG458769 EHC458765:EHC458769 EQY458765:EQY458769 FAU458765:FAU458769 FKQ458765:FKQ458769 FUM458765:FUM458769 GEI458765:GEI458769 GOE458765:GOE458769 GYA458765:GYA458769 HHW458765:HHW458769 HRS458765:HRS458769 IBO458765:IBO458769 ILK458765:ILK458769 IVG458765:IVG458769 JFC458765:JFC458769 JOY458765:JOY458769 JYU458765:JYU458769 KIQ458765:KIQ458769 KSM458765:KSM458769 LCI458765:LCI458769 LME458765:LME458769 LWA458765:LWA458769 MFW458765:MFW458769 MPS458765:MPS458769 MZO458765:MZO458769 NJK458765:NJK458769 NTG458765:NTG458769 ODC458765:ODC458769 OMY458765:OMY458769 OWU458765:OWU458769 PGQ458765:PGQ458769 PQM458765:PQM458769 QAI458765:QAI458769 QKE458765:QKE458769 QUA458765:QUA458769 RDW458765:RDW458769 RNS458765:RNS458769 RXO458765:RXO458769 SHK458765:SHK458769 SRG458765:SRG458769 TBC458765:TBC458769 TKY458765:TKY458769 TUU458765:TUU458769 UEQ458765:UEQ458769 UOM458765:UOM458769 UYI458765:UYI458769 VIE458765:VIE458769 VSA458765:VSA458769 WBW458765:WBW458769 WLS458765:WLS458769 WVO458765:WVO458769 G524301:G524305 JC524301:JC524305 SY524301:SY524305 ACU524301:ACU524305 AMQ524301:AMQ524305 AWM524301:AWM524305 BGI524301:BGI524305 BQE524301:BQE524305 CAA524301:CAA524305 CJW524301:CJW524305 CTS524301:CTS524305 DDO524301:DDO524305 DNK524301:DNK524305 DXG524301:DXG524305 EHC524301:EHC524305 EQY524301:EQY524305 FAU524301:FAU524305 FKQ524301:FKQ524305 FUM524301:FUM524305 GEI524301:GEI524305 GOE524301:GOE524305 GYA524301:GYA524305 HHW524301:HHW524305 HRS524301:HRS524305 IBO524301:IBO524305 ILK524301:ILK524305 IVG524301:IVG524305 JFC524301:JFC524305 JOY524301:JOY524305 JYU524301:JYU524305 KIQ524301:KIQ524305 KSM524301:KSM524305 LCI524301:LCI524305 LME524301:LME524305 LWA524301:LWA524305 MFW524301:MFW524305 MPS524301:MPS524305 MZO524301:MZO524305 NJK524301:NJK524305 NTG524301:NTG524305 ODC524301:ODC524305 OMY524301:OMY524305 OWU524301:OWU524305 PGQ524301:PGQ524305 PQM524301:PQM524305 QAI524301:QAI524305 QKE524301:QKE524305 QUA524301:QUA524305 RDW524301:RDW524305 RNS524301:RNS524305 RXO524301:RXO524305 SHK524301:SHK524305 SRG524301:SRG524305 TBC524301:TBC524305 TKY524301:TKY524305 TUU524301:TUU524305 UEQ524301:UEQ524305 UOM524301:UOM524305 UYI524301:UYI524305 VIE524301:VIE524305 VSA524301:VSA524305 WBW524301:WBW524305 WLS524301:WLS524305 WVO524301:WVO524305 G589837:G589841 JC589837:JC589841 SY589837:SY589841 ACU589837:ACU589841 AMQ589837:AMQ589841 AWM589837:AWM589841 BGI589837:BGI589841 BQE589837:BQE589841 CAA589837:CAA589841 CJW589837:CJW589841 CTS589837:CTS589841 DDO589837:DDO589841 DNK589837:DNK589841 DXG589837:DXG589841 EHC589837:EHC589841 EQY589837:EQY589841 FAU589837:FAU589841 FKQ589837:FKQ589841 FUM589837:FUM589841 GEI589837:GEI589841 GOE589837:GOE589841 GYA589837:GYA589841 HHW589837:HHW589841 HRS589837:HRS589841 IBO589837:IBO589841 ILK589837:ILK589841 IVG589837:IVG589841 JFC589837:JFC589841 JOY589837:JOY589841 JYU589837:JYU589841 KIQ589837:KIQ589841 KSM589837:KSM589841 LCI589837:LCI589841 LME589837:LME589841 LWA589837:LWA589841 MFW589837:MFW589841 MPS589837:MPS589841 MZO589837:MZO589841 NJK589837:NJK589841 NTG589837:NTG589841 ODC589837:ODC589841 OMY589837:OMY589841 OWU589837:OWU589841 PGQ589837:PGQ589841 PQM589837:PQM589841 QAI589837:QAI589841 QKE589837:QKE589841 QUA589837:QUA589841 RDW589837:RDW589841 RNS589837:RNS589841 RXO589837:RXO589841 SHK589837:SHK589841 SRG589837:SRG589841 TBC589837:TBC589841 TKY589837:TKY589841 TUU589837:TUU589841 UEQ589837:UEQ589841 UOM589837:UOM589841 UYI589837:UYI589841 VIE589837:VIE589841 VSA589837:VSA589841 WBW589837:WBW589841 WLS589837:WLS589841 WVO589837:WVO589841 G655373:G655377 JC655373:JC655377 SY655373:SY655377 ACU655373:ACU655377 AMQ655373:AMQ655377 AWM655373:AWM655377 BGI655373:BGI655377 BQE655373:BQE655377 CAA655373:CAA655377 CJW655373:CJW655377 CTS655373:CTS655377 DDO655373:DDO655377 DNK655373:DNK655377 DXG655373:DXG655377 EHC655373:EHC655377 EQY655373:EQY655377 FAU655373:FAU655377 FKQ655373:FKQ655377 FUM655373:FUM655377 GEI655373:GEI655377 GOE655373:GOE655377 GYA655373:GYA655377 HHW655373:HHW655377 HRS655373:HRS655377 IBO655373:IBO655377 ILK655373:ILK655377 IVG655373:IVG655377 JFC655373:JFC655377 JOY655373:JOY655377 JYU655373:JYU655377 KIQ655373:KIQ655377 KSM655373:KSM655377 LCI655373:LCI655377 LME655373:LME655377 LWA655373:LWA655377 MFW655373:MFW655377 MPS655373:MPS655377 MZO655373:MZO655377 NJK655373:NJK655377 NTG655373:NTG655377 ODC655373:ODC655377 OMY655373:OMY655377 OWU655373:OWU655377 PGQ655373:PGQ655377 PQM655373:PQM655377 QAI655373:QAI655377 QKE655373:QKE655377 QUA655373:QUA655377 RDW655373:RDW655377 RNS655373:RNS655377 RXO655373:RXO655377 SHK655373:SHK655377 SRG655373:SRG655377 TBC655373:TBC655377 TKY655373:TKY655377 TUU655373:TUU655377 UEQ655373:UEQ655377 UOM655373:UOM655377 UYI655373:UYI655377 VIE655373:VIE655377 VSA655373:VSA655377 WBW655373:WBW655377 WLS655373:WLS655377 WVO655373:WVO655377 G720909:G720913 JC720909:JC720913 SY720909:SY720913 ACU720909:ACU720913 AMQ720909:AMQ720913 AWM720909:AWM720913 BGI720909:BGI720913 BQE720909:BQE720913 CAA720909:CAA720913 CJW720909:CJW720913 CTS720909:CTS720913 DDO720909:DDO720913 DNK720909:DNK720913 DXG720909:DXG720913 EHC720909:EHC720913 EQY720909:EQY720913 FAU720909:FAU720913 FKQ720909:FKQ720913 FUM720909:FUM720913 GEI720909:GEI720913 GOE720909:GOE720913 GYA720909:GYA720913 HHW720909:HHW720913 HRS720909:HRS720913 IBO720909:IBO720913 ILK720909:ILK720913 IVG720909:IVG720913 JFC720909:JFC720913 JOY720909:JOY720913 JYU720909:JYU720913 KIQ720909:KIQ720913 KSM720909:KSM720913 LCI720909:LCI720913 LME720909:LME720913 LWA720909:LWA720913 MFW720909:MFW720913 MPS720909:MPS720913 MZO720909:MZO720913 NJK720909:NJK720913 NTG720909:NTG720913 ODC720909:ODC720913 OMY720909:OMY720913 OWU720909:OWU720913 PGQ720909:PGQ720913 PQM720909:PQM720913 QAI720909:QAI720913 QKE720909:QKE720913 QUA720909:QUA720913 RDW720909:RDW720913 RNS720909:RNS720913 RXO720909:RXO720913 SHK720909:SHK720913 SRG720909:SRG720913 TBC720909:TBC720913 TKY720909:TKY720913 TUU720909:TUU720913 UEQ720909:UEQ720913 UOM720909:UOM720913 UYI720909:UYI720913 VIE720909:VIE720913 VSA720909:VSA720913 WBW720909:WBW720913 WLS720909:WLS720913 WVO720909:WVO720913 G786445:G786449 JC786445:JC786449 SY786445:SY786449 ACU786445:ACU786449 AMQ786445:AMQ786449 AWM786445:AWM786449 BGI786445:BGI786449 BQE786445:BQE786449 CAA786445:CAA786449 CJW786445:CJW786449 CTS786445:CTS786449 DDO786445:DDO786449 DNK786445:DNK786449 DXG786445:DXG786449 EHC786445:EHC786449 EQY786445:EQY786449 FAU786445:FAU786449 FKQ786445:FKQ786449 FUM786445:FUM786449 GEI786445:GEI786449 GOE786445:GOE786449 GYA786445:GYA786449 HHW786445:HHW786449 HRS786445:HRS786449 IBO786445:IBO786449 ILK786445:ILK786449 IVG786445:IVG786449 JFC786445:JFC786449 JOY786445:JOY786449 JYU786445:JYU786449 KIQ786445:KIQ786449 KSM786445:KSM786449 LCI786445:LCI786449 LME786445:LME786449 LWA786445:LWA786449 MFW786445:MFW786449 MPS786445:MPS786449 MZO786445:MZO786449 NJK786445:NJK786449 NTG786445:NTG786449 ODC786445:ODC786449 OMY786445:OMY786449 OWU786445:OWU786449 PGQ786445:PGQ786449 PQM786445:PQM786449 QAI786445:QAI786449 QKE786445:QKE786449 QUA786445:QUA786449 RDW786445:RDW786449 RNS786445:RNS786449 RXO786445:RXO786449 SHK786445:SHK786449 SRG786445:SRG786449 TBC786445:TBC786449 TKY786445:TKY786449 TUU786445:TUU786449 UEQ786445:UEQ786449 UOM786445:UOM786449 UYI786445:UYI786449 VIE786445:VIE786449 VSA786445:VSA786449 WBW786445:WBW786449 WLS786445:WLS786449 WVO786445:WVO786449 G851981:G851985 JC851981:JC851985 SY851981:SY851985 ACU851981:ACU851985 AMQ851981:AMQ851985 AWM851981:AWM851985 BGI851981:BGI851985 BQE851981:BQE851985 CAA851981:CAA851985 CJW851981:CJW851985 CTS851981:CTS851985 DDO851981:DDO851985 DNK851981:DNK851985 DXG851981:DXG851985 EHC851981:EHC851985 EQY851981:EQY851985 FAU851981:FAU851985 FKQ851981:FKQ851985 FUM851981:FUM851985 GEI851981:GEI851985 GOE851981:GOE851985 GYA851981:GYA851985 HHW851981:HHW851985 HRS851981:HRS851985 IBO851981:IBO851985 ILK851981:ILK851985 IVG851981:IVG851985 JFC851981:JFC851985 JOY851981:JOY851985 JYU851981:JYU851985 KIQ851981:KIQ851985 KSM851981:KSM851985 LCI851981:LCI851985 LME851981:LME851985 LWA851981:LWA851985 MFW851981:MFW851985 MPS851981:MPS851985 MZO851981:MZO851985 NJK851981:NJK851985 NTG851981:NTG851985 ODC851981:ODC851985 OMY851981:OMY851985 OWU851981:OWU851985 PGQ851981:PGQ851985 PQM851981:PQM851985 QAI851981:QAI851985 QKE851981:QKE851985 QUA851981:QUA851985 RDW851981:RDW851985 RNS851981:RNS851985 RXO851981:RXO851985 SHK851981:SHK851985 SRG851981:SRG851985 TBC851981:TBC851985 TKY851981:TKY851985 TUU851981:TUU851985 UEQ851981:UEQ851985 UOM851981:UOM851985 UYI851981:UYI851985 VIE851981:VIE851985 VSA851981:VSA851985 WBW851981:WBW851985 WLS851981:WLS851985 WVO851981:WVO851985 G917517:G917521 JC917517:JC917521 SY917517:SY917521 ACU917517:ACU917521 AMQ917517:AMQ917521 AWM917517:AWM917521 BGI917517:BGI917521 BQE917517:BQE917521 CAA917517:CAA917521 CJW917517:CJW917521 CTS917517:CTS917521 DDO917517:DDO917521 DNK917517:DNK917521 DXG917517:DXG917521 EHC917517:EHC917521 EQY917517:EQY917521 FAU917517:FAU917521 FKQ917517:FKQ917521 FUM917517:FUM917521 GEI917517:GEI917521 GOE917517:GOE917521 GYA917517:GYA917521 HHW917517:HHW917521 HRS917517:HRS917521 IBO917517:IBO917521 ILK917517:ILK917521 IVG917517:IVG917521 JFC917517:JFC917521 JOY917517:JOY917521 JYU917517:JYU917521 KIQ917517:KIQ917521 KSM917517:KSM917521 LCI917517:LCI917521 LME917517:LME917521 LWA917517:LWA917521 MFW917517:MFW917521 MPS917517:MPS917521 MZO917517:MZO917521 NJK917517:NJK917521 NTG917517:NTG917521 ODC917517:ODC917521 OMY917517:OMY917521 OWU917517:OWU917521 PGQ917517:PGQ917521 PQM917517:PQM917521 QAI917517:QAI917521 QKE917517:QKE917521 QUA917517:QUA917521 RDW917517:RDW917521 RNS917517:RNS917521 RXO917517:RXO917521 SHK917517:SHK917521 SRG917517:SRG917521 TBC917517:TBC917521 TKY917517:TKY917521 TUU917517:TUU917521 UEQ917517:UEQ917521 UOM917517:UOM917521 UYI917517:UYI917521 VIE917517:VIE917521 VSA917517:VSA917521 WBW917517:WBW917521 WLS917517:WLS917521 WVO917517:WVO917521 G983053:G983057 JC983053:JC983057 SY983053:SY983057 ACU983053:ACU983057 AMQ983053:AMQ983057 AWM983053:AWM983057 BGI983053:BGI983057 BQE983053:BQE983057 CAA983053:CAA983057 CJW983053:CJW983057 CTS983053:CTS983057 DDO983053:DDO983057 DNK983053:DNK983057 DXG983053:DXG983057 EHC983053:EHC983057 EQY983053:EQY983057 FAU983053:FAU983057 FKQ983053:FKQ983057 FUM983053:FUM983057 GEI983053:GEI983057 GOE983053:GOE983057 GYA983053:GYA983057 HHW983053:HHW983057 HRS983053:HRS983057 IBO983053:IBO983057 ILK983053:ILK983057 IVG983053:IVG983057 JFC983053:JFC983057 JOY983053:JOY983057 JYU983053:JYU983057 KIQ983053:KIQ983057 KSM983053:KSM983057 LCI983053:LCI983057 LME983053:LME983057 LWA983053:LWA983057 MFW983053:MFW983057 MPS983053:MPS983057 MZO983053:MZO983057 NJK983053:NJK983057 NTG983053:NTG983057 ODC983053:ODC983057 OMY983053:OMY983057 OWU983053:OWU983057 PGQ983053:PGQ983057 PQM983053:PQM983057 QAI983053:QAI983057 QKE983053:QKE983057 QUA983053:QUA983057 RDW983053:RDW983057 RNS983053:RNS983057 RXO983053:RXO983057 SHK983053:SHK983057 SRG983053:SRG983057 TBC983053:TBC983057 TKY983053:TKY983057 TUU983053:TUU983057 UEQ983053:UEQ983057 UOM983053:UOM983057 UYI983053:UYI983057 VIE983053:VIE983057 VSA983053:VSA983057 WBW983053:WBW983057 WLS983053:WLS983057 WVO983053:WVO983057" xr:uid="{00000000-0002-0000-0800-000001000000}">
      <formula1>1</formula1>
      <formula2>5.9</formula2>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
  <sheetViews>
    <sheetView workbookViewId="0">
      <selection activeCell="J18" sqref="J18"/>
    </sheetView>
  </sheetViews>
  <sheetFormatPr defaultRowHeight="14.4" x14ac:dyDescent="0.55000000000000004"/>
  <sheetData>
    <row r="1" spans="1:2" x14ac:dyDescent="0.55000000000000004">
      <c r="A1" s="54" t="str">
        <f ca="1">REPLACE(CELL("filename",A1),1,FIND("]",CELL("filename",A1)),"")</f>
        <v>Table 1</v>
      </c>
      <c r="B1" s="54"/>
    </row>
    <row r="2" spans="1:2" x14ac:dyDescent="0.55000000000000004">
      <c r="A2" s="10" t="s">
        <v>176</v>
      </c>
      <c r="B2" s="10" t="s">
        <v>147</v>
      </c>
    </row>
    <row r="3" spans="1:2" x14ac:dyDescent="0.55000000000000004">
      <c r="A3" s="55">
        <v>0</v>
      </c>
      <c r="B3" s="56">
        <v>500</v>
      </c>
    </row>
    <row r="4" spans="1:2" x14ac:dyDescent="0.55000000000000004">
      <c r="A4" s="55">
        <v>1000</v>
      </c>
      <c r="B4" s="56">
        <v>475</v>
      </c>
    </row>
    <row r="5" spans="1:2" x14ac:dyDescent="0.55000000000000004">
      <c r="A5" s="55">
        <v>5000</v>
      </c>
      <c r="B5" s="56">
        <v>400</v>
      </c>
    </row>
    <row r="6" spans="1:2" x14ac:dyDescent="0.55000000000000004">
      <c r="A6" s="55">
        <v>7500</v>
      </c>
      <c r="B6" s="56">
        <v>250</v>
      </c>
    </row>
    <row r="7" spans="1:2" x14ac:dyDescent="0.55000000000000004">
      <c r="A7" s="55">
        <v>10000</v>
      </c>
      <c r="B7" s="56">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selection activeCell="K18" sqref="K18"/>
    </sheetView>
  </sheetViews>
  <sheetFormatPr defaultRowHeight="14.4" x14ac:dyDescent="0.55000000000000004"/>
  <sheetData>
    <row r="1" spans="1:2" x14ac:dyDescent="0.55000000000000004">
      <c r="A1" s="54" t="str">
        <f ca="1">REPLACE(CELL("filename",A1),1,FIND("]",CELL("filename",A1)),"")</f>
        <v>Table 2</v>
      </c>
      <c r="B1" s="54"/>
    </row>
    <row r="2" spans="1:2" x14ac:dyDescent="0.55000000000000004">
      <c r="A2" s="10" t="s">
        <v>176</v>
      </c>
      <c r="B2" s="10" t="s">
        <v>147</v>
      </c>
    </row>
    <row r="3" spans="1:2" x14ac:dyDescent="0.55000000000000004">
      <c r="A3" s="55">
        <v>0</v>
      </c>
      <c r="B3" s="56">
        <v>600</v>
      </c>
    </row>
    <row r="4" spans="1:2" x14ac:dyDescent="0.55000000000000004">
      <c r="A4" s="55">
        <v>1000</v>
      </c>
      <c r="B4" s="56">
        <v>575</v>
      </c>
    </row>
    <row r="5" spans="1:2" x14ac:dyDescent="0.55000000000000004">
      <c r="A5" s="55">
        <v>5000</v>
      </c>
      <c r="B5" s="56">
        <v>500</v>
      </c>
    </row>
    <row r="6" spans="1:2" x14ac:dyDescent="0.55000000000000004">
      <c r="A6" s="55">
        <v>7500</v>
      </c>
      <c r="B6" s="56">
        <v>350</v>
      </c>
    </row>
    <row r="7" spans="1:2" x14ac:dyDescent="0.55000000000000004">
      <c r="A7" s="55">
        <v>10000</v>
      </c>
      <c r="B7" s="56">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7"/>
  <sheetViews>
    <sheetView workbookViewId="0">
      <selection activeCell="L15" sqref="L15"/>
    </sheetView>
  </sheetViews>
  <sheetFormatPr defaultRowHeight="14.4" x14ac:dyDescent="0.55000000000000004"/>
  <sheetData>
    <row r="1" spans="1:2" x14ac:dyDescent="0.55000000000000004">
      <c r="A1" s="54" t="str">
        <f ca="1">REPLACE(CELL("filename",A1),1,FIND("]",CELL("filename",A1)),"")</f>
        <v>Table 3</v>
      </c>
      <c r="B1" s="54"/>
    </row>
    <row r="2" spans="1:2" x14ac:dyDescent="0.55000000000000004">
      <c r="A2" s="10" t="s">
        <v>176</v>
      </c>
      <c r="B2" s="10" t="s">
        <v>147</v>
      </c>
    </row>
    <row r="3" spans="1:2" x14ac:dyDescent="0.55000000000000004">
      <c r="A3" s="55">
        <v>0</v>
      </c>
      <c r="B3" s="56">
        <v>650</v>
      </c>
    </row>
    <row r="4" spans="1:2" x14ac:dyDescent="0.55000000000000004">
      <c r="A4" s="55">
        <v>1000</v>
      </c>
      <c r="B4" s="56">
        <v>625</v>
      </c>
    </row>
    <row r="5" spans="1:2" x14ac:dyDescent="0.55000000000000004">
      <c r="A5" s="55">
        <v>5000</v>
      </c>
      <c r="B5" s="56">
        <v>550</v>
      </c>
    </row>
    <row r="6" spans="1:2" x14ac:dyDescent="0.55000000000000004">
      <c r="A6" s="55">
        <v>7500</v>
      </c>
      <c r="B6" s="56">
        <v>400</v>
      </c>
    </row>
    <row r="7" spans="1:2" x14ac:dyDescent="0.55000000000000004">
      <c r="A7" s="55">
        <v>10000</v>
      </c>
      <c r="B7" s="56">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Match 1</vt:lpstr>
      <vt:lpstr>Match 2</vt:lpstr>
      <vt:lpstr>Index 1</vt:lpstr>
      <vt:lpstr>Index 2</vt:lpstr>
      <vt:lpstr>Index 3</vt:lpstr>
      <vt:lpstr>Index 4</vt:lpstr>
      <vt:lpstr>Vlookup+Match</vt:lpstr>
      <vt:lpstr>CHOOSE</vt:lpstr>
      <vt:lpstr>Table 1</vt:lpstr>
      <vt:lpstr>Table 2</vt:lpstr>
      <vt:lpstr>Table 3</vt:lpstr>
      <vt:lpstr>Customer_Type</vt:lpstr>
      <vt:lpstr>Haha</vt:lpstr>
      <vt:lpstr>Region</vt:lpstr>
      <vt:lpstr>Shipping</vt:lpstr>
      <vt:lpstr>Shipping_Method</vt:lpstr>
      <vt:lpstr>Table1</vt:lpstr>
      <vt:lpstr>Table2</vt:lpstr>
      <vt:lpstr>Table3</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 Kalra</dc:creator>
  <cp:lastModifiedBy>Kabir Kanha</cp:lastModifiedBy>
  <dcterms:created xsi:type="dcterms:W3CDTF">2015-08-26T06:51:39Z</dcterms:created>
  <dcterms:modified xsi:type="dcterms:W3CDTF">2019-02-22T07:11:45Z</dcterms:modified>
</cp:coreProperties>
</file>