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filterPrivacy="1" hidePivotFieldList="1" defaultThemeVersion="124226"/>
  <xr:revisionPtr revIDLastSave="0" documentId="13_ncr:1_{567DED6A-E96D-48EE-B50E-C33432870AC9}" xr6:coauthVersionLast="40" xr6:coauthVersionMax="40" xr10:uidLastSave="{00000000-0000-0000-0000-000000000000}"/>
  <bookViews>
    <workbookView xWindow="-96" yWindow="-96" windowWidth="23232" windowHeight="12552" activeTab="4" xr2:uid="{00000000-000D-0000-FFFF-FFFF00000000}"/>
  </bookViews>
  <sheets>
    <sheet name="Data T1" sheetId="4" r:id="rId1"/>
    <sheet name="Data T2" sheetId="5" r:id="rId2"/>
    <sheet name="Data T3" sheetId="6" r:id="rId3"/>
    <sheet name="Goal Seek" sheetId="3" r:id="rId4"/>
    <sheet name="Scenario Summary" sheetId="9" r:id="rId5"/>
    <sheet name="Scenarios" sheetId="7" r:id="rId6"/>
  </sheets>
  <externalReferences>
    <externalReference r:id="rId7"/>
  </externalReferences>
  <definedNames>
    <definedName name="amzn" localSheetId="5">[1]Ex12!#REF!</definedName>
    <definedName name="amzn">[1]Ex12!#REF!</definedName>
    <definedName name="b" localSheetId="5">#REF!</definedName>
    <definedName name="b">#REF!</definedName>
    <definedName name="cp" localSheetId="5">#REF!</definedName>
    <definedName name="cp">#REF!</definedName>
    <definedName name="p" localSheetId="5">#REF!</definedName>
    <definedName name="p">#REF!</definedName>
    <definedName name="pp" localSheetId="5">#REF!</definedName>
    <definedName name="p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5" l="1"/>
  <c r="C10" i="6"/>
  <c r="B8" i="4"/>
  <c r="H6" i="4"/>
  <c r="H4" i="4"/>
  <c r="B30" i="3" l="1"/>
  <c r="B15" i="3"/>
  <c r="F19" i="4" l="1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18" i="4"/>
  <c r="B16" i="4"/>
  <c r="C16" i="4"/>
  <c r="A17" i="4"/>
  <c r="B33" i="3" l="1"/>
  <c r="B34" i="3" s="1"/>
  <c r="C9" i="7"/>
  <c r="C7" i="7"/>
  <c r="C6" i="7"/>
  <c r="C10" i="7" s="1"/>
  <c r="D6" i="7" l="1"/>
  <c r="D10" i="7" s="1"/>
  <c r="C8" i="7"/>
  <c r="C11" i="7" l="1"/>
  <c r="D7" i="7"/>
  <c r="D8" i="7"/>
  <c r="D9" i="7"/>
  <c r="E6" i="7"/>
  <c r="E10" i="7" s="1"/>
  <c r="E8" i="7" l="1"/>
  <c r="F6" i="7"/>
  <c r="F8" i="7" s="1"/>
  <c r="E9" i="7"/>
  <c r="D11" i="7"/>
  <c r="E7" i="7"/>
  <c r="F9" i="7"/>
  <c r="G6" i="7"/>
  <c r="F10" i="7"/>
  <c r="F7" i="7" l="1"/>
  <c r="E11" i="7"/>
  <c r="G10" i="7"/>
  <c r="G7" i="7"/>
  <c r="G8" i="7"/>
  <c r="G9" i="7"/>
  <c r="H6" i="7"/>
  <c r="H8" i="7" s="1"/>
  <c r="F11" i="7" l="1"/>
  <c r="G11" i="7"/>
  <c r="H7" i="7"/>
  <c r="H9" i="7"/>
  <c r="I6" i="7"/>
  <c r="H10" i="7"/>
  <c r="H11" i="7" l="1"/>
  <c r="I8" i="7"/>
  <c r="I9" i="7"/>
  <c r="J6" i="7"/>
  <c r="I7" i="7"/>
  <c r="I10" i="7"/>
  <c r="I11" i="7" l="1"/>
  <c r="J9" i="7"/>
  <c r="K6" i="7"/>
  <c r="J10" i="7"/>
  <c r="J7" i="7"/>
  <c r="J8" i="7"/>
  <c r="J11" i="7" l="1"/>
  <c r="K10" i="7"/>
  <c r="K7" i="7"/>
  <c r="L6" i="7"/>
  <c r="K8" i="7"/>
  <c r="K9" i="7"/>
  <c r="K11" i="7" l="1"/>
  <c r="L7" i="7"/>
  <c r="L8" i="7"/>
  <c r="L9" i="7"/>
  <c r="L10" i="7"/>
  <c r="M6" i="7"/>
  <c r="L11" i="7" l="1"/>
  <c r="M8" i="7"/>
  <c r="M9" i="7"/>
  <c r="M10" i="7"/>
  <c r="M7" i="7"/>
  <c r="M11" i="7" l="1"/>
  <c r="B10" i="7" l="1"/>
  <c r="B9" i="7"/>
  <c r="B8" i="7"/>
  <c r="B7" i="7"/>
  <c r="D18" i="6" l="1"/>
  <c r="E18" i="6" s="1"/>
  <c r="F18" i="6" s="1"/>
  <c r="G18" i="6" s="1"/>
  <c r="C19" i="6"/>
  <c r="C20" i="6" s="1"/>
  <c r="C21" i="6" s="1"/>
  <c r="C22" i="6" s="1"/>
  <c r="C23" i="6" s="1"/>
  <c r="C24" i="6" s="1"/>
  <c r="C25" i="6" s="1"/>
  <c r="C26" i="6" s="1"/>
  <c r="E10" i="5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B14" i="5"/>
  <c r="B12" i="5"/>
  <c r="G9" i="5" s="1"/>
  <c r="B11" i="5"/>
  <c r="F9" i="5" s="1"/>
  <c r="B10" i="4"/>
  <c r="C17" i="4"/>
  <c r="B6" i="4"/>
  <c r="E19" i="4" l="1"/>
  <c r="E27" i="4"/>
  <c r="E20" i="4"/>
  <c r="E28" i="4"/>
  <c r="E29" i="4"/>
  <c r="E30" i="4"/>
  <c r="E24" i="4"/>
  <c r="E33" i="4"/>
  <c r="E26" i="4"/>
  <c r="E21" i="4"/>
  <c r="E31" i="4"/>
  <c r="E32" i="4"/>
  <c r="E25" i="4"/>
  <c r="E22" i="4"/>
  <c r="E18" i="4"/>
  <c r="E23" i="4"/>
  <c r="B11" i="4"/>
  <c r="B17" i="4" s="1"/>
  <c r="B17" i="5"/>
  <c r="J9" i="5" s="1"/>
  <c r="B13" i="5"/>
  <c r="H9" i="5" s="1"/>
  <c r="C8" i="6"/>
  <c r="C11" i="6" s="1"/>
  <c r="C6" i="6"/>
  <c r="A16" i="4"/>
  <c r="C18" i="6" l="1"/>
  <c r="B15" i="5"/>
  <c r="I9" i="5" s="1"/>
</calcChain>
</file>

<file path=xl/sharedStrings.xml><?xml version="1.0" encoding="utf-8"?>
<sst xmlns="http://schemas.openxmlformats.org/spreadsheetml/2006/main" count="116" uniqueCount="93">
  <si>
    <t>Price</t>
  </si>
  <si>
    <t>Down</t>
  </si>
  <si>
    <t>Loan Amount</t>
  </si>
  <si>
    <t>Annual Rate</t>
  </si>
  <si>
    <t>Month Rate</t>
  </si>
  <si>
    <t>Years</t>
  </si>
  <si>
    <t># Months</t>
  </si>
  <si>
    <t>Monthly PMT</t>
  </si>
  <si>
    <t>Annual Rate Start</t>
  </si>
  <si>
    <t>Annual Rate Increment</t>
  </si>
  <si>
    <t>1 Variable Data Table</t>
  </si>
  <si>
    <t>Same W Formulas</t>
  </si>
  <si>
    <t>Rad Corp.</t>
  </si>
  <si>
    <t>Units</t>
  </si>
  <si>
    <t>Sales</t>
  </si>
  <si>
    <t>Variable Costs</t>
  </si>
  <si>
    <t>Contribution Margin</t>
  </si>
  <si>
    <t>Net Income</t>
  </si>
  <si>
    <t>Total Costs</t>
  </si>
  <si>
    <t>Income Statement</t>
  </si>
  <si>
    <t>June, 2008</t>
  </si>
  <si>
    <t>Fixed Costs</t>
  </si>
  <si>
    <t>Assumptions</t>
  </si>
  <si>
    <t>Units Sold</t>
  </si>
  <si>
    <t>Price per Unit</t>
  </si>
  <si>
    <t>VariableCost per Unit</t>
  </si>
  <si>
    <t>Start Units Sold</t>
  </si>
  <si>
    <t>Increment Units Sold</t>
  </si>
  <si>
    <t>DATA TABLE WITH ONE VARAIBLE</t>
  </si>
  <si>
    <t>DATA TABLE WITH ONE VARIABLE</t>
  </si>
  <si>
    <t>Total Months Start</t>
  </si>
  <si>
    <t>Total Months Increment</t>
  </si>
  <si>
    <t>2 Variable Data Table</t>
  </si>
  <si>
    <t>PMT / Months/Annual Rate</t>
  </si>
  <si>
    <t>DATA TABLE WITH TWO VARIABLES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</si>
  <si>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</si>
  <si>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</si>
  <si>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</si>
  <si>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</si>
  <si>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</si>
  <si>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</si>
  <si>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</si>
  <si>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</si>
  <si>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</si>
  <si>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</si>
  <si>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</t>
  </si>
  <si>
    <t>Rev Start</t>
  </si>
  <si>
    <t>Rev % Increase</t>
  </si>
  <si>
    <t>Expense Group 1</t>
  </si>
  <si>
    <t>Expense Group 2</t>
  </si>
  <si>
    <t>Expense Group 3</t>
  </si>
  <si>
    <t>Expense Group 4</t>
  </si>
  <si>
    <t>CGPA in Semester 1</t>
  </si>
  <si>
    <t>CGPA in Semester 2</t>
  </si>
  <si>
    <t>CGPA in Semester 3</t>
  </si>
  <si>
    <t>CGPA in Semester 4</t>
  </si>
  <si>
    <t>CGPA in Semester 5</t>
  </si>
  <si>
    <t>CGPA in Semester 6</t>
  </si>
  <si>
    <t>CGPA in Semester 7</t>
  </si>
  <si>
    <t>CGPA in Semester 8</t>
  </si>
  <si>
    <t>Desired Total CGPA</t>
  </si>
  <si>
    <t>Total CGPA</t>
  </si>
  <si>
    <t>Grading Problem</t>
  </si>
  <si>
    <t>Attendance Problem</t>
  </si>
  <si>
    <t>Number of Classes Attended</t>
  </si>
  <si>
    <t>Number of Classes Conducted</t>
  </si>
  <si>
    <t>Number of Classes Left</t>
  </si>
  <si>
    <t>Minimum Attendance Required</t>
  </si>
  <si>
    <t>Overall Attendance</t>
  </si>
  <si>
    <t xml:space="preserve">Attendance </t>
  </si>
  <si>
    <t>How Many Classes do I need to attend</t>
  </si>
  <si>
    <t>What-If Analysis -&gt; Goal Seek</t>
  </si>
  <si>
    <t>$C$15</t>
  </si>
  <si>
    <t>$C$16</t>
  </si>
  <si>
    <t>$C$17</t>
  </si>
  <si>
    <t>$C$18</t>
  </si>
  <si>
    <t>$C$19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</si>
  <si>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</si>
  <si>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</si>
  <si>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</si>
  <si>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</si>
  <si>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</si>
  <si>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</si>
  <si>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</si>
  <si>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Define a set of cells to take up certain values depending upon the scenario selected.</t>
  </si>
  <si>
    <t>x</t>
  </si>
  <si>
    <t>y</t>
  </si>
  <si>
    <t>$M$11</t>
  </si>
  <si>
    <t>Good</t>
  </si>
  <si>
    <t>Created by Author on 4/25/2017
Modified by Author on 4/25/2017
Modified by Author on 15-02-2019</t>
  </si>
  <si>
    <t>Bad</t>
  </si>
  <si>
    <t>Created by Author on 4/25/2017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</si>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</sst>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##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3" fillId="3" borderId="1">
      <alignment wrapText="1"/>
    </xf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2" fontId="1" fillId="0" borderId="1" xfId="2" applyNumberFormat="1" applyFont="1" applyBorder="1"/>
    <xf numFmtId="2" fontId="1" fillId="2" borderId="1" xfId="2" applyNumberFormat="1" applyFont="1" applyFill="1" applyBorder="1"/>
    <xf numFmtId="164" fontId="1" fillId="0" borderId="1" xfId="3" applyNumberFormat="1" applyFont="1" applyBorder="1"/>
    <xf numFmtId="164" fontId="1" fillId="2" borderId="1" xfId="3" applyNumberFormat="1" applyFont="1" applyFill="1" applyBorder="1"/>
    <xf numFmtId="0" fontId="0" fillId="2" borderId="1" xfId="0" applyFill="1" applyBorder="1"/>
    <xf numFmtId="8" fontId="1" fillId="2" borderId="1" xfId="2" applyNumberFormat="1" applyFont="1" applyFill="1" applyBorder="1"/>
    <xf numFmtId="10" fontId="0" fillId="0" borderId="1" xfId="0" applyNumberFormat="1" applyBorder="1"/>
    <xf numFmtId="0" fontId="3" fillId="3" borderId="0" xfId="0" applyFont="1" applyFill="1" applyAlignment="1">
      <alignment horizontal="centerContinuous" wrapText="1"/>
    </xf>
    <xf numFmtId="0" fontId="0" fillId="4" borderId="1" xfId="0" applyFill="1" applyBorder="1"/>
    <xf numFmtId="0" fontId="3" fillId="5" borderId="0" xfId="0" applyFont="1" applyFill="1" applyAlignment="1">
      <alignment horizontal="centerContinuous" wrapText="1"/>
    </xf>
    <xf numFmtId="10" fontId="3" fillId="6" borderId="1" xfId="0" applyNumberFormat="1" applyFont="1" applyFill="1" applyBorder="1"/>
    <xf numFmtId="2" fontId="0" fillId="7" borderId="1" xfId="0" applyNumberFormat="1" applyFill="1" applyBorder="1"/>
    <xf numFmtId="164" fontId="1" fillId="7" borderId="1" xfId="3" applyNumberFormat="1" applyFont="1" applyFill="1" applyBorder="1"/>
    <xf numFmtId="10" fontId="0" fillId="2" borderId="1" xfId="0" applyNumberFormat="1" applyFill="1" applyBorder="1"/>
    <xf numFmtId="2" fontId="0" fillId="2" borderId="1" xfId="0" applyNumberFormat="1" applyFill="1" applyBorder="1"/>
    <xf numFmtId="8" fontId="0" fillId="2" borderId="1" xfId="0" applyNumberFormat="1" applyFill="1" applyBorder="1"/>
    <xf numFmtId="2" fontId="0" fillId="0" borderId="0" xfId="0" applyNumberFormat="1"/>
    <xf numFmtId="0" fontId="4" fillId="8" borderId="1" xfId="4" applyFont="1" applyFill="1" applyBorder="1" applyAlignment="1">
      <alignment horizontal="centerContinuous" wrapText="1"/>
    </xf>
    <xf numFmtId="0" fontId="4" fillId="8" borderId="1" xfId="4" applyFill="1" applyBorder="1" applyAlignment="1">
      <alignment horizontal="centerContinuous" wrapText="1"/>
    </xf>
    <xf numFmtId="0" fontId="4" fillId="0" borderId="0" xfId="4"/>
    <xf numFmtId="0" fontId="4" fillId="0" borderId="1" xfId="4" applyFont="1" applyBorder="1"/>
    <xf numFmtId="0" fontId="4" fillId="0" borderId="1" xfId="4" applyBorder="1"/>
    <xf numFmtId="2" fontId="4" fillId="2" borderId="1" xfId="4" applyNumberFormat="1" applyFill="1" applyBorder="1"/>
    <xf numFmtId="0" fontId="4" fillId="2" borderId="1" xfId="4" applyFill="1" applyBorder="1"/>
    <xf numFmtId="2" fontId="4" fillId="0" borderId="1" xfId="4" applyNumberFormat="1" applyBorder="1"/>
    <xf numFmtId="2" fontId="1" fillId="2" borderId="2" xfId="2" applyNumberFormat="1" applyFont="1" applyFill="1" applyBorder="1"/>
    <xf numFmtId="2" fontId="1" fillId="2" borderId="3" xfId="2" applyNumberFormat="1" applyFont="1" applyFill="1" applyBorder="1"/>
    <xf numFmtId="2" fontId="1" fillId="2" borderId="4" xfId="2" applyNumberFormat="1" applyFont="1" applyFill="1" applyBorder="1"/>
    <xf numFmtId="2" fontId="1" fillId="2" borderId="5" xfId="2" applyNumberFormat="1" applyFont="1" applyFill="1" applyBorder="1"/>
    <xf numFmtId="2" fontId="4" fillId="0" borderId="0" xfId="4" applyNumberFormat="1"/>
    <xf numFmtId="0" fontId="5" fillId="6" borderId="1" xfId="4" applyFont="1" applyFill="1" applyBorder="1" applyAlignment="1">
      <alignment horizontal="centerContinuous" wrapText="1"/>
    </xf>
    <xf numFmtId="43" fontId="1" fillId="0" borderId="1" xfId="1" applyFont="1" applyBorder="1"/>
    <xf numFmtId="0" fontId="0" fillId="0" borderId="0" xfId="0" applyAlignment="1">
      <alignment horizontal="right"/>
    </xf>
    <xf numFmtId="8" fontId="6" fillId="6" borderId="1" xfId="0" applyNumberFormat="1" applyFont="1" applyFill="1" applyBorder="1"/>
    <xf numFmtId="8" fontId="0" fillId="0" borderId="0" xfId="0" applyNumberFormat="1"/>
    <xf numFmtId="0" fontId="2" fillId="3" borderId="1" xfId="0" applyFont="1" applyFill="1" applyBorder="1"/>
    <xf numFmtId="0" fontId="2" fillId="9" borderId="1" xfId="0" applyFont="1" applyFill="1" applyBorder="1"/>
    <xf numFmtId="1" fontId="0" fillId="2" borderId="1" xfId="0" applyNumberFormat="1" applyFill="1" applyBorder="1"/>
    <xf numFmtId="1" fontId="6" fillId="2" borderId="1" xfId="0" applyNumberFormat="1" applyFont="1" applyFill="1" applyBorder="1"/>
    <xf numFmtId="0" fontId="2" fillId="5" borderId="1" xfId="0" applyFont="1" applyFill="1" applyBorder="1"/>
    <xf numFmtId="0" fontId="3" fillId="3" borderId="1" xfId="0" applyFont="1" applyFill="1" applyBorder="1" applyAlignment="1">
      <alignment horizontal="centerContinuous" wrapText="1"/>
    </xf>
    <xf numFmtId="0" fontId="3" fillId="11" borderId="1" xfId="0" applyFont="1" applyFill="1" applyBorder="1"/>
    <xf numFmtId="0" fontId="1" fillId="0" borderId="1" xfId="2" applyNumberFormat="1" applyFont="1" applyBorder="1"/>
    <xf numFmtId="0" fontId="1" fillId="2" borderId="1" xfId="2" applyNumberFormat="1" applyFont="1" applyFill="1" applyBorder="1"/>
    <xf numFmtId="2" fontId="1" fillId="2" borderId="1" xfId="3" applyNumberFormat="1" applyFont="1" applyFill="1" applyBorder="1"/>
    <xf numFmtId="10" fontId="0" fillId="4" borderId="1" xfId="0" applyNumberFormat="1" applyFill="1" applyBorder="1"/>
    <xf numFmtId="0" fontId="0" fillId="13" borderId="1" xfId="0" applyFill="1" applyBorder="1"/>
    <xf numFmtId="0" fontId="0" fillId="8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8" fillId="12" borderId="1" xfId="0" applyFont="1" applyFill="1" applyBorder="1"/>
    <xf numFmtId="0" fontId="8" fillId="14" borderId="1" xfId="0" applyFont="1" applyFill="1" applyBorder="1"/>
    <xf numFmtId="0" fontId="7" fillId="15" borderId="1" xfId="0" applyFont="1" applyFill="1" applyBorder="1"/>
    <xf numFmtId="165" fontId="0" fillId="8" borderId="1" xfId="0" applyNumberFormat="1" applyFill="1" applyBorder="1"/>
    <xf numFmtId="9" fontId="0" fillId="14" borderId="1" xfId="3" applyFont="1" applyFill="1" applyBorder="1"/>
    <xf numFmtId="0" fontId="9" fillId="0" borderId="0" xfId="12"/>
    <xf numFmtId="9" fontId="8" fillId="14" borderId="1" xfId="3" applyFont="1" applyFill="1" applyBorder="1"/>
    <xf numFmtId="0" fontId="0" fillId="0" borderId="0" xfId="0" applyFill="1" applyBorder="1" applyAlignment="1"/>
    <xf numFmtId="1" fontId="0" fillId="0" borderId="11" xfId="0" applyNumberFormat="1" applyFill="1" applyBorder="1" applyAlignment="1"/>
    <xf numFmtId="0" fontId="0" fillId="0" borderId="13" xfId="0" applyFill="1" applyBorder="1" applyAlignment="1"/>
    <xf numFmtId="0" fontId="10" fillId="16" borderId="10" xfId="0" applyFont="1" applyFill="1" applyBorder="1" applyAlignment="1">
      <alignment horizontal="right"/>
    </xf>
    <xf numFmtId="0" fontId="10" fillId="16" borderId="12" xfId="0" applyFont="1" applyFill="1" applyBorder="1" applyAlignment="1">
      <alignment horizontal="right"/>
    </xf>
    <xf numFmtId="0" fontId="0" fillId="18" borderId="0" xfId="0" applyFill="1" applyBorder="1" applyAlignment="1"/>
    <xf numFmtId="0" fontId="11" fillId="0" borderId="0" xfId="0" applyFont="1" applyFill="1" applyBorder="1" applyAlignment="1">
      <alignment vertical="top" wrapText="1"/>
    </xf>
    <xf numFmtId="1" fontId="6" fillId="8" borderId="1" xfId="0" applyNumberFormat="1" applyFont="1" applyFill="1" applyBorder="1"/>
    <xf numFmtId="0" fontId="0" fillId="10" borderId="0" xfId="0" applyFill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10" borderId="7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10" borderId="10" xfId="0" applyFill="1" applyBorder="1" applyAlignment="1">
      <alignment horizontal="center" wrapText="1"/>
    </xf>
    <xf numFmtId="0" fontId="0" fillId="10" borderId="11" xfId="0" applyFill="1" applyBorder="1" applyAlignment="1">
      <alignment horizontal="center" wrapText="1"/>
    </xf>
    <xf numFmtId="1" fontId="1" fillId="4" borderId="1" xfId="3" applyNumberFormat="1" applyFont="1" applyFill="1" applyBorder="1"/>
    <xf numFmtId="0" fontId="12" fillId="16" borderId="12" xfId="0" applyFont="1" applyFill="1" applyBorder="1" applyAlignment="1">
      <alignment horizontal="left"/>
    </xf>
    <xf numFmtId="0" fontId="12" fillId="16" borderId="10" xfId="0" applyFont="1" applyFill="1" applyBorder="1" applyAlignment="1">
      <alignment horizontal="left"/>
    </xf>
    <xf numFmtId="0" fontId="13" fillId="17" borderId="0" xfId="0" applyFont="1" applyFill="1" applyBorder="1" applyAlignment="1">
      <alignment horizontal="left"/>
    </xf>
    <xf numFmtId="0" fontId="14" fillId="17" borderId="13" xfId="0" applyFont="1" applyFill="1" applyBorder="1" applyAlignment="1">
      <alignment horizontal="left"/>
    </xf>
    <xf numFmtId="0" fontId="13" fillId="17" borderId="11" xfId="0" applyFont="1" applyFill="1" applyBorder="1" applyAlignment="1">
      <alignment horizontal="left"/>
    </xf>
  </cellXfs>
  <cellStyles count="13">
    <cellStyle name="blue" xfId="5" xr:uid="{00000000-0005-0000-0000-000000000000}"/>
    <cellStyle name="Comma" xfId="1" builtinId="3"/>
    <cellStyle name="Comma 2" xfId="8" xr:uid="{00000000-0005-0000-0000-000002000000}"/>
    <cellStyle name="Comma 3" xfId="9" xr:uid="{00000000-0005-0000-0000-000003000000}"/>
    <cellStyle name="Currency" xfId="2" builtinId="4"/>
    <cellStyle name="Currency 2" xfId="7" xr:uid="{00000000-0005-0000-0000-000005000000}"/>
    <cellStyle name="Explanatory Text" xfId="12" builtinId="53"/>
    <cellStyle name="Normal" xfId="0" builtinId="0"/>
    <cellStyle name="Normal 2" xfId="4" xr:uid="{00000000-0005-0000-0000-000007000000}"/>
    <cellStyle name="Normal 3" xfId="10" xr:uid="{00000000-0005-0000-0000-000008000000}"/>
    <cellStyle name="Percent" xfId="3" builtinId="5"/>
    <cellStyle name="Percent 2" xfId="6" xr:uid="{00000000-0005-0000-0000-00000A000000}"/>
    <cellStyle name="Percent 3" xfId="11" xr:uid="{00000000-0005-0000-0000-00000B000000}"/>
  </cellStyles>
  <dxfs count="9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B9E4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B9E4FF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Valuation/Case%20Study/Facebook%20IPO/Facebook%20case%20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1"/>
      <sheetName val="Ex2"/>
      <sheetName val="Ex3 "/>
      <sheetName val="Ex4"/>
      <sheetName val="Ex5"/>
      <sheetName val="Ex6"/>
      <sheetName val="Ex8"/>
      <sheetName val="Ex9"/>
      <sheetName val="Ex10"/>
      <sheetName val="Ex11"/>
      <sheetName val="Ex12"/>
    </sheetNames>
    <sheetDataSet>
      <sheetData sheetId="0" refreshError="1"/>
      <sheetData sheetId="1">
        <row r="36">
          <cell r="D36">
            <v>1587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M33"/>
  <sheetViews>
    <sheetView workbookViewId="0">
      <selection activeCell="D19" sqref="D19"/>
    </sheetView>
  </sheetViews>
  <sheetFormatPr defaultRowHeight="14.4" x14ac:dyDescent="0.55000000000000004"/>
  <cols>
    <col min="1" max="1" width="25.26171875" customWidth="1"/>
    <col min="2" max="2" width="25.83984375" style="18" customWidth="1"/>
    <col min="3" max="3" width="12.15625" customWidth="1"/>
    <col min="5" max="5" width="13.83984375" customWidth="1"/>
    <col min="6" max="6" width="15.41796875" customWidth="1"/>
  </cols>
  <sheetData>
    <row r="1" spans="1:13" x14ac:dyDescent="0.55000000000000004">
      <c r="A1" s="67" t="s">
        <v>28</v>
      </c>
      <c r="B1" s="67"/>
    </row>
    <row r="2" spans="1:13" x14ac:dyDescent="0.55000000000000004">
      <c r="A2" s="67"/>
      <c r="B2" s="67"/>
      <c r="G2" t="s">
        <v>85</v>
      </c>
      <c r="H2">
        <v>1</v>
      </c>
    </row>
    <row r="3" spans="1:13" x14ac:dyDescent="0.55000000000000004">
      <c r="B3"/>
      <c r="G3" t="s">
        <v>86</v>
      </c>
      <c r="H3">
        <v>2</v>
      </c>
    </row>
    <row r="4" spans="1:13" x14ac:dyDescent="0.55000000000000004">
      <c r="A4" s="1" t="s">
        <v>0</v>
      </c>
      <c r="B4" s="2">
        <v>250000</v>
      </c>
      <c r="H4">
        <f>H2*H3</f>
        <v>2</v>
      </c>
    </row>
    <row r="5" spans="1:13" x14ac:dyDescent="0.55000000000000004">
      <c r="A5" s="1" t="s">
        <v>1</v>
      </c>
      <c r="B5" s="2">
        <v>25000</v>
      </c>
    </row>
    <row r="6" spans="1:13" x14ac:dyDescent="0.55000000000000004">
      <c r="A6" s="1" t="s">
        <v>2</v>
      </c>
      <c r="B6" s="3">
        <f>B4-B5</f>
        <v>225000</v>
      </c>
      <c r="H6">
        <f>H2+H3</f>
        <v>3</v>
      </c>
      <c r="I6">
        <v>2</v>
      </c>
      <c r="J6">
        <v>3</v>
      </c>
      <c r="K6">
        <v>4</v>
      </c>
      <c r="L6">
        <v>5</v>
      </c>
      <c r="M6">
        <v>6</v>
      </c>
    </row>
    <row r="7" spans="1:13" x14ac:dyDescent="0.55000000000000004">
      <c r="A7" s="1" t="s">
        <v>3</v>
      </c>
      <c r="B7" s="4">
        <v>0.08</v>
      </c>
      <c r="H7">
        <v>1</v>
      </c>
      <c r="I7">
        <f t="dataTable" ref="I7:M13" dt2D="1" dtr="1" r1="H2" r2="H3"/>
        <v>3</v>
      </c>
      <c r="J7">
        <v>4</v>
      </c>
      <c r="K7">
        <v>5</v>
      </c>
      <c r="L7">
        <v>6</v>
      </c>
      <c r="M7">
        <v>7</v>
      </c>
    </row>
    <row r="8" spans="1:13" x14ac:dyDescent="0.55000000000000004">
      <c r="A8" s="1" t="s">
        <v>4</v>
      </c>
      <c r="B8" s="5">
        <f>B7/12</f>
        <v>6.6666666666666671E-3</v>
      </c>
      <c r="H8">
        <v>2</v>
      </c>
      <c r="I8">
        <v>4</v>
      </c>
      <c r="J8">
        <v>5</v>
      </c>
      <c r="K8">
        <v>6</v>
      </c>
      <c r="L8">
        <v>7</v>
      </c>
      <c r="M8">
        <v>8</v>
      </c>
    </row>
    <row r="9" spans="1:13" x14ac:dyDescent="0.55000000000000004">
      <c r="A9" s="1" t="s">
        <v>5</v>
      </c>
      <c r="B9" s="1">
        <v>30</v>
      </c>
      <c r="H9">
        <v>3</v>
      </c>
      <c r="I9">
        <v>5</v>
      </c>
      <c r="J9">
        <v>6</v>
      </c>
      <c r="K9">
        <v>7</v>
      </c>
      <c r="L9">
        <v>8</v>
      </c>
      <c r="M9">
        <v>9</v>
      </c>
    </row>
    <row r="10" spans="1:13" x14ac:dyDescent="0.55000000000000004">
      <c r="A10" s="1" t="s">
        <v>6</v>
      </c>
      <c r="B10" s="6">
        <f>B9*12</f>
        <v>360</v>
      </c>
      <c r="H10">
        <v>4</v>
      </c>
      <c r="I10">
        <v>6</v>
      </c>
      <c r="J10">
        <v>7</v>
      </c>
      <c r="K10">
        <v>8</v>
      </c>
      <c r="L10">
        <v>9</v>
      </c>
      <c r="M10">
        <v>10</v>
      </c>
    </row>
    <row r="11" spans="1:13" x14ac:dyDescent="0.55000000000000004">
      <c r="A11" s="1" t="s">
        <v>7</v>
      </c>
      <c r="B11" s="7">
        <f>PMT(B8,B10,B6)</f>
        <v>-1650.9702912285964</v>
      </c>
      <c r="H11">
        <v>5</v>
      </c>
      <c r="I11">
        <v>7</v>
      </c>
      <c r="J11">
        <v>8</v>
      </c>
      <c r="K11">
        <v>9</v>
      </c>
      <c r="L11">
        <v>10</v>
      </c>
      <c r="M11">
        <v>11</v>
      </c>
    </row>
    <row r="12" spans="1:13" x14ac:dyDescent="0.55000000000000004">
      <c r="A12" s="1" t="s">
        <v>8</v>
      </c>
      <c r="B12" s="8">
        <v>0.05</v>
      </c>
      <c r="H12">
        <v>6</v>
      </c>
      <c r="I12">
        <v>8</v>
      </c>
      <c r="J12">
        <v>9</v>
      </c>
      <c r="K12">
        <v>10</v>
      </c>
      <c r="L12">
        <v>11</v>
      </c>
      <c r="M12">
        <v>12</v>
      </c>
    </row>
    <row r="13" spans="1:13" x14ac:dyDescent="0.55000000000000004">
      <c r="A13" s="1" t="s">
        <v>9</v>
      </c>
      <c r="B13" s="8">
        <v>0.01</v>
      </c>
      <c r="H13">
        <v>7</v>
      </c>
      <c r="I13">
        <v>9</v>
      </c>
      <c r="J13">
        <v>10</v>
      </c>
      <c r="K13">
        <v>11</v>
      </c>
      <c r="L13">
        <v>12</v>
      </c>
      <c r="M13">
        <v>13</v>
      </c>
    </row>
    <row r="14" spans="1:13" x14ac:dyDescent="0.55000000000000004">
      <c r="B14"/>
    </row>
    <row r="15" spans="1:13" x14ac:dyDescent="0.55000000000000004">
      <c r="A15" s="9" t="s">
        <v>10</v>
      </c>
      <c r="B15" s="9"/>
      <c r="C15" s="9"/>
    </row>
    <row r="16" spans="1:13" x14ac:dyDescent="0.55000000000000004">
      <c r="A16" s="10" t="str">
        <f>A7</f>
        <v>Annual Rate</v>
      </c>
      <c r="B16" s="10" t="str">
        <f>A11</f>
        <v>Monthly PMT</v>
      </c>
      <c r="C16" s="10" t="str">
        <f>A8</f>
        <v>Month Rate</v>
      </c>
      <c r="E16" s="11" t="s">
        <v>11</v>
      </c>
      <c r="F16" s="11"/>
    </row>
    <row r="17" spans="1:6" x14ac:dyDescent="0.55000000000000004">
      <c r="A17" s="12">
        <f>B7</f>
        <v>0.08</v>
      </c>
      <c r="B17" s="13">
        <f>B11</f>
        <v>-1650.9702912285964</v>
      </c>
      <c r="C17" s="14">
        <f>B8</f>
        <v>6.6666666666666671E-3</v>
      </c>
      <c r="E17" s="10" t="s">
        <v>7</v>
      </c>
      <c r="F17" s="10" t="s">
        <v>4</v>
      </c>
    </row>
    <row r="18" spans="1:6" x14ac:dyDescent="0.55000000000000004">
      <c r="A18" s="15">
        <v>0.01</v>
      </c>
      <c r="B18" s="16">
        <f t="dataTable" ref="B18:C33" dt2D="0" dtr="0" r1="B7"/>
        <v>-723.68892100455764</v>
      </c>
      <c r="C18" s="5">
        <v>8.3333333333333339E-4</v>
      </c>
      <c r="E18" s="17">
        <f>PMT(A18/12,$B$10,$B$6,0,0)</f>
        <v>-723.68892100455764</v>
      </c>
      <c r="F18" s="5">
        <f>A18/12</f>
        <v>8.3333333333333339E-4</v>
      </c>
    </row>
    <row r="19" spans="1:6" x14ac:dyDescent="0.55000000000000004">
      <c r="A19" s="15">
        <v>0.02</v>
      </c>
      <c r="B19" s="16">
        <v>-831.64381354984619</v>
      </c>
      <c r="C19" s="5">
        <v>1.6666666666666668E-3</v>
      </c>
      <c r="E19" s="17">
        <f t="shared" ref="E19:E33" si="0">PMT(A19/12,$B$10,$B$6,0,0)</f>
        <v>-831.64381354984619</v>
      </c>
      <c r="F19" s="5">
        <f t="shared" ref="F19:F33" si="1">A19/12</f>
        <v>1.6666666666666668E-3</v>
      </c>
    </row>
    <row r="20" spans="1:6" x14ac:dyDescent="0.55000000000000004">
      <c r="A20" s="15">
        <v>0.03</v>
      </c>
      <c r="B20" s="16">
        <v>-948.60907589126361</v>
      </c>
      <c r="C20" s="5">
        <v>2.5000000000000001E-3</v>
      </c>
      <c r="E20" s="17">
        <f t="shared" si="0"/>
        <v>-948.60907589126361</v>
      </c>
      <c r="F20" s="5">
        <f t="shared" si="1"/>
        <v>2.5000000000000001E-3</v>
      </c>
    </row>
    <row r="21" spans="1:6" x14ac:dyDescent="0.55000000000000004">
      <c r="A21" s="15">
        <v>0.04</v>
      </c>
      <c r="B21" s="16">
        <v>-1074.1844147972838</v>
      </c>
      <c r="C21" s="5">
        <v>3.3333333333333335E-3</v>
      </c>
      <c r="E21" s="17">
        <f t="shared" si="0"/>
        <v>-1074.1844147972838</v>
      </c>
      <c r="F21" s="5">
        <f t="shared" si="1"/>
        <v>3.3333333333333335E-3</v>
      </c>
    </row>
    <row r="22" spans="1:6" x14ac:dyDescent="0.55000000000000004">
      <c r="A22" s="15">
        <v>0.05</v>
      </c>
      <c r="B22" s="16">
        <v>-1207.8486517773129</v>
      </c>
      <c r="C22" s="5">
        <v>4.1666666666666666E-3</v>
      </c>
      <c r="E22" s="17">
        <f t="shared" si="0"/>
        <v>-1207.8486517773129</v>
      </c>
      <c r="F22" s="5">
        <f t="shared" si="1"/>
        <v>4.1666666666666666E-3</v>
      </c>
    </row>
    <row r="23" spans="1:6" x14ac:dyDescent="0.55000000000000004">
      <c r="A23" s="15">
        <v>0.06</v>
      </c>
      <c r="B23" s="16">
        <v>-1348.9886815936927</v>
      </c>
      <c r="C23" s="5">
        <v>5.0000000000000001E-3</v>
      </c>
      <c r="E23" s="17">
        <f t="shared" si="0"/>
        <v>-1348.9886815936927</v>
      </c>
      <c r="F23" s="5">
        <f t="shared" si="1"/>
        <v>5.0000000000000001E-3</v>
      </c>
    </row>
    <row r="24" spans="1:6" x14ac:dyDescent="0.55000000000000004">
      <c r="A24" s="15">
        <v>7.0000000000000007E-2</v>
      </c>
      <c r="B24" s="16">
        <v>-1496.9306141531622</v>
      </c>
      <c r="C24" s="5">
        <v>5.8333333333333336E-3</v>
      </c>
      <c r="E24" s="17">
        <f t="shared" si="0"/>
        <v>-1496.9306141531622</v>
      </c>
      <c r="F24" s="5">
        <f t="shared" si="1"/>
        <v>5.8333333333333336E-3</v>
      </c>
    </row>
    <row r="25" spans="1:6" x14ac:dyDescent="0.55000000000000004">
      <c r="A25" s="15">
        <v>0.08</v>
      </c>
      <c r="B25" s="16">
        <v>-1650.9702912285964</v>
      </c>
      <c r="C25" s="5">
        <v>6.6666666666666671E-3</v>
      </c>
      <c r="E25" s="17">
        <f t="shared" si="0"/>
        <v>-1650.9702912285964</v>
      </c>
      <c r="F25" s="5">
        <f t="shared" si="1"/>
        <v>6.6666666666666671E-3</v>
      </c>
    </row>
    <row r="26" spans="1:6" x14ac:dyDescent="0.55000000000000004">
      <c r="A26" s="15">
        <v>0.09</v>
      </c>
      <c r="B26" s="16">
        <v>-1810.400888125761</v>
      </c>
      <c r="C26" s="5">
        <v>7.4999999999999997E-3</v>
      </c>
      <c r="E26" s="17">
        <f t="shared" si="0"/>
        <v>-1810.400888125761</v>
      </c>
      <c r="F26" s="5">
        <f t="shared" si="1"/>
        <v>7.4999999999999997E-3</v>
      </c>
    </row>
    <row r="27" spans="1:6" x14ac:dyDescent="0.55000000000000004">
      <c r="A27" s="15">
        <v>0.1</v>
      </c>
      <c r="B27" s="16">
        <v>-1974.5360326997973</v>
      </c>
      <c r="C27" s="5">
        <v>8.3333333333333332E-3</v>
      </c>
      <c r="E27" s="17">
        <f t="shared" si="0"/>
        <v>-1974.5360326997973</v>
      </c>
      <c r="F27" s="5">
        <f t="shared" si="1"/>
        <v>8.3333333333333332E-3</v>
      </c>
    </row>
    <row r="28" spans="1:6" x14ac:dyDescent="0.55000000000000004">
      <c r="A28" s="15">
        <v>0.11</v>
      </c>
      <c r="B28" s="16">
        <v>-2142.7276400761493</v>
      </c>
      <c r="C28" s="5">
        <v>9.1666666666666667E-3</v>
      </c>
      <c r="E28" s="17">
        <f t="shared" si="0"/>
        <v>-2142.7276400761493</v>
      </c>
      <c r="F28" s="5">
        <f t="shared" si="1"/>
        <v>9.1666666666666667E-3</v>
      </c>
    </row>
    <row r="29" spans="1:6" x14ac:dyDescent="0.55000000000000004">
      <c r="A29" s="15">
        <v>0.12</v>
      </c>
      <c r="B29" s="16">
        <v>-2314.3783430823851</v>
      </c>
      <c r="C29" s="5">
        <v>0.01</v>
      </c>
      <c r="E29" s="17">
        <f t="shared" si="0"/>
        <v>-2314.3783430823851</v>
      </c>
      <c r="F29" s="5">
        <f t="shared" si="1"/>
        <v>0.01</v>
      </c>
    </row>
    <row r="30" spans="1:6" x14ac:dyDescent="0.55000000000000004">
      <c r="A30" s="15">
        <v>0.13</v>
      </c>
      <c r="B30" s="16">
        <v>-2488.9489183497622</v>
      </c>
      <c r="C30" s="5">
        <v>1.0833333333333334E-2</v>
      </c>
      <c r="E30" s="17">
        <f t="shared" si="0"/>
        <v>-2488.9489183497622</v>
      </c>
      <c r="F30" s="5">
        <f t="shared" si="1"/>
        <v>1.0833333333333334E-2</v>
      </c>
    </row>
    <row r="31" spans="1:6" x14ac:dyDescent="0.55000000000000004">
      <c r="A31" s="15">
        <v>0.14000000000000001</v>
      </c>
      <c r="B31" s="16">
        <v>-2665.9614398772028</v>
      </c>
      <c r="C31" s="5">
        <v>1.1666666666666667E-2</v>
      </c>
      <c r="E31" s="17">
        <f t="shared" si="0"/>
        <v>-2665.9614398772028</v>
      </c>
      <c r="F31" s="5">
        <f t="shared" si="1"/>
        <v>1.1666666666666667E-2</v>
      </c>
    </row>
    <row r="32" spans="1:6" x14ac:dyDescent="0.55000000000000004">
      <c r="A32" s="15">
        <v>0.15</v>
      </c>
      <c r="B32" s="16">
        <v>-2844.9990485213475</v>
      </c>
      <c r="C32" s="5">
        <v>1.2499999999999999E-2</v>
      </c>
      <c r="E32" s="17">
        <f t="shared" si="0"/>
        <v>-2844.9990485213475</v>
      </c>
      <c r="F32" s="5">
        <f t="shared" si="1"/>
        <v>1.2499999999999999E-2</v>
      </c>
    </row>
    <row r="33" spans="1:6" x14ac:dyDescent="0.55000000000000004">
      <c r="A33" s="15">
        <v>0.16</v>
      </c>
      <c r="B33" s="16">
        <v>-3025.7032435120659</v>
      </c>
      <c r="C33" s="5">
        <v>1.3333333333333334E-2</v>
      </c>
      <c r="E33" s="17">
        <f t="shared" si="0"/>
        <v>-3025.7032435120659</v>
      </c>
      <c r="F33" s="5">
        <f t="shared" si="1"/>
        <v>1.3333333333333334E-2</v>
      </c>
    </row>
  </sheetData>
  <mergeCells count="1">
    <mergeCell ref="A1:B2"/>
  </mergeCells>
  <conditionalFormatting sqref="A4:A13">
    <cfRule type="expression" dxfId="8" priority="2">
      <formula>MOD(ROW(),2)=0</formula>
    </cfRule>
    <cfRule type="expression" dxfId="7" priority="3">
      <formula>MOD(ROW(),2)</formula>
    </cfRule>
  </conditionalFormatting>
  <conditionalFormatting sqref="B33:C33">
    <cfRule type="expression" dxfId="6" priority="4">
      <formula>AND(#REF!=$B$6,$C33=$C$6)</formula>
    </cfRule>
  </conditionalFormatting>
  <conditionalFormatting sqref="B18:C32 E18:F33">
    <cfRule type="expression" dxfId="5" priority="5">
      <formula>AND($B19=$B$6,$C18=$C$6)</formula>
    </cfRule>
  </conditionalFormatting>
  <conditionalFormatting sqref="A18:A33">
    <cfRule type="expression" dxfId="4" priority="6">
      <formula>AND($B19=$B$6,$C18=$C$6)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J29"/>
  <sheetViews>
    <sheetView zoomScale="80" zoomScaleNormal="80" workbookViewId="0">
      <selection activeCell="I9" sqref="I9"/>
    </sheetView>
  </sheetViews>
  <sheetFormatPr defaultRowHeight="14.4" x14ac:dyDescent="0.55000000000000004"/>
  <cols>
    <col min="1" max="1" width="18.83984375" bestFit="1" customWidth="1"/>
    <col min="2" max="2" width="28.41796875" customWidth="1"/>
    <col min="6" max="6" width="10.26171875" bestFit="1" customWidth="1"/>
    <col min="7" max="7" width="17.15625" customWidth="1"/>
    <col min="8" max="8" width="17.68359375" customWidth="1"/>
    <col min="9" max="9" width="17.578125" customWidth="1"/>
    <col min="10" max="10" width="19" customWidth="1"/>
  </cols>
  <sheetData>
    <row r="1" spans="1:10" x14ac:dyDescent="0.55000000000000004">
      <c r="A1" s="68" t="s">
        <v>29</v>
      </c>
      <c r="B1" s="69"/>
    </row>
    <row r="2" spans="1:10" ht="14.7" thickBot="1" x14ac:dyDescent="0.6">
      <c r="A2" s="70"/>
      <c r="B2" s="71"/>
    </row>
    <row r="8" spans="1:10" x14ac:dyDescent="0.55000000000000004">
      <c r="A8" s="19" t="s">
        <v>12</v>
      </c>
      <c r="B8" s="20"/>
      <c r="C8" s="21"/>
      <c r="E8" s="22" t="s">
        <v>13</v>
      </c>
      <c r="F8" s="22" t="s">
        <v>14</v>
      </c>
      <c r="G8" s="22" t="s">
        <v>15</v>
      </c>
      <c r="H8" s="22" t="s">
        <v>16</v>
      </c>
      <c r="I8" s="22" t="s">
        <v>17</v>
      </c>
      <c r="J8" s="22" t="s">
        <v>18</v>
      </c>
    </row>
    <row r="9" spans="1:10" x14ac:dyDescent="0.55000000000000004">
      <c r="A9" s="19" t="s">
        <v>19</v>
      </c>
      <c r="B9" s="20"/>
      <c r="C9" s="21"/>
      <c r="D9" s="21"/>
      <c r="E9" s="26">
        <f>B15</f>
        <v>2300</v>
      </c>
      <c r="F9" s="24">
        <f>B11</f>
        <v>150000</v>
      </c>
      <c r="G9" s="24">
        <f>B12</f>
        <v>68450</v>
      </c>
      <c r="H9" s="24">
        <f>B13</f>
        <v>81550</v>
      </c>
      <c r="I9" s="24">
        <f>B15</f>
        <v>2300</v>
      </c>
      <c r="J9" s="24">
        <f>B17</f>
        <v>147700</v>
      </c>
    </row>
    <row r="10" spans="1:10" x14ac:dyDescent="0.55000000000000004">
      <c r="A10" s="19" t="s">
        <v>20</v>
      </c>
      <c r="B10" s="20"/>
      <c r="C10" s="21"/>
      <c r="D10" s="21"/>
      <c r="E10" s="25">
        <f>B24</f>
        <v>0</v>
      </c>
      <c r="F10" s="26">
        <f t="dataTable" ref="F10:J29" dt2D="0" dtr="0" r1="B20"/>
        <v>0</v>
      </c>
      <c r="G10" s="26">
        <v>0</v>
      </c>
      <c r="H10" s="26">
        <v>0</v>
      </c>
      <c r="I10" s="26">
        <v>-79250</v>
      </c>
      <c r="J10" s="26">
        <v>79250</v>
      </c>
    </row>
    <row r="11" spans="1:10" x14ac:dyDescent="0.55000000000000004">
      <c r="A11" s="22" t="s">
        <v>14</v>
      </c>
      <c r="B11" s="3">
        <f>B20*B21</f>
        <v>150000</v>
      </c>
      <c r="C11" s="21"/>
      <c r="D11" s="21"/>
      <c r="E11" s="25">
        <f>E10+$B$25</f>
        <v>1000</v>
      </c>
      <c r="F11" s="26">
        <v>30000</v>
      </c>
      <c r="G11" s="26">
        <v>13690</v>
      </c>
      <c r="H11" s="26">
        <v>16310</v>
      </c>
      <c r="I11" s="26">
        <v>-62940</v>
      </c>
      <c r="J11" s="26">
        <v>92940</v>
      </c>
    </row>
    <row r="12" spans="1:10" ht="14.7" thickBot="1" x14ac:dyDescent="0.6">
      <c r="A12" s="22" t="s">
        <v>15</v>
      </c>
      <c r="B12" s="27">
        <f>B22*B20</f>
        <v>68450</v>
      </c>
      <c r="C12" s="21"/>
      <c r="D12" s="21"/>
      <c r="E12" s="25">
        <f t="shared" ref="E12:E29" si="0">E11+$B$25</f>
        <v>2000</v>
      </c>
      <c r="F12" s="26">
        <v>60000</v>
      </c>
      <c r="G12" s="26">
        <v>27380</v>
      </c>
      <c r="H12" s="26">
        <v>32620</v>
      </c>
      <c r="I12" s="26">
        <v>-46630</v>
      </c>
      <c r="J12" s="26">
        <v>106630</v>
      </c>
    </row>
    <row r="13" spans="1:10" x14ac:dyDescent="0.55000000000000004">
      <c r="A13" s="22" t="s">
        <v>16</v>
      </c>
      <c r="B13" s="28">
        <f>B11-B12</f>
        <v>81550</v>
      </c>
      <c r="C13" s="21"/>
      <c r="D13" s="21"/>
      <c r="E13" s="25">
        <f t="shared" si="0"/>
        <v>3000</v>
      </c>
      <c r="F13" s="26">
        <v>90000</v>
      </c>
      <c r="G13" s="26">
        <v>41070</v>
      </c>
      <c r="H13" s="26">
        <v>48930</v>
      </c>
      <c r="I13" s="26">
        <v>-30320</v>
      </c>
      <c r="J13" s="26">
        <v>120320</v>
      </c>
    </row>
    <row r="14" spans="1:10" ht="14.7" thickBot="1" x14ac:dyDescent="0.6">
      <c r="A14" s="22" t="s">
        <v>21</v>
      </c>
      <c r="B14" s="29">
        <f>B23</f>
        <v>79250</v>
      </c>
      <c r="C14" s="21"/>
      <c r="D14" s="21"/>
      <c r="E14" s="25">
        <f t="shared" si="0"/>
        <v>4000</v>
      </c>
      <c r="F14" s="26">
        <v>120000</v>
      </c>
      <c r="G14" s="26">
        <v>54760</v>
      </c>
      <c r="H14" s="26">
        <v>65240</v>
      </c>
      <c r="I14" s="26">
        <v>-14010</v>
      </c>
      <c r="J14" s="26">
        <v>134010</v>
      </c>
    </row>
    <row r="15" spans="1:10" ht="14.7" thickBot="1" x14ac:dyDescent="0.6">
      <c r="A15" s="22" t="s">
        <v>17</v>
      </c>
      <c r="B15" s="30">
        <f>B13-B14</f>
        <v>2300</v>
      </c>
      <c r="C15" s="21"/>
      <c r="D15" s="21"/>
      <c r="E15" s="25">
        <f t="shared" si="0"/>
        <v>5000</v>
      </c>
      <c r="F15" s="26">
        <v>150000</v>
      </c>
      <c r="G15" s="26">
        <v>68450</v>
      </c>
      <c r="H15" s="26">
        <v>81550</v>
      </c>
      <c r="I15" s="26">
        <v>2300</v>
      </c>
      <c r="J15" s="26">
        <v>147700</v>
      </c>
    </row>
    <row r="16" spans="1:10" ht="14.7" thickTop="1" x14ac:dyDescent="0.55000000000000004">
      <c r="A16" s="21"/>
      <c r="B16" s="31"/>
      <c r="C16" s="21"/>
      <c r="D16" s="21"/>
      <c r="E16" s="25">
        <f t="shared" si="0"/>
        <v>6000</v>
      </c>
      <c r="F16" s="26">
        <v>180000</v>
      </c>
      <c r="G16" s="26">
        <v>82140</v>
      </c>
      <c r="H16" s="26">
        <v>97860</v>
      </c>
      <c r="I16" s="26">
        <v>18610</v>
      </c>
      <c r="J16" s="26">
        <v>161390</v>
      </c>
    </row>
    <row r="17" spans="1:10" x14ac:dyDescent="0.55000000000000004">
      <c r="A17" s="1" t="s">
        <v>18</v>
      </c>
      <c r="B17" s="16">
        <f>B12+B14</f>
        <v>147700</v>
      </c>
      <c r="C17" s="21"/>
      <c r="D17" s="21"/>
      <c r="E17" s="25">
        <f t="shared" si="0"/>
        <v>7000</v>
      </c>
      <c r="F17" s="26">
        <v>210000</v>
      </c>
      <c r="G17" s="26">
        <v>95830</v>
      </c>
      <c r="H17" s="26">
        <v>114170</v>
      </c>
      <c r="I17" s="26">
        <v>34920</v>
      </c>
      <c r="J17" s="26">
        <v>175080</v>
      </c>
    </row>
    <row r="18" spans="1:10" x14ac:dyDescent="0.55000000000000004">
      <c r="C18" s="21"/>
      <c r="D18" s="21"/>
      <c r="E18" s="25">
        <f t="shared" si="0"/>
        <v>8000</v>
      </c>
      <c r="F18" s="26">
        <v>240000</v>
      </c>
      <c r="G18" s="26">
        <v>109520</v>
      </c>
      <c r="H18" s="26">
        <v>130480</v>
      </c>
      <c r="I18" s="26">
        <v>51230</v>
      </c>
      <c r="J18" s="26">
        <v>188770</v>
      </c>
    </row>
    <row r="19" spans="1:10" x14ac:dyDescent="0.55000000000000004">
      <c r="A19" s="32" t="s">
        <v>22</v>
      </c>
      <c r="B19" s="32"/>
      <c r="C19" s="21"/>
      <c r="D19" s="21"/>
      <c r="E19" s="25">
        <f t="shared" si="0"/>
        <v>9000</v>
      </c>
      <c r="F19" s="26">
        <v>270000</v>
      </c>
      <c r="G19" s="26">
        <v>123210</v>
      </c>
      <c r="H19" s="26">
        <v>146790</v>
      </c>
      <c r="I19" s="26">
        <v>67540</v>
      </c>
      <c r="J19" s="26">
        <v>202460</v>
      </c>
    </row>
    <row r="20" spans="1:10" x14ac:dyDescent="0.55000000000000004">
      <c r="A20" s="22" t="s">
        <v>23</v>
      </c>
      <c r="B20" s="33">
        <v>5000</v>
      </c>
      <c r="C20" s="21"/>
      <c r="D20" s="21"/>
      <c r="E20" s="25">
        <f t="shared" si="0"/>
        <v>10000</v>
      </c>
      <c r="F20" s="26">
        <v>300000</v>
      </c>
      <c r="G20" s="26">
        <v>136900</v>
      </c>
      <c r="H20" s="26">
        <v>163100</v>
      </c>
      <c r="I20" s="26">
        <v>83850</v>
      </c>
      <c r="J20" s="26">
        <v>216150</v>
      </c>
    </row>
    <row r="21" spans="1:10" x14ac:dyDescent="0.55000000000000004">
      <c r="A21" s="22" t="s">
        <v>24</v>
      </c>
      <c r="B21" s="26">
        <v>30</v>
      </c>
      <c r="C21" s="21"/>
      <c r="D21" s="21"/>
      <c r="E21" s="25">
        <f t="shared" si="0"/>
        <v>11000</v>
      </c>
      <c r="F21" s="26">
        <v>330000</v>
      </c>
      <c r="G21" s="26">
        <v>150590</v>
      </c>
      <c r="H21" s="26">
        <v>179410</v>
      </c>
      <c r="I21" s="26">
        <v>100160</v>
      </c>
      <c r="J21" s="26">
        <v>229840</v>
      </c>
    </row>
    <row r="22" spans="1:10" x14ac:dyDescent="0.55000000000000004">
      <c r="A22" s="22" t="s">
        <v>25</v>
      </c>
      <c r="B22" s="26">
        <v>13.69</v>
      </c>
      <c r="C22" s="21"/>
      <c r="D22" s="21"/>
      <c r="E22" s="25">
        <f t="shared" si="0"/>
        <v>12000</v>
      </c>
      <c r="F22" s="26">
        <v>360000</v>
      </c>
      <c r="G22" s="26">
        <v>164280</v>
      </c>
      <c r="H22" s="26">
        <v>195720</v>
      </c>
      <c r="I22" s="26">
        <v>116470</v>
      </c>
      <c r="J22" s="26">
        <v>243530</v>
      </c>
    </row>
    <row r="23" spans="1:10" x14ac:dyDescent="0.55000000000000004">
      <c r="A23" s="22" t="s">
        <v>21</v>
      </c>
      <c r="B23" s="26">
        <v>79250</v>
      </c>
      <c r="C23" s="21"/>
      <c r="D23" s="21"/>
      <c r="E23" s="25">
        <f t="shared" si="0"/>
        <v>13000</v>
      </c>
      <c r="F23" s="26">
        <v>390000</v>
      </c>
      <c r="G23" s="26">
        <v>177970</v>
      </c>
      <c r="H23" s="26">
        <v>212030</v>
      </c>
      <c r="I23" s="26">
        <v>132780</v>
      </c>
      <c r="J23" s="26">
        <v>257220</v>
      </c>
    </row>
    <row r="24" spans="1:10" x14ac:dyDescent="0.55000000000000004">
      <c r="A24" s="22" t="s">
        <v>26</v>
      </c>
      <c r="B24" s="23">
        <v>0</v>
      </c>
      <c r="C24" s="21"/>
      <c r="D24" s="21"/>
      <c r="E24" s="25">
        <f t="shared" si="0"/>
        <v>14000</v>
      </c>
      <c r="F24" s="26">
        <v>420000</v>
      </c>
      <c r="G24" s="26">
        <v>191660</v>
      </c>
      <c r="H24" s="26">
        <v>228340</v>
      </c>
      <c r="I24" s="26">
        <v>149090</v>
      </c>
      <c r="J24" s="26">
        <v>270910</v>
      </c>
    </row>
    <row r="25" spans="1:10" x14ac:dyDescent="0.55000000000000004">
      <c r="A25" s="22" t="s">
        <v>27</v>
      </c>
      <c r="B25" s="23">
        <v>1000</v>
      </c>
      <c r="C25" s="21"/>
      <c r="D25" s="21"/>
      <c r="E25" s="25">
        <f t="shared" si="0"/>
        <v>15000</v>
      </c>
      <c r="F25" s="26">
        <v>450000</v>
      </c>
      <c r="G25" s="26">
        <v>205350</v>
      </c>
      <c r="H25" s="26">
        <v>244650</v>
      </c>
      <c r="I25" s="26">
        <v>165400</v>
      </c>
      <c r="J25" s="26">
        <v>284600</v>
      </c>
    </row>
    <row r="26" spans="1:10" x14ac:dyDescent="0.55000000000000004">
      <c r="A26" s="21"/>
      <c r="B26" s="21"/>
      <c r="C26" s="21"/>
      <c r="D26" s="21"/>
      <c r="E26" s="25">
        <f t="shared" si="0"/>
        <v>16000</v>
      </c>
      <c r="F26" s="26">
        <v>480000</v>
      </c>
      <c r="G26" s="26">
        <v>219040</v>
      </c>
      <c r="H26" s="26">
        <v>260960</v>
      </c>
      <c r="I26" s="26">
        <v>181710</v>
      </c>
      <c r="J26" s="26">
        <v>298290</v>
      </c>
    </row>
    <row r="27" spans="1:10" x14ac:dyDescent="0.55000000000000004">
      <c r="A27" s="21"/>
      <c r="B27" s="21"/>
      <c r="C27" s="21"/>
      <c r="D27" s="21"/>
      <c r="E27" s="25">
        <f t="shared" si="0"/>
        <v>17000</v>
      </c>
      <c r="F27" s="26">
        <v>510000</v>
      </c>
      <c r="G27" s="26">
        <v>232730</v>
      </c>
      <c r="H27" s="26">
        <v>277270</v>
      </c>
      <c r="I27" s="26">
        <v>198020</v>
      </c>
      <c r="J27" s="26">
        <v>311980</v>
      </c>
    </row>
    <row r="28" spans="1:10" x14ac:dyDescent="0.55000000000000004">
      <c r="A28" s="21"/>
      <c r="B28" s="21"/>
      <c r="C28" s="21"/>
      <c r="D28" s="21"/>
      <c r="E28" s="25">
        <f t="shared" si="0"/>
        <v>18000</v>
      </c>
      <c r="F28" s="26">
        <v>540000</v>
      </c>
      <c r="G28" s="26">
        <v>246420</v>
      </c>
      <c r="H28" s="26">
        <v>293580</v>
      </c>
      <c r="I28" s="26">
        <v>214330</v>
      </c>
      <c r="J28" s="26">
        <v>325670</v>
      </c>
    </row>
    <row r="29" spans="1:10" x14ac:dyDescent="0.55000000000000004">
      <c r="E29" s="25">
        <f t="shared" si="0"/>
        <v>19000</v>
      </c>
      <c r="F29" s="26">
        <v>570000</v>
      </c>
      <c r="G29" s="26">
        <v>260110</v>
      </c>
      <c r="H29" s="26">
        <v>309890</v>
      </c>
      <c r="I29" s="26">
        <v>230640</v>
      </c>
      <c r="J29" s="26">
        <v>339360</v>
      </c>
    </row>
  </sheetData>
  <mergeCells count="1">
    <mergeCell ref="A1:B2"/>
  </mergeCells>
  <conditionalFormatting sqref="E9:J29">
    <cfRule type="expression" dxfId="3" priority="1">
      <formula>$D9=$B$23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29"/>
  <sheetViews>
    <sheetView zoomScaleNormal="100" workbookViewId="0">
      <selection activeCell="F8" sqref="F8"/>
    </sheetView>
  </sheetViews>
  <sheetFormatPr defaultRowHeight="14.4" x14ac:dyDescent="0.55000000000000004"/>
  <cols>
    <col min="1" max="1" width="3.68359375" bestFit="1" customWidth="1"/>
    <col min="2" max="2" width="25.26171875" bestFit="1" customWidth="1"/>
    <col min="3" max="3" width="19.26171875" customWidth="1"/>
    <col min="4" max="4" width="21.41796875" customWidth="1"/>
    <col min="5" max="5" width="23.15625" customWidth="1"/>
    <col min="6" max="7" width="16.15625" bestFit="1" customWidth="1"/>
    <col min="9" max="9" width="11.15625" bestFit="1" customWidth="1"/>
  </cols>
  <sheetData>
    <row r="1" spans="1:3" x14ac:dyDescent="0.55000000000000004">
      <c r="A1" s="68" t="s">
        <v>34</v>
      </c>
      <c r="B1" s="72"/>
      <c r="C1" s="69"/>
    </row>
    <row r="2" spans="1:3" ht="14.7" thickBot="1" x14ac:dyDescent="0.6">
      <c r="A2" s="70"/>
      <c r="B2" s="73"/>
      <c r="C2" s="71"/>
    </row>
    <row r="4" spans="1:3" x14ac:dyDescent="0.55000000000000004">
      <c r="B4" s="1" t="s">
        <v>0</v>
      </c>
      <c r="C4" s="44">
        <v>500000</v>
      </c>
    </row>
    <row r="5" spans="1:3" x14ac:dyDescent="0.55000000000000004">
      <c r="B5" s="1" t="s">
        <v>1</v>
      </c>
      <c r="C5" s="44">
        <v>25000</v>
      </c>
    </row>
    <row r="6" spans="1:3" x14ac:dyDescent="0.55000000000000004">
      <c r="B6" s="1" t="s">
        <v>2</v>
      </c>
      <c r="C6" s="45">
        <f>C4-C5</f>
        <v>475000</v>
      </c>
    </row>
    <row r="7" spans="1:3" x14ac:dyDescent="0.55000000000000004">
      <c r="B7" s="1" t="s">
        <v>3</v>
      </c>
      <c r="C7" s="4">
        <v>0.1</v>
      </c>
    </row>
    <row r="8" spans="1:3" x14ac:dyDescent="0.55000000000000004">
      <c r="B8" s="1" t="s">
        <v>4</v>
      </c>
      <c r="C8" s="5">
        <f>C7/12</f>
        <v>8.3333333333333332E-3</v>
      </c>
    </row>
    <row r="9" spans="1:3" x14ac:dyDescent="0.55000000000000004">
      <c r="B9" s="1" t="s">
        <v>5</v>
      </c>
      <c r="C9" s="1">
        <v>25</v>
      </c>
    </row>
    <row r="10" spans="1:3" x14ac:dyDescent="0.55000000000000004">
      <c r="B10" s="1" t="s">
        <v>6</v>
      </c>
      <c r="C10" s="6">
        <f>C9*12</f>
        <v>300</v>
      </c>
    </row>
    <row r="11" spans="1:3" x14ac:dyDescent="0.55000000000000004">
      <c r="B11" s="1" t="s">
        <v>7</v>
      </c>
      <c r="C11" s="3">
        <f>PMT(C8,C10,C6,,)</f>
        <v>-4316.3285413152871</v>
      </c>
    </row>
    <row r="12" spans="1:3" x14ac:dyDescent="0.55000000000000004">
      <c r="B12" s="1" t="s">
        <v>30</v>
      </c>
      <c r="C12" s="1">
        <v>60</v>
      </c>
    </row>
    <row r="13" spans="1:3" x14ac:dyDescent="0.55000000000000004">
      <c r="B13" s="1" t="s">
        <v>31</v>
      </c>
      <c r="C13" s="1">
        <v>60</v>
      </c>
    </row>
    <row r="14" spans="1:3" x14ac:dyDescent="0.55000000000000004">
      <c r="B14" s="1" t="s">
        <v>8</v>
      </c>
      <c r="C14" s="8">
        <v>0.05</v>
      </c>
    </row>
    <row r="15" spans="1:3" x14ac:dyDescent="0.55000000000000004">
      <c r="B15" s="1" t="s">
        <v>9</v>
      </c>
      <c r="C15" s="8">
        <v>0.01</v>
      </c>
    </row>
    <row r="17" spans="2:9" x14ac:dyDescent="0.55000000000000004">
      <c r="C17" s="9" t="s">
        <v>32</v>
      </c>
      <c r="D17" s="9"/>
      <c r="E17" s="9"/>
      <c r="F17" s="9"/>
      <c r="G17" s="9"/>
    </row>
    <row r="18" spans="2:9" x14ac:dyDescent="0.55000000000000004">
      <c r="B18" s="34" t="s">
        <v>33</v>
      </c>
      <c r="C18" s="35">
        <f>-C11</f>
        <v>4316.3285413152871</v>
      </c>
      <c r="D18" s="74">
        <f>C12</f>
        <v>60</v>
      </c>
      <c r="E18" s="74">
        <f>D18+$C$13</f>
        <v>120</v>
      </c>
      <c r="F18" s="74">
        <f t="shared" ref="F18:G18" si="0">E18+$C$13</f>
        <v>180</v>
      </c>
      <c r="G18" s="74">
        <f t="shared" si="0"/>
        <v>240</v>
      </c>
    </row>
    <row r="19" spans="2:9" x14ac:dyDescent="0.55000000000000004">
      <c r="C19" s="47">
        <f>C14</f>
        <v>0.05</v>
      </c>
      <c r="D19" s="16">
        <f t="dataTable" ref="D19:G26" dt2D="1" dtr="1" r1="C10" r2="C7"/>
        <v>8963.8359809051944</v>
      </c>
      <c r="E19" s="46">
        <v>5038.1119738560728</v>
      </c>
      <c r="F19" s="16">
        <v>3756.2697270223366</v>
      </c>
      <c r="G19" s="16">
        <v>3134.7897612791226</v>
      </c>
      <c r="I19" s="36"/>
    </row>
    <row r="20" spans="2:9" x14ac:dyDescent="0.55000000000000004">
      <c r="C20" s="47">
        <f>C19+$C$15</f>
        <v>6.0000000000000005E-2</v>
      </c>
      <c r="D20" s="16">
        <v>9183.0807264782597</v>
      </c>
      <c r="E20" s="46">
        <v>5273.4738422283481</v>
      </c>
      <c r="F20" s="16">
        <v>4008.3199332301438</v>
      </c>
      <c r="G20" s="46">
        <v>3403.0475277712831</v>
      </c>
    </row>
    <row r="21" spans="2:9" x14ac:dyDescent="0.55000000000000004">
      <c r="C21" s="47">
        <f t="shared" ref="C21:C26" si="1">C20+$C$15</f>
        <v>7.0000000000000007E-2</v>
      </c>
      <c r="D21" s="16">
        <v>9405.5693066660297</v>
      </c>
      <c r="E21" s="46">
        <v>5515.1527628846434</v>
      </c>
      <c r="F21" s="16">
        <v>4269.434286549028</v>
      </c>
      <c r="G21" s="46">
        <v>3682.6699441896544</v>
      </c>
    </row>
    <row r="22" spans="2:9" x14ac:dyDescent="0.55000000000000004">
      <c r="C22" s="47">
        <f t="shared" si="1"/>
        <v>0.08</v>
      </c>
      <c r="D22" s="16">
        <v>9631.2872869964976</v>
      </c>
      <c r="E22" s="46">
        <v>5763.0607318794537</v>
      </c>
      <c r="F22" s="16">
        <v>4539.3474005691696</v>
      </c>
      <c r="G22" s="46">
        <v>3973.0903277189482</v>
      </c>
    </row>
    <row r="23" spans="2:9" x14ac:dyDescent="0.55000000000000004">
      <c r="C23" s="47">
        <f t="shared" si="1"/>
        <v>0.09</v>
      </c>
      <c r="D23" s="16">
        <v>9860.218732518153</v>
      </c>
      <c r="E23" s="46">
        <v>6017.0992531368502</v>
      </c>
      <c r="F23" s="16">
        <v>4817.766274768479</v>
      </c>
      <c r="G23" s="46">
        <v>4273.6982902883219</v>
      </c>
    </row>
    <row r="24" spans="2:9" x14ac:dyDescent="0.55000000000000004">
      <c r="C24" s="47">
        <f t="shared" si="1"/>
        <v>9.9999999999999992E-2</v>
      </c>
      <c r="D24" s="16">
        <v>10092.346237852431</v>
      </c>
      <c r="E24" s="46">
        <v>6277.1600018836789</v>
      </c>
      <c r="F24" s="16">
        <v>5104.374309113552</v>
      </c>
      <c r="G24" s="46">
        <v>4583.8528141015377</v>
      </c>
    </row>
    <row r="25" spans="2:9" x14ac:dyDescent="0.55000000000000004">
      <c r="C25" s="47">
        <f t="shared" si="1"/>
        <v>0.10999999999999999</v>
      </c>
      <c r="D25" s="16">
        <v>10327.65095950557</v>
      </c>
      <c r="E25" s="46">
        <v>6543.1255363663176</v>
      </c>
      <c r="F25" s="16">
        <v>5398.8354391414205</v>
      </c>
      <c r="G25" s="46">
        <v>4902.8948637862686</v>
      </c>
    </row>
    <row r="26" spans="2:9" x14ac:dyDescent="0.55000000000000004">
      <c r="C26" s="47">
        <f t="shared" si="1"/>
        <v>0.11999999999999998</v>
      </c>
      <c r="D26" s="16">
        <v>10566.112650328339</v>
      </c>
      <c r="E26" s="46">
        <v>6814.8700491228992</v>
      </c>
      <c r="F26" s="16">
        <v>5700.7982949346888</v>
      </c>
      <c r="G26" s="46">
        <v>5230.1591344556464</v>
      </c>
    </row>
    <row r="29" spans="2:9" x14ac:dyDescent="0.55000000000000004">
      <c r="B29" s="34"/>
    </row>
  </sheetData>
  <mergeCells count="1">
    <mergeCell ref="A1:C2"/>
  </mergeCells>
  <conditionalFormatting sqref="B4:B15">
    <cfRule type="expression" dxfId="2" priority="5">
      <formula>MOD(ROW(),2)=0</formula>
    </cfRule>
    <cfRule type="expression" dxfId="1" priority="6">
      <formula>MOD(ROW(),2)</formula>
    </cfRule>
  </conditionalFormatting>
  <conditionalFormatting sqref="D19:G26">
    <cfRule type="expression" dxfId="0" priority="4">
      <formula>D19=$B$8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34"/>
  <sheetViews>
    <sheetView topLeftCell="A4" workbookViewId="0">
      <selection activeCell="C27" sqref="C27"/>
    </sheetView>
  </sheetViews>
  <sheetFormatPr defaultRowHeight="14.4" x14ac:dyDescent="0.55000000000000004"/>
  <cols>
    <col min="1" max="1" width="35.26171875" bestFit="1" customWidth="1"/>
    <col min="7" max="7" width="29.41796875" bestFit="1" customWidth="1"/>
  </cols>
  <sheetData>
    <row r="3" spans="1:4" x14ac:dyDescent="0.55000000000000004">
      <c r="A3" s="54" t="s">
        <v>62</v>
      </c>
    </row>
    <row r="6" spans="1:4" x14ac:dyDescent="0.55000000000000004">
      <c r="A6" s="48" t="s">
        <v>52</v>
      </c>
      <c r="B6" s="1">
        <v>6</v>
      </c>
    </row>
    <row r="7" spans="1:4" x14ac:dyDescent="0.55000000000000004">
      <c r="A7" s="48" t="s">
        <v>53</v>
      </c>
      <c r="B7" s="1">
        <v>5</v>
      </c>
    </row>
    <row r="8" spans="1:4" x14ac:dyDescent="0.55000000000000004">
      <c r="A8" s="48" t="s">
        <v>54</v>
      </c>
      <c r="B8" s="1">
        <v>7</v>
      </c>
    </row>
    <row r="9" spans="1:4" x14ac:dyDescent="0.55000000000000004">
      <c r="A9" s="48" t="s">
        <v>55</v>
      </c>
      <c r="B9" s="1">
        <v>8.3000000000000007</v>
      </c>
    </row>
    <row r="10" spans="1:4" x14ac:dyDescent="0.55000000000000004">
      <c r="A10" s="48" t="s">
        <v>56</v>
      </c>
      <c r="B10" s="1">
        <v>6.7</v>
      </c>
    </row>
    <row r="11" spans="1:4" x14ac:dyDescent="0.55000000000000004">
      <c r="A11" s="48" t="s">
        <v>57</v>
      </c>
      <c r="B11" s="1">
        <v>9.1</v>
      </c>
    </row>
    <row r="12" spans="1:4" x14ac:dyDescent="0.55000000000000004">
      <c r="A12" s="48" t="s">
        <v>58</v>
      </c>
      <c r="B12" s="1">
        <v>6.5</v>
      </c>
    </row>
    <row r="13" spans="1:4" x14ac:dyDescent="0.55000000000000004">
      <c r="A13" s="48" t="s">
        <v>59</v>
      </c>
      <c r="B13" s="49">
        <v>7.3999999999999968</v>
      </c>
      <c r="D13" s="57" t="s">
        <v>71</v>
      </c>
    </row>
    <row r="14" spans="1:4" x14ac:dyDescent="0.55000000000000004">
      <c r="D14" s="57"/>
    </row>
    <row r="15" spans="1:4" x14ac:dyDescent="0.55000000000000004">
      <c r="A15" s="50" t="s">
        <v>61</v>
      </c>
      <c r="B15" s="51">
        <f>AVERAGE(B6:B13)</f>
        <v>7</v>
      </c>
    </row>
    <row r="16" spans="1:4" ht="20.399999999999999" x14ac:dyDescent="0.75">
      <c r="A16" s="52" t="s">
        <v>60</v>
      </c>
      <c r="B16" s="53">
        <v>7</v>
      </c>
    </row>
    <row r="21" spans="1:2" x14ac:dyDescent="0.55000000000000004">
      <c r="A21" s="54" t="s">
        <v>63</v>
      </c>
    </row>
    <row r="24" spans="1:2" x14ac:dyDescent="0.55000000000000004">
      <c r="A24" s="48" t="s">
        <v>64</v>
      </c>
      <c r="B24" s="1">
        <v>6</v>
      </c>
    </row>
    <row r="25" spans="1:2" x14ac:dyDescent="0.55000000000000004">
      <c r="A25" s="48" t="s">
        <v>65</v>
      </c>
      <c r="B25" s="1">
        <v>10</v>
      </c>
    </row>
    <row r="26" spans="1:2" x14ac:dyDescent="0.55000000000000004">
      <c r="A26" s="48" t="s">
        <v>66</v>
      </c>
      <c r="B26" s="1">
        <v>10</v>
      </c>
    </row>
    <row r="27" spans="1:2" x14ac:dyDescent="0.55000000000000004">
      <c r="A27" s="48" t="s">
        <v>70</v>
      </c>
      <c r="B27" s="55">
        <v>0</v>
      </c>
    </row>
    <row r="29" spans="1:2" x14ac:dyDescent="0.55000000000000004">
      <c r="A29" s="50" t="s">
        <v>67</v>
      </c>
      <c r="B29" s="56">
        <v>0.75</v>
      </c>
    </row>
    <row r="30" spans="1:2" ht="20.399999999999999" x14ac:dyDescent="0.75">
      <c r="A30" s="50" t="s">
        <v>68</v>
      </c>
      <c r="B30" s="58">
        <f>(B24+B27)/(B25+B26)</f>
        <v>0.3</v>
      </c>
    </row>
    <row r="33" spans="1:2" x14ac:dyDescent="0.55000000000000004">
      <c r="A33" s="50" t="s">
        <v>70</v>
      </c>
      <c r="B33" s="55">
        <f>ROUNDUP(B27,0)</f>
        <v>0</v>
      </c>
    </row>
    <row r="34" spans="1:2" ht="20.399999999999999" x14ac:dyDescent="0.75">
      <c r="A34" s="50" t="s">
        <v>69</v>
      </c>
      <c r="B34" s="58">
        <f>(B24+B33)/(B25+B26)</f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F22D-80A9-4C19-B916-E0E612A8E642}">
  <sheetPr>
    <outlinePr summaryBelow="0"/>
  </sheetPr>
  <dimension ref="B1:G15"/>
  <sheetViews>
    <sheetView showGridLines="0" tabSelected="1" workbookViewId="0">
      <selection activeCell="D7" sqref="D7"/>
    </sheetView>
  </sheetViews>
  <sheetFormatPr defaultRowHeight="14.4" outlineLevelRow="1" outlineLevelCol="1" x14ac:dyDescent="0.55000000000000004"/>
  <cols>
    <col min="3" max="3" width="6.3671875" bestFit="1" customWidth="1"/>
    <col min="4" max="7" width="11.62890625" bestFit="1" customWidth="1" outlineLevel="1"/>
  </cols>
  <sheetData>
    <row r="1" spans="2:7" ht="14.7" thickBot="1" x14ac:dyDescent="0.6"/>
    <row r="2" spans="2:7" ht="15.6" x14ac:dyDescent="0.6">
      <c r="B2" s="76" t="s">
        <v>77</v>
      </c>
      <c r="C2" s="76"/>
      <c r="D2" s="62"/>
      <c r="E2" s="62"/>
      <c r="F2" s="62"/>
      <c r="G2" s="62"/>
    </row>
    <row r="3" spans="2:7" ht="15.6" collapsed="1" x14ac:dyDescent="0.6">
      <c r="B3" s="75"/>
      <c r="C3" s="75"/>
      <c r="D3" s="63" t="s">
        <v>79</v>
      </c>
      <c r="E3" s="63" t="s">
        <v>88</v>
      </c>
      <c r="F3" s="63" t="s">
        <v>90</v>
      </c>
      <c r="G3" s="63" t="s">
        <v>92</v>
      </c>
    </row>
    <row r="4" spans="2:7" ht="84" hidden="1" outlineLevel="1" x14ac:dyDescent="0.55000000000000004">
      <c r="B4" s="77"/>
      <c r="C4" s="77"/>
      <c r="D4" s="59"/>
      <c r="E4" s="65" t="s">
        <v>89</v>
      </c>
      <c r="F4" s="65" t="s">
        <v>91</v>
      </c>
      <c r="G4" s="65" t="s">
        <v>91</v>
      </c>
    </row>
    <row r="5" spans="2:7" x14ac:dyDescent="0.55000000000000004">
      <c r="B5" s="78" t="s">
        <v>78</v>
      </c>
      <c r="C5" s="78"/>
      <c r="D5" s="61"/>
      <c r="E5" s="61"/>
      <c r="F5" s="61"/>
      <c r="G5" s="61"/>
    </row>
    <row r="6" spans="2:7" outlineLevel="1" x14ac:dyDescent="0.55000000000000004">
      <c r="B6" s="77"/>
      <c r="C6" s="77" t="s">
        <v>72</v>
      </c>
      <c r="D6" s="59">
        <v>0.2</v>
      </c>
      <c r="E6" s="64">
        <v>0.2</v>
      </c>
      <c r="F6" s="64">
        <v>0.2</v>
      </c>
      <c r="G6" s="64">
        <v>0.15</v>
      </c>
    </row>
    <row r="7" spans="2:7" outlineLevel="1" x14ac:dyDescent="0.55000000000000004">
      <c r="B7" s="77"/>
      <c r="C7" s="77" t="s">
        <v>73</v>
      </c>
      <c r="D7" s="59">
        <v>0.32</v>
      </c>
      <c r="E7" s="64">
        <v>0.23</v>
      </c>
      <c r="F7" s="64">
        <v>0.32</v>
      </c>
      <c r="G7" s="64">
        <v>0.21</v>
      </c>
    </row>
    <row r="8" spans="2:7" outlineLevel="1" x14ac:dyDescent="0.55000000000000004">
      <c r="B8" s="77"/>
      <c r="C8" s="77" t="s">
        <v>74</v>
      </c>
      <c r="D8" s="59">
        <v>0.21</v>
      </c>
      <c r="E8" s="64">
        <v>0.05</v>
      </c>
      <c r="F8" s="64">
        <v>0.21</v>
      </c>
      <c r="G8" s="64">
        <v>0.12</v>
      </c>
    </row>
    <row r="9" spans="2:7" outlineLevel="1" x14ac:dyDescent="0.55000000000000004">
      <c r="B9" s="77"/>
      <c r="C9" s="77" t="s">
        <v>75</v>
      </c>
      <c r="D9" s="59">
        <v>0.3</v>
      </c>
      <c r="E9" s="64">
        <v>7.0000000000000007E-2</v>
      </c>
      <c r="F9" s="64">
        <v>0.3</v>
      </c>
      <c r="G9" s="64">
        <v>0.11</v>
      </c>
    </row>
    <row r="10" spans="2:7" outlineLevel="1" x14ac:dyDescent="0.55000000000000004">
      <c r="B10" s="77"/>
      <c r="C10" s="77" t="s">
        <v>76</v>
      </c>
      <c r="D10" s="59">
        <v>0.1</v>
      </c>
      <c r="E10" s="64">
        <v>4.0000000000000002E-4</v>
      </c>
      <c r="F10" s="64">
        <v>0.1</v>
      </c>
      <c r="G10" s="64">
        <v>7.0000000000000007E-2</v>
      </c>
    </row>
    <row r="11" spans="2:7" x14ac:dyDescent="0.55000000000000004">
      <c r="B11" s="78" t="s">
        <v>80</v>
      </c>
      <c r="C11" s="78"/>
      <c r="D11" s="61"/>
      <c r="E11" s="61"/>
      <c r="F11" s="61"/>
      <c r="G11" s="61"/>
    </row>
    <row r="12" spans="2:7" ht="14.7" outlineLevel="1" thickBot="1" x14ac:dyDescent="0.6">
      <c r="B12" s="79"/>
      <c r="C12" s="79" t="s">
        <v>87</v>
      </c>
      <c r="D12" s="60">
        <v>1817.10774784</v>
      </c>
      <c r="E12" s="60">
        <v>16862.759899955199</v>
      </c>
      <c r="F12" s="60">
        <v>1817.10774784</v>
      </c>
      <c r="G12" s="60">
        <v>9948.8219366458397</v>
      </c>
    </row>
    <row r="13" spans="2:7" x14ac:dyDescent="0.55000000000000004">
      <c r="B13" t="s">
        <v>81</v>
      </c>
    </row>
    <row r="14" spans="2:7" x14ac:dyDescent="0.55000000000000004">
      <c r="B14" t="s">
        <v>82</v>
      </c>
    </row>
    <row r="15" spans="2:7" x14ac:dyDescent="0.55000000000000004">
      <c r="B15" t="s">
        <v>83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O19"/>
  <sheetViews>
    <sheetView zoomScale="90" zoomScaleNormal="90" workbookViewId="0">
      <selection activeCell="M15" sqref="M15"/>
    </sheetView>
  </sheetViews>
  <sheetFormatPr defaultRowHeight="14.4" x14ac:dyDescent="0.55000000000000004"/>
  <cols>
    <col min="2" max="2" width="18.83984375" customWidth="1"/>
  </cols>
  <sheetData>
    <row r="5" spans="2:15" x14ac:dyDescent="0.55000000000000004">
      <c r="B5" s="1"/>
      <c r="C5" s="37" t="s">
        <v>35</v>
      </c>
      <c r="D5" s="37" t="s">
        <v>36</v>
      </c>
      <c r="E5" s="37" t="s">
        <v>37</v>
      </c>
      <c r="F5" s="37" t="s">
        <v>38</v>
      </c>
      <c r="G5" s="37" t="s">
        <v>39</v>
      </c>
      <c r="H5" s="37" t="s">
        <v>40</v>
      </c>
      <c r="I5" s="37" t="s">
        <v>41</v>
      </c>
      <c r="J5" s="37" t="s">
        <v>42</v>
      </c>
      <c r="K5" s="37" t="s">
        <v>43</v>
      </c>
      <c r="L5" s="37" t="s">
        <v>44</v>
      </c>
      <c r="M5" s="38" t="s">
        <v>45</v>
      </c>
    </row>
    <row r="6" spans="2:15" x14ac:dyDescent="0.55000000000000004">
      <c r="B6" s="37" t="s">
        <v>14</v>
      </c>
      <c r="C6" s="39">
        <f>C14</f>
        <v>1000</v>
      </c>
      <c r="D6" s="39">
        <f>C6*(1+$C$15)</f>
        <v>1200</v>
      </c>
      <c r="E6" s="39">
        <f t="shared" ref="E6:L6" si="0">D6*(1+$C$15)</f>
        <v>1440</v>
      </c>
      <c r="F6" s="39">
        <f t="shared" si="0"/>
        <v>1728</v>
      </c>
      <c r="G6" s="39">
        <f t="shared" si="0"/>
        <v>2073.6</v>
      </c>
      <c r="H6" s="39">
        <f t="shared" si="0"/>
        <v>2488.3199999999997</v>
      </c>
      <c r="I6" s="39">
        <f t="shared" si="0"/>
        <v>2985.9839999999995</v>
      </c>
      <c r="J6" s="39">
        <f t="shared" si="0"/>
        <v>3583.1807999999992</v>
      </c>
      <c r="K6" s="39">
        <f t="shared" si="0"/>
        <v>4299.8169599999992</v>
      </c>
      <c r="L6" s="39">
        <f t="shared" si="0"/>
        <v>5159.7803519999989</v>
      </c>
      <c r="M6" s="40">
        <f>SUM(C6:L6)</f>
        <v>25958.682111999995</v>
      </c>
      <c r="O6" s="57" t="s">
        <v>84</v>
      </c>
    </row>
    <row r="7" spans="2:15" x14ac:dyDescent="0.55000000000000004">
      <c r="B7" s="41" t="str">
        <f>B16</f>
        <v>Expense Group 1</v>
      </c>
      <c r="C7" s="39">
        <f>C$6*$C16</f>
        <v>320</v>
      </c>
      <c r="D7" s="39">
        <f t="shared" ref="D7:M10" si="1">D$6*$C16</f>
        <v>384</v>
      </c>
      <c r="E7" s="39">
        <f t="shared" si="1"/>
        <v>460.8</v>
      </c>
      <c r="F7" s="39">
        <f t="shared" si="1"/>
        <v>552.96</v>
      </c>
      <c r="G7" s="39">
        <f t="shared" si="1"/>
        <v>663.55200000000002</v>
      </c>
      <c r="H7" s="39">
        <f t="shared" si="1"/>
        <v>796.26239999999996</v>
      </c>
      <c r="I7" s="39">
        <f t="shared" si="1"/>
        <v>955.51487999999983</v>
      </c>
      <c r="J7" s="39">
        <f t="shared" si="1"/>
        <v>1146.6178559999998</v>
      </c>
      <c r="K7" s="39">
        <f t="shared" si="1"/>
        <v>1375.9414271999997</v>
      </c>
      <c r="L7" s="39">
        <f t="shared" si="1"/>
        <v>1651.1297126399998</v>
      </c>
      <c r="M7" s="39">
        <f t="shared" si="1"/>
        <v>8306.778275839999</v>
      </c>
    </row>
    <row r="8" spans="2:15" x14ac:dyDescent="0.55000000000000004">
      <c r="B8" s="41" t="str">
        <f>B17</f>
        <v>Expense Group 2</v>
      </c>
      <c r="C8" s="39">
        <f t="shared" ref="C8:L10" si="2">C$6*$C17</f>
        <v>210</v>
      </c>
      <c r="D8" s="39">
        <f t="shared" si="2"/>
        <v>252</v>
      </c>
      <c r="E8" s="39">
        <f t="shared" si="2"/>
        <v>302.39999999999998</v>
      </c>
      <c r="F8" s="39">
        <f t="shared" si="2"/>
        <v>362.88</v>
      </c>
      <c r="G8" s="39">
        <f t="shared" si="2"/>
        <v>435.45599999999996</v>
      </c>
      <c r="H8" s="39">
        <f t="shared" si="2"/>
        <v>522.54719999999998</v>
      </c>
      <c r="I8" s="39">
        <f t="shared" si="2"/>
        <v>627.0566399999999</v>
      </c>
      <c r="J8" s="39">
        <f t="shared" si="2"/>
        <v>752.46796799999981</v>
      </c>
      <c r="K8" s="39">
        <f t="shared" si="2"/>
        <v>902.96156159999975</v>
      </c>
      <c r="L8" s="39">
        <f t="shared" si="2"/>
        <v>1083.5538739199997</v>
      </c>
      <c r="M8" s="39">
        <f t="shared" si="1"/>
        <v>5451.3232435199989</v>
      </c>
    </row>
    <row r="9" spans="2:15" x14ac:dyDescent="0.55000000000000004">
      <c r="B9" s="41" t="str">
        <f>B18</f>
        <v>Expense Group 3</v>
      </c>
      <c r="C9" s="39">
        <f t="shared" si="2"/>
        <v>300</v>
      </c>
      <c r="D9" s="39">
        <f t="shared" si="2"/>
        <v>360</v>
      </c>
      <c r="E9" s="39">
        <f t="shared" si="2"/>
        <v>432</v>
      </c>
      <c r="F9" s="39">
        <f t="shared" si="2"/>
        <v>518.4</v>
      </c>
      <c r="G9" s="39">
        <f t="shared" si="2"/>
        <v>622.07999999999993</v>
      </c>
      <c r="H9" s="39">
        <f t="shared" si="2"/>
        <v>746.49599999999987</v>
      </c>
      <c r="I9" s="39">
        <f t="shared" si="2"/>
        <v>895.7951999999998</v>
      </c>
      <c r="J9" s="39">
        <f t="shared" si="2"/>
        <v>1074.9542399999998</v>
      </c>
      <c r="K9" s="39">
        <f t="shared" si="2"/>
        <v>1289.9450879999997</v>
      </c>
      <c r="L9" s="39">
        <f t="shared" si="2"/>
        <v>1547.9341055999996</v>
      </c>
      <c r="M9" s="39">
        <f t="shared" si="1"/>
        <v>7787.6046335999981</v>
      </c>
    </row>
    <row r="10" spans="2:15" x14ac:dyDescent="0.55000000000000004">
      <c r="B10" s="41" t="str">
        <f>B19</f>
        <v>Expense Group 4</v>
      </c>
      <c r="C10" s="39">
        <f t="shared" si="2"/>
        <v>100</v>
      </c>
      <c r="D10" s="39">
        <f t="shared" si="2"/>
        <v>120</v>
      </c>
      <c r="E10" s="39">
        <f t="shared" si="2"/>
        <v>144</v>
      </c>
      <c r="F10" s="39">
        <f t="shared" si="2"/>
        <v>172.8</v>
      </c>
      <c r="G10" s="39">
        <f t="shared" si="2"/>
        <v>207.36</v>
      </c>
      <c r="H10" s="39">
        <f t="shared" si="2"/>
        <v>248.83199999999999</v>
      </c>
      <c r="I10" s="39">
        <f t="shared" si="2"/>
        <v>298.59839999999997</v>
      </c>
      <c r="J10" s="39">
        <f t="shared" si="2"/>
        <v>358.31807999999995</v>
      </c>
      <c r="K10" s="39">
        <f t="shared" si="2"/>
        <v>429.98169599999994</v>
      </c>
      <c r="L10" s="39">
        <f t="shared" si="2"/>
        <v>515.97803519999991</v>
      </c>
      <c r="M10" s="39">
        <f t="shared" si="1"/>
        <v>2595.8682111999997</v>
      </c>
    </row>
    <row r="11" spans="2:15" x14ac:dyDescent="0.55000000000000004">
      <c r="B11" s="37" t="s">
        <v>17</v>
      </c>
      <c r="C11" s="66">
        <f>C6-SUM(C7:C10)</f>
        <v>70</v>
      </c>
      <c r="D11" s="66">
        <f t="shared" ref="D11:M11" si="3">D6-SUM(D7:D10)</f>
        <v>84</v>
      </c>
      <c r="E11" s="66">
        <f t="shared" si="3"/>
        <v>100.79999999999995</v>
      </c>
      <c r="F11" s="66">
        <f t="shared" si="3"/>
        <v>120.96000000000004</v>
      </c>
      <c r="G11" s="66">
        <f t="shared" si="3"/>
        <v>145.15200000000004</v>
      </c>
      <c r="H11" s="66">
        <f t="shared" si="3"/>
        <v>174.18240000000014</v>
      </c>
      <c r="I11" s="66">
        <f t="shared" si="3"/>
        <v>209.01888000000008</v>
      </c>
      <c r="J11" s="66">
        <f t="shared" si="3"/>
        <v>250.82265599999937</v>
      </c>
      <c r="K11" s="66">
        <f t="shared" si="3"/>
        <v>300.98718720000033</v>
      </c>
      <c r="L11" s="66">
        <f t="shared" si="3"/>
        <v>361.18462464000004</v>
      </c>
      <c r="M11" s="66">
        <f t="shared" si="3"/>
        <v>1817.1077478400002</v>
      </c>
    </row>
    <row r="13" spans="2:15" x14ac:dyDescent="0.55000000000000004">
      <c r="B13" s="42" t="s">
        <v>22</v>
      </c>
      <c r="C13" s="42"/>
    </row>
    <row r="14" spans="2:15" x14ac:dyDescent="0.55000000000000004">
      <c r="B14" s="43" t="s">
        <v>46</v>
      </c>
      <c r="C14" s="1">
        <v>1000</v>
      </c>
    </row>
    <row r="15" spans="2:15" x14ac:dyDescent="0.55000000000000004">
      <c r="B15" s="43" t="s">
        <v>47</v>
      </c>
      <c r="C15" s="1">
        <v>0.2</v>
      </c>
    </row>
    <row r="16" spans="2:15" x14ac:dyDescent="0.55000000000000004">
      <c r="B16" s="41" t="s">
        <v>48</v>
      </c>
      <c r="C16" s="1">
        <v>0.32</v>
      </c>
    </row>
    <row r="17" spans="2:3" x14ac:dyDescent="0.55000000000000004">
      <c r="B17" s="41" t="s">
        <v>49</v>
      </c>
      <c r="C17" s="1">
        <v>0.21</v>
      </c>
    </row>
    <row r="18" spans="2:3" x14ac:dyDescent="0.55000000000000004">
      <c r="B18" s="41" t="s">
        <v>50</v>
      </c>
      <c r="C18" s="1">
        <v>0.3</v>
      </c>
    </row>
    <row r="19" spans="2:3" x14ac:dyDescent="0.55000000000000004">
      <c r="B19" s="41" t="s">
        <v>51</v>
      </c>
      <c r="C19" s="1">
        <v>0.1</v>
      </c>
    </row>
  </sheetData>
  <scenarios current="1" show="1" sqref="M11">
    <scenario name="Good" locked="1" count="5" user="Author" comment="Created by Author on 4/25/2017_x000a_Modified by Author on 4/25/2017_x000a_Modified by Author on 15-02-2019">
      <inputCells r="C15" val="0.2"/>
      <inputCells r="C16" val="0.23"/>
      <inputCells r="C17" val="0.05"/>
      <inputCells r="C18" val="0.07"/>
      <inputCells r="C19" val="0.0004"/>
    </scenario>
    <scenario name="Bad" locked="1" count="5" user="Author" comment="Created by Author on 4/25/2017">
      <inputCells r="C15" val="0.2"/>
      <inputCells r="C16" val="0.32"/>
      <inputCells r="C17" val="0.21"/>
      <inputCells r="C18" val="0.3"/>
      <inputCells r="C19" val="0.1"/>
    </scenario>
    <scenario name="Average" locked="1" count="5" user="Author" comment="Created by Author on 4/25/2017">
      <inputCells r="C15" val="0.15"/>
      <inputCells r="C16" val="0.21"/>
      <inputCells r="C17" val="0.12"/>
      <inputCells r="C18" val="0.11"/>
      <inputCells r="C19" val="0.07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T1</vt:lpstr>
      <vt:lpstr>Data T2</vt:lpstr>
      <vt:lpstr>Data T3</vt:lpstr>
      <vt:lpstr>Goal Seek</vt:lpstr>
      <vt:lpstr>Scenario Summary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2019-02-18T03:21:50Z</dcterms:modified>
</cp:coreProperties>
</file>