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bir\College Work\Semester 4\CCC 806\Workbooks\"/>
    </mc:Choice>
  </mc:AlternateContent>
  <xr:revisionPtr revIDLastSave="0" documentId="13_ncr:1_{39422180-A4A9-48BF-9199-F2B27B5B98DB}" xr6:coauthVersionLast="40" xr6:coauthVersionMax="40" xr10:uidLastSave="{00000000-0000-0000-0000-000000000000}"/>
  <bookViews>
    <workbookView xWindow="0" yWindow="0" windowWidth="23040" windowHeight="8730" activeTab="8" xr2:uid="{00000000-000D-0000-FFFF-FFFF00000000}"/>
  </bookViews>
  <sheets>
    <sheet name="S(1-5)" sheetId="4" r:id="rId1"/>
    <sheet name="S(6)" sheetId="5" r:id="rId2"/>
    <sheet name="S(7)" sheetId="6" r:id="rId3"/>
    <sheet name="S(8)" sheetId="7" r:id="rId4"/>
    <sheet name="S(9)" sheetId="13" r:id="rId5"/>
    <sheet name="S(11-12" sheetId="12" r:id="rId6"/>
    <sheet name="S(13)" sheetId="10" r:id="rId7"/>
    <sheet name="ST(1)" sheetId="11" r:id="rId8"/>
    <sheet name="ST(2)" sheetId="1" r:id="rId9"/>
    <sheet name="DV" sheetId="14" r:id="rId10"/>
  </sheets>
  <definedNames>
    <definedName name="_xlnm._FilterDatabase" localSheetId="7" hidden="1">'ST(1)'!$C$10:$C$118</definedName>
    <definedName name="ClinicPlus">DV!#REF!</definedName>
    <definedName name="Dove">DV!#REF!</definedName>
    <definedName name="Garnier">DV!#REF!</definedName>
    <definedName name="Products">DV!#REF!</definedName>
    <definedName name="Sunsilk">DV!#REF!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9" i="1" l="1"/>
  <c r="G133" i="1"/>
  <c r="G129" i="1"/>
  <c r="G124" i="1"/>
  <c r="G117" i="1"/>
  <c r="G114" i="1"/>
  <c r="G108" i="1"/>
  <c r="G99" i="1"/>
  <c r="G94" i="1"/>
  <c r="G86" i="1"/>
  <c r="G82" i="1"/>
  <c r="G78" i="1"/>
  <c r="G74" i="1"/>
  <c r="G70" i="1"/>
  <c r="G65" i="1"/>
  <c r="G59" i="1"/>
  <c r="G54" i="1"/>
  <c r="G49" i="1"/>
  <c r="G43" i="1"/>
  <c r="G40" i="1"/>
  <c r="G35" i="1"/>
  <c r="G29" i="1"/>
  <c r="G23" i="1"/>
  <c r="G14" i="1"/>
  <c r="G44" i="1" l="1"/>
  <c r="G140" i="1"/>
  <c r="G109" i="1"/>
  <c r="G75" i="1"/>
  <c r="G119" i="11"/>
  <c r="G94" i="11"/>
  <c r="G66" i="11"/>
  <c r="G41" i="11"/>
  <c r="G120" i="11" s="1"/>
  <c r="G115" i="10"/>
  <c r="G90" i="10"/>
  <c r="G62" i="10"/>
  <c r="G37" i="10"/>
  <c r="G141" i="1" l="1"/>
  <c r="G116" i="10"/>
  <c r="B10" i="13"/>
  <c r="B9" i="13"/>
  <c r="B7" i="13"/>
  <c r="B13" i="13"/>
  <c r="B12" i="13"/>
  <c r="B6" i="13"/>
  <c r="B11" i="13"/>
  <c r="B5" i="13"/>
  <c r="B8" i="13"/>
  <c r="B4" i="13"/>
  <c r="E29" i="14" l="1"/>
  <c r="E28" i="14"/>
  <c r="E27" i="14"/>
  <c r="E26" i="14"/>
  <c r="E25" i="14"/>
  <c r="E24" i="14"/>
  <c r="E23" i="14"/>
  <c r="E22" i="14"/>
  <c r="K6" i="11" l="1"/>
  <c r="K5" i="11"/>
  <c r="K4" i="11"/>
  <c r="K3" i="11"/>
  <c r="B5" i="7"/>
  <c r="B6" i="7"/>
  <c r="B7" i="7"/>
  <c r="B8" i="7"/>
  <c r="B9" i="7"/>
  <c r="B10" i="7"/>
  <c r="B11" i="7"/>
  <c r="B12" i="7"/>
  <c r="B13" i="7"/>
  <c r="C2" i="5"/>
  <c r="C3" i="5"/>
  <c r="C4" i="5"/>
  <c r="A4" i="5"/>
  <c r="C5" i="5" s="1"/>
  <c r="C6" i="5"/>
  <c r="C7" i="5"/>
  <c r="C8" i="5"/>
  <c r="C9" i="5"/>
  <c r="A13" i="5"/>
  <c r="C10" i="5" s="1"/>
  <c r="C11" i="5"/>
  <c r="C12" i="5"/>
  <c r="E12" i="5"/>
  <c r="F12" i="5" s="1"/>
  <c r="C13" i="5"/>
  <c r="E13" i="5"/>
  <c r="F13" i="5" s="1"/>
  <c r="C14" i="5"/>
  <c r="E14" i="5"/>
  <c r="F14" i="5" s="1"/>
  <c r="E15" i="5"/>
  <c r="F15" i="5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/>
  <c r="E168" i="5"/>
  <c r="F168" i="5" s="1"/>
  <c r="E169" i="5"/>
  <c r="F169" i="5" s="1"/>
  <c r="E170" i="5"/>
  <c r="F170" i="5" s="1"/>
  <c r="E171" i="5"/>
  <c r="F171" i="5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/>
  <c r="E184" i="5"/>
  <c r="F184" i="5" s="1"/>
  <c r="E185" i="5"/>
  <c r="F185" i="5" s="1"/>
  <c r="E186" i="5"/>
  <c r="F186" i="5" s="1"/>
  <c r="E187" i="5"/>
  <c r="F187" i="5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/>
  <c r="E200" i="5"/>
  <c r="F200" i="5" s="1"/>
  <c r="E201" i="5"/>
  <c r="F201" i="5" s="1"/>
  <c r="E202" i="5"/>
  <c r="F202" i="5" s="1"/>
  <c r="E203" i="5"/>
  <c r="F203" i="5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/>
  <c r="E216" i="5"/>
  <c r="F216" i="5" s="1"/>
  <c r="E217" i="5"/>
  <c r="F217" i="5" s="1"/>
  <c r="E218" i="5"/>
  <c r="F218" i="5" s="1"/>
  <c r="E219" i="5"/>
  <c r="F219" i="5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/>
  <c r="E232" i="5"/>
  <c r="F232" i="5" s="1"/>
  <c r="E233" i="5"/>
  <c r="F233" i="5" s="1"/>
  <c r="E234" i="5"/>
  <c r="F234" i="5" s="1"/>
  <c r="E235" i="5"/>
  <c r="F235" i="5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/>
  <c r="E244" i="5"/>
  <c r="F244" i="5" s="1"/>
  <c r="E245" i="5"/>
  <c r="F245" i="5" s="1"/>
  <c r="E246" i="5"/>
  <c r="F246" i="5" s="1"/>
  <c r="E247" i="5"/>
  <c r="F247" i="5"/>
  <c r="E248" i="5"/>
  <c r="F248" i="5" s="1"/>
  <c r="E249" i="5"/>
  <c r="F249" i="5" s="1"/>
  <c r="E250" i="5"/>
  <c r="F250" i="5" s="1"/>
  <c r="E251" i="5"/>
  <c r="F251" i="5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/>
  <c r="E260" i="5"/>
  <c r="F260" i="5" s="1"/>
  <c r="E261" i="5"/>
  <c r="F261" i="5" s="1"/>
  <c r="E262" i="5"/>
  <c r="F262" i="5" s="1"/>
  <c r="E263" i="5"/>
  <c r="F263" i="5"/>
  <c r="E264" i="5"/>
  <c r="F264" i="5" s="1"/>
  <c r="E265" i="5"/>
  <c r="F265" i="5" s="1"/>
  <c r="E266" i="5"/>
  <c r="F266" i="5" s="1"/>
</calcChain>
</file>

<file path=xl/sharedStrings.xml><?xml version="1.0" encoding="utf-8"?>
<sst xmlns="http://schemas.openxmlformats.org/spreadsheetml/2006/main" count="1622" uniqueCount="204">
  <si>
    <t>Sort:</t>
  </si>
  <si>
    <t>1) Most sorting is done on a Proper Data Set (field names at top, empty cells all around)</t>
  </si>
  <si>
    <t>2) Click in single cell and use Sort Button: A to Z (Small to Big, Ascending) or Z to A (Big to Small, Descending)</t>
  </si>
  <si>
    <t xml:space="preserve">3) Whole data set is sorted, not just selected column </t>
  </si>
  <si>
    <t>Shift</t>
  </si>
  <si>
    <t>Employee</t>
  </si>
  <si>
    <t>Assembly Time</t>
  </si>
  <si>
    <t xml:space="preserve"> ==&gt;&gt;</t>
  </si>
  <si>
    <t>Region</t>
  </si>
  <si>
    <t>Product</t>
  </si>
  <si>
    <t>Sales</t>
  </si>
  <si>
    <t>East</t>
  </si>
  <si>
    <t>Quad</t>
  </si>
  <si>
    <t>South</t>
  </si>
  <si>
    <t>Bellen</t>
  </si>
  <si>
    <t>West</t>
  </si>
  <si>
    <t>Sunshine</t>
  </si>
  <si>
    <t>MidWest</t>
  </si>
  <si>
    <t>Carlota</t>
  </si>
  <si>
    <t>Sunset</t>
  </si>
  <si>
    <t>5) Sorting can be done on a set that does not have a field name. Be sure to highlight the whole set:</t>
  </si>
  <si>
    <t>rad</t>
  </si>
  <si>
    <t>ASCII number</t>
  </si>
  <si>
    <t>ASCII character</t>
  </si>
  <si>
    <t>#</t>
  </si>
  <si>
    <t>ASCII Characters. Example C = 67 and c = 99.</t>
  </si>
  <si>
    <t>AND</t>
  </si>
  <si>
    <t>Empty Cells (Empty Cells are always sorted to the bottom whether or not you do A to Z or Z to A).</t>
  </si>
  <si>
    <t>)</t>
  </si>
  <si>
    <t>Errors (in the order they occur)</t>
  </si>
  <si>
    <t>*</t>
  </si>
  <si>
    <t>TRUE</t>
  </si>
  <si>
    <t>FALSE</t>
  </si>
  <si>
    <t>Text/words (including Null Text Strings)</t>
  </si>
  <si>
    <t>Numbers</t>
  </si>
  <si>
    <t>Cool</t>
  </si>
  <si>
    <t>6) Sort A to Z (Small to Big, Ascending) Hierarchy:</t>
  </si>
  <si>
    <t>Data</t>
  </si>
  <si>
    <t>City</t>
  </si>
  <si>
    <t>Invoice #</t>
  </si>
  <si>
    <t>7) If there are empty cells highlight whole data set. Empty always goes to bottom (A to Z or Z to A).</t>
  </si>
  <si>
    <t>Jeong Company</t>
  </si>
  <si>
    <t>Haecker Company</t>
  </si>
  <si>
    <t>Rommel Company</t>
  </si>
  <si>
    <t>Yarrington Company</t>
  </si>
  <si>
    <t>Prestwich Company</t>
  </si>
  <si>
    <t>Wootton Company</t>
  </si>
  <si>
    <t>Alameda Company</t>
  </si>
  <si>
    <t>Spafford Company</t>
  </si>
  <si>
    <t>Tarnowski Company</t>
  </si>
  <si>
    <t>Shiroma Company</t>
  </si>
  <si>
    <t>Rana Company</t>
  </si>
  <si>
    <t>Blose Company</t>
  </si>
  <si>
    <t>Farthing Company</t>
  </si>
  <si>
    <t>Grabenstein Company</t>
  </si>
  <si>
    <t>Degen Company</t>
  </si>
  <si>
    <t>Manfre Company</t>
  </si>
  <si>
    <t>Acquaviva Company</t>
  </si>
  <si>
    <t>Master List</t>
  </si>
  <si>
    <t>Is Name In Master List?</t>
  </si>
  <si>
    <t>Prospective Customers</t>
  </si>
  <si>
    <t>8) Errors sort to top if you use Z to A (Descending)</t>
  </si>
  <si>
    <t>Cust10</t>
  </si>
  <si>
    <t>Cust9</t>
  </si>
  <si>
    <t>Cust6</t>
  </si>
  <si>
    <t>Cust4</t>
  </si>
  <si>
    <t>Cust1</t>
  </si>
  <si>
    <t>Cust7</t>
  </si>
  <si>
    <t>Cust3</t>
  </si>
  <si>
    <t>Cust8</t>
  </si>
  <si>
    <t>Cust5</t>
  </si>
  <si>
    <t>Cust2</t>
  </si>
  <si>
    <t>Customer</t>
  </si>
  <si>
    <t>Date</t>
  </si>
  <si>
    <t>12) Sort by color.</t>
  </si>
  <si>
    <t>Sample Data</t>
  </si>
  <si>
    <t>11) Sort Horizontally: Use options button in Sort Dialog Box. Highlight only numbers, not field name.</t>
  </si>
  <si>
    <t>TTT</t>
  </si>
  <si>
    <t>DFR</t>
  </si>
  <si>
    <t>PLOT</t>
  </si>
  <si>
    <t>AST</t>
  </si>
  <si>
    <t>LOP</t>
  </si>
  <si>
    <t>FRED</t>
  </si>
  <si>
    <t>YTR</t>
  </si>
  <si>
    <t>ZAT</t>
  </si>
  <si>
    <t>QT</t>
  </si>
  <si>
    <t>KBTB</t>
  </si>
  <si>
    <t>MNGD</t>
  </si>
  <si>
    <t>FM</t>
  </si>
  <si>
    <t>DFGH</t>
  </si>
  <si>
    <t>PSA</t>
  </si>
  <si>
    <t>KPSA</t>
  </si>
  <si>
    <t>JAQ</t>
  </si>
  <si>
    <t>HII</t>
  </si>
  <si>
    <t>BBT</t>
  </si>
  <si>
    <t>WT</t>
  </si>
  <si>
    <t>PCC</t>
  </si>
  <si>
    <t>T</t>
  </si>
  <si>
    <t>TRU</t>
  </si>
  <si>
    <t>HHH</t>
  </si>
  <si>
    <t>ITW</t>
  </si>
  <si>
    <t>ET</t>
  </si>
  <si>
    <t>AA</t>
  </si>
  <si>
    <t>SFWK</t>
  </si>
  <si>
    <t>EPP</t>
  </si>
  <si>
    <t>MBG</t>
  </si>
  <si>
    <t>WSD</t>
  </si>
  <si>
    <t>ITTW</t>
  </si>
  <si>
    <t>COGS</t>
  </si>
  <si>
    <t>Units</t>
  </si>
  <si>
    <t>SalesRep</t>
  </si>
  <si>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"Sort Sales within SalesRep within Region" or "Sort Sales for each SalesRep in Each Region".</t>
    </r>
  </si>
  <si>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"Sort Sales within Region".</t>
    </r>
  </si>
  <si>
    <t xml:space="preserve">13) In order to use the Subtoal feature, you must Sort FIRST!!!!!!!!!!!!!!! </t>
  </si>
  <si>
    <t>Total</t>
  </si>
  <si>
    <t>Subtotals</t>
  </si>
  <si>
    <t>Sukriti</t>
  </si>
  <si>
    <t>4) If you want to sort upon more than 1 column: 1) Buttons: MaSukritir Sort is last, 2) Sort dialog box, MaSukritir Sort on top.</t>
  </si>
  <si>
    <t>Goal: "Sort Times within Employee" or "Sort Times for each Employee". MaSukritir Sort = Employee</t>
  </si>
  <si>
    <t>Goal: "Sort Sales within Product" or "Sort Sales for each Product". MaSukritir Sort = Product.</t>
  </si>
  <si>
    <t>Bheem</t>
  </si>
  <si>
    <t>Chutki</t>
  </si>
  <si>
    <t>Raju</t>
  </si>
  <si>
    <t>Chennai</t>
  </si>
  <si>
    <t>Delhi</t>
  </si>
  <si>
    <t>Mumbai</t>
  </si>
  <si>
    <t>Bholu</t>
  </si>
  <si>
    <t>Dholu</t>
  </si>
  <si>
    <t>Subtotals for two fields:</t>
  </si>
  <si>
    <t>1) Sort with buttons: 1) SalesRep, then 2) Region (Major Sort)</t>
  </si>
  <si>
    <t>2) Add Subtotals: 1) Region (Major Sort), then 2) SalesRep</t>
  </si>
  <si>
    <t>** When you add second Subtotal, you must "uncheck" "Replace current subtotals"</t>
  </si>
  <si>
    <t>Subtotals for one field:</t>
  </si>
  <si>
    <t>1) Sort Field First</t>
  </si>
  <si>
    <t>2) "At each change in" dropdown: select where you want the row to be inserted.</t>
  </si>
  <si>
    <t>3) "Use funtion" dropdown: select function.</t>
  </si>
  <si>
    <t>4) "Add subtotal to" dropdown: select field were you want the function operation to be made.</t>
  </si>
  <si>
    <t>5) Copy and Paste: Use "Select Visible Cells Only" keyboard: Alt + ;</t>
  </si>
  <si>
    <t>9) use extra column with RAND() to sort randomly. RAND creates a random number between 0 and 1 with 15 digits. RAND is volatile.</t>
  </si>
  <si>
    <t>Names</t>
  </si>
  <si>
    <t>RAND</t>
  </si>
  <si>
    <t>Charles Feeney</t>
  </si>
  <si>
    <t>Roy Mattingly</t>
  </si>
  <si>
    <t>Amy Burnell</t>
  </si>
  <si>
    <t>Audrey Hinton</t>
  </si>
  <si>
    <t>Jerry Wertz</t>
  </si>
  <si>
    <t>Steve Stephan</t>
  </si>
  <si>
    <t>Juan Singley</t>
  </si>
  <si>
    <t>Elaine Lash</t>
  </si>
  <si>
    <t>Eugene Deutsch</t>
  </si>
  <si>
    <t>Matthew Mosley</t>
  </si>
  <si>
    <t>Allow text box:</t>
  </si>
  <si>
    <t>Custom: Logical Formula that evaluates to TRUE (value allowed) or FALSE (value not allowed).</t>
  </si>
  <si>
    <t>Cost</t>
  </si>
  <si>
    <t>Products</t>
  </si>
  <si>
    <t>Sunsilk</t>
  </si>
  <si>
    <t>Garnier</t>
  </si>
  <si>
    <t>Dove</t>
  </si>
  <si>
    <t>Quantity</t>
  </si>
  <si>
    <t>Price</t>
  </si>
  <si>
    <t>ClinicPLus</t>
  </si>
  <si>
    <t>The Car's Final Price can not be less than the On road price minus dealer discount</t>
  </si>
  <si>
    <t>Car</t>
  </si>
  <si>
    <t>On Road Price</t>
  </si>
  <si>
    <t>Dealer Discount</t>
  </si>
  <si>
    <t>Final Price</t>
  </si>
  <si>
    <t>Honda City</t>
  </si>
  <si>
    <t>Honda Civic</t>
  </si>
  <si>
    <t>Maruti Breeza</t>
  </si>
  <si>
    <t>Hyundai Creta</t>
  </si>
  <si>
    <t>No Duplicates</t>
  </si>
  <si>
    <t>MeeMee</t>
  </si>
  <si>
    <t>Sorted in ascending order.</t>
  </si>
  <si>
    <t>Entire rows are sorted.</t>
  </si>
  <si>
    <t>Just click on column on the basis you want to sort it.</t>
  </si>
  <si>
    <t>Use Data -&gt; Sort</t>
  </si>
  <si>
    <t>Shortcut</t>
  </si>
  <si>
    <t>You can also sort Sales A-&gt;Z first and then sort Product.</t>
  </si>
  <si>
    <t>We get the same result.</t>
  </si>
  <si>
    <t>if we make a selection, Excel takes the top row to be a field name, and does not sort it.</t>
  </si>
  <si>
    <t>Possible solutions:</t>
  </si>
  <si>
    <t>- Select an extra row on top</t>
  </si>
  <si>
    <t>- Uncheck 'My data has headers' in SORT</t>
  </si>
  <si>
    <t>- Highlight entire data</t>
  </si>
  <si>
    <t>c</t>
  </si>
  <si>
    <t>Empty cell always comes in the last row after sorting</t>
  </si>
  <si>
    <t>See formula</t>
  </si>
  <si>
    <t>Values of Rand() keeps refreshing</t>
  </si>
  <si>
    <t>Helpful when we require random sorting</t>
  </si>
  <si>
    <t>East Total</t>
  </si>
  <si>
    <t>MidWest Total</t>
  </si>
  <si>
    <t>South Total</t>
  </si>
  <si>
    <t>West Total</t>
  </si>
  <si>
    <t>Grand Total</t>
  </si>
  <si>
    <t>The numbers 1,2,3 on the left show varying degrees of visibility</t>
  </si>
  <si>
    <t>Home -&gt; Find and Select -&gt; Visible Cells only</t>
  </si>
  <si>
    <t>PASTED</t>
  </si>
  <si>
    <t>Bheem Total</t>
  </si>
  <si>
    <t>Bholu Total</t>
  </si>
  <si>
    <t>Chutki Total</t>
  </si>
  <si>
    <t>Dholu Total</t>
  </si>
  <si>
    <t>Raju Total</t>
  </si>
  <si>
    <t>Sukriti Total</t>
  </si>
  <si>
    <t>WOW!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</si>
</sst>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m/d/yy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Times New Roman"/>
      <family val="1"/>
    </font>
    <font>
      <sz val="9"/>
      <color rgb="FF333333"/>
      <name val="Verdana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i/>
      <sz val="11"/>
      <color rgb="FF7F7F7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2" borderId="1"/>
    <xf numFmtId="0" fontId="8" fillId="2" borderId="1">
      <alignment wrapText="1"/>
    </xf>
    <xf numFmtId="43" fontId="9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14" fontId="0" fillId="3" borderId="1" xfId="0" applyNumberForma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2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6" xfId="0" applyFill="1" applyBorder="1" applyAlignment="1">
      <alignment horizontal="left" vertical="center" indent="5"/>
    </xf>
    <xf numFmtId="0" fontId="0" fillId="5" borderId="7" xfId="0" applyFill="1" applyBorder="1"/>
    <xf numFmtId="0" fontId="0" fillId="5" borderId="8" xfId="0" applyFill="1" applyBorder="1"/>
    <xf numFmtId="0" fontId="2" fillId="5" borderId="9" xfId="0" applyFont="1" applyFill="1" applyBorder="1"/>
    <xf numFmtId="0" fontId="3" fillId="2" borderId="1" xfId="1"/>
    <xf numFmtId="0" fontId="6" fillId="0" borderId="0" xfId="0" applyFont="1"/>
    <xf numFmtId="0" fontId="0" fillId="6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/>
    <xf numFmtId="14" fontId="7" fillId="0" borderId="1" xfId="0" applyNumberFormat="1" applyFont="1" applyFill="1" applyBorder="1"/>
    <xf numFmtId="14" fontId="3" fillId="7" borderId="1" xfId="0" applyNumberFormat="1" applyFont="1" applyFill="1" applyBorder="1"/>
    <xf numFmtId="14" fontId="7" fillId="3" borderId="1" xfId="0" applyNumberFormat="1" applyFont="1" applyFill="1" applyBorder="1"/>
    <xf numFmtId="0" fontId="3" fillId="7" borderId="1" xfId="0" applyFont="1" applyFill="1" applyBorder="1"/>
    <xf numFmtId="164" fontId="0" fillId="0" borderId="1" xfId="0" applyNumberFormat="1" applyBorder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  <xf numFmtId="2" fontId="0" fillId="0" borderId="1" xfId="0" applyNumberFormat="1" applyBorder="1"/>
    <xf numFmtId="0" fontId="0" fillId="0" borderId="0" xfId="0" applyAlignment="1">
      <alignment horizontal="left" indent="1"/>
    </xf>
    <xf numFmtId="0" fontId="0" fillId="0" borderId="0" xfId="0" applyBorder="1"/>
    <xf numFmtId="0" fontId="0" fillId="0" borderId="0" xfId="0" applyFill="1" applyBorder="1"/>
    <xf numFmtId="10" fontId="0" fillId="0" borderId="1" xfId="0" applyNumberFormat="1" applyBorder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0" fillId="3" borderId="0" xfId="0" applyFill="1"/>
    <xf numFmtId="0" fontId="13" fillId="0" borderId="0" xfId="0" applyFont="1"/>
    <xf numFmtId="0" fontId="10" fillId="0" borderId="0" xfId="5"/>
    <xf numFmtId="0" fontId="11" fillId="0" borderId="0" xfId="0" applyFont="1" applyAlignment="1">
      <alignment horizontal="left"/>
    </xf>
    <xf numFmtId="0" fontId="13" fillId="0" borderId="0" xfId="0" applyFont="1" applyAlignment="1">
      <alignment wrapText="1"/>
    </xf>
    <xf numFmtId="164" fontId="0" fillId="0" borderId="0" xfId="0" applyNumberFormat="1" applyBorder="1"/>
    <xf numFmtId="2" fontId="0" fillId="0" borderId="0" xfId="0" applyNumberFormat="1" applyBorder="1"/>
    <xf numFmtId="0" fontId="2" fillId="0" borderId="0" xfId="0" applyFont="1" applyBorder="1"/>
  </cellXfs>
  <cellStyles count="6">
    <cellStyle name="Blue" xfId="1" xr:uid="{00000000-0005-0000-0000-000000000000}"/>
    <cellStyle name="blue 2" xfId="2" xr:uid="{00000000-0005-0000-0000-000001000000}"/>
    <cellStyle name="Comma 2" xfId="3" xr:uid="{00000000-0005-0000-0000-000002000000}"/>
    <cellStyle name="Explanatory Text" xfId="5" builtinId="53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0VideoExcelStorage\214\2013-214\Content\Week06\Busn214-Week06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1590.691078935182" createdVersion="5" refreshedVersion="4" minRefreshableVersion="3" recordCount="105" xr:uid="{00000000-000A-0000-FFFF-FFFF15000000}">
  <cacheSource type="worksheet">
    <worksheetSource ref="A10:H115" sheet="ST(1)" r:id="rId2"/>
  </cacheSource>
  <cacheFields count="8">
    <cacheField name="Date" numFmtId="164">
      <sharedItems containsSemiMixedTypes="0" containsNonDate="0" containsDate="1" containsString="0" minDate="2011-01-01T00:00:00" maxDate="2011-01-31T00:00:00"/>
    </cacheField>
    <cacheField name="Product" numFmtId="0">
      <sharedItems/>
    </cacheField>
    <cacheField name="Region" numFmtId="0">
      <sharedItems count="4">
        <s v="East"/>
        <s v="MidWest"/>
        <s v="South"/>
        <s v="West"/>
      </sharedItems>
    </cacheField>
    <cacheField name="SalesRep" numFmtId="0">
      <sharedItems/>
    </cacheField>
    <cacheField name="Customer" numFmtId="0">
      <sharedItems/>
    </cacheField>
    <cacheField name="Units" numFmtId="0">
      <sharedItems containsSemiMixedTypes="0" containsString="0" containsNumber="1" containsInteger="1" minValue="6" maxValue="65"/>
    </cacheField>
    <cacheField name="Sales" numFmtId="8">
      <sharedItems containsSemiMixedTypes="0" containsString="0" containsNumber="1" containsInteger="1" minValue="114" maxValue="5000"/>
    </cacheField>
    <cacheField name="COGS" numFmtId="8">
      <sharedItems containsSemiMixedTypes="0" containsString="0" containsNumber="1" minValue="48" maxValue="94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">
  <r>
    <d v="2011-01-01T00:00:00"/>
    <s v="Quad"/>
    <x v="0"/>
    <s v="Sioux"/>
    <s v="AA"/>
    <n v="16"/>
    <n v="432"/>
    <n v="232"/>
  </r>
  <r>
    <d v="2011-01-03T00:00:00"/>
    <s v="Sunshine"/>
    <x v="0"/>
    <s v="Pham"/>
    <s v="FM"/>
    <n v="38"/>
    <n v="722"/>
    <n v="304"/>
  </r>
  <r>
    <d v="2011-01-06T00:00:00"/>
    <s v="Sunshine"/>
    <x v="0"/>
    <s v="Franks"/>
    <s v="PSA"/>
    <n v="54"/>
    <n v="1026"/>
    <n v="432"/>
  </r>
  <r>
    <d v="2011-01-09T00:00:00"/>
    <s v="Carlota"/>
    <x v="0"/>
    <s v="Franks"/>
    <s v="WSD"/>
    <n v="38"/>
    <n v="874"/>
    <n v="418"/>
  </r>
  <r>
    <d v="2011-01-09T00:00:00"/>
    <s v="Bellen"/>
    <x v="0"/>
    <s v="Pham"/>
    <s v="EPP"/>
    <n v="40"/>
    <n v="880"/>
    <n v="400"/>
  </r>
  <r>
    <d v="2011-01-09T00:00:00"/>
    <s v="Sunshine"/>
    <x v="0"/>
    <s v="Smith"/>
    <s v="PCC"/>
    <n v="42"/>
    <n v="798"/>
    <n v="336"/>
  </r>
  <r>
    <d v="2011-01-10T00:00:00"/>
    <s v="Sunset"/>
    <x v="0"/>
    <s v="Gault"/>
    <s v="TRU"/>
    <n v="27"/>
    <n v="567"/>
    <n v="249.75"/>
  </r>
  <r>
    <d v="2011-01-10T00:00:00"/>
    <s v="Carlota"/>
    <x v="0"/>
    <s v="Pham"/>
    <s v="AA"/>
    <n v="63"/>
    <n v="1449"/>
    <n v="693"/>
  </r>
  <r>
    <d v="2011-01-10T00:00:00"/>
    <s v="Quad"/>
    <x v="0"/>
    <s v="Smith"/>
    <s v="DFR"/>
    <n v="17"/>
    <n v="459"/>
    <n v="246.5"/>
  </r>
  <r>
    <d v="2011-01-10T00:00:00"/>
    <s v="Sunset"/>
    <x v="0"/>
    <s v="Smith"/>
    <s v="MBG"/>
    <n v="17"/>
    <n v="357"/>
    <n v="157.25"/>
  </r>
  <r>
    <d v="2011-01-11T00:00:00"/>
    <s v="Quad"/>
    <x v="0"/>
    <s v="Franks"/>
    <s v="ITW"/>
    <n v="14"/>
    <n v="378"/>
    <n v="203"/>
  </r>
  <r>
    <d v="2011-01-11T00:00:00"/>
    <s v="Quad"/>
    <x v="0"/>
    <s v="Smith"/>
    <s v="BBT"/>
    <n v="49"/>
    <n v="1323"/>
    <n v="710.5"/>
  </r>
  <r>
    <d v="2011-01-14T00:00:00"/>
    <s v="Carlota"/>
    <x v="0"/>
    <s v="Franks"/>
    <s v="JAQ"/>
    <n v="34"/>
    <n v="782"/>
    <n v="374"/>
  </r>
  <r>
    <d v="2011-01-15T00:00:00"/>
    <s v="Sunset"/>
    <x v="0"/>
    <s v="Gault"/>
    <s v="AST"/>
    <n v="63"/>
    <n v="1323"/>
    <n v="582.75"/>
  </r>
  <r>
    <d v="2011-01-17T00:00:00"/>
    <s v="Quad"/>
    <x v="0"/>
    <s v="Franks"/>
    <s v="HII"/>
    <n v="62"/>
    <n v="1674"/>
    <n v="899"/>
  </r>
  <r>
    <d v="2011-01-17T00:00:00"/>
    <s v="Quad"/>
    <x v="0"/>
    <s v="Gault"/>
    <s v="SFWK"/>
    <n v="43"/>
    <n v="1161"/>
    <n v="623.5"/>
  </r>
  <r>
    <d v="2011-01-17T00:00:00"/>
    <s v="Carlota"/>
    <x v="0"/>
    <s v="Sioux"/>
    <s v="PCC"/>
    <n v="39"/>
    <n v="897"/>
    <n v="429"/>
  </r>
  <r>
    <d v="2011-01-18T00:00:00"/>
    <s v="Bellen"/>
    <x v="0"/>
    <s v="Franks"/>
    <s v="DFGH"/>
    <n v="20"/>
    <n v="440"/>
    <n v="200"/>
  </r>
  <r>
    <d v="2011-01-18T00:00:00"/>
    <s v="Sunshine"/>
    <x v="0"/>
    <s v="Franks"/>
    <s v="AA"/>
    <n v="24"/>
    <n v="456"/>
    <n v="192"/>
  </r>
  <r>
    <d v="2011-01-18T00:00:00"/>
    <s v="Sunset"/>
    <x v="0"/>
    <s v="Gault"/>
    <s v="MNGD"/>
    <n v="12"/>
    <n v="252"/>
    <n v="111"/>
  </r>
  <r>
    <d v="2011-01-18T00:00:00"/>
    <s v="Bellen"/>
    <x v="0"/>
    <s v="Pham"/>
    <s v="DFR"/>
    <n v="59"/>
    <n v="1298"/>
    <n v="590"/>
  </r>
  <r>
    <d v="2011-01-20T00:00:00"/>
    <s v="Carlota"/>
    <x v="0"/>
    <s v="Chin"/>
    <s v="ET"/>
    <n v="59"/>
    <n v="1357"/>
    <n v="649"/>
  </r>
  <r>
    <d v="2011-01-20T00:00:00"/>
    <s v="Bellen"/>
    <x v="0"/>
    <s v="Gault"/>
    <s v="PSA"/>
    <n v="10"/>
    <n v="220"/>
    <n v="100"/>
  </r>
  <r>
    <d v="2011-01-21T00:00:00"/>
    <s v="Quad"/>
    <x v="0"/>
    <s v="Chin"/>
    <s v="FM"/>
    <n v="58"/>
    <n v="1566"/>
    <n v="841"/>
  </r>
  <r>
    <d v="2011-01-23T00:00:00"/>
    <s v="Quad"/>
    <x v="0"/>
    <s v="Franks"/>
    <s v="PCC"/>
    <n v="44"/>
    <n v="1188"/>
    <n v="638"/>
  </r>
  <r>
    <d v="2011-01-23T00:00:00"/>
    <s v="Bellen"/>
    <x v="0"/>
    <s v="Gault"/>
    <s v="DFGH"/>
    <n v="9"/>
    <n v="198"/>
    <n v="90"/>
  </r>
  <r>
    <d v="2011-01-23T00:00:00"/>
    <s v="Quad"/>
    <x v="0"/>
    <s v="Pham"/>
    <s v="WT"/>
    <n v="22"/>
    <n v="594"/>
    <n v="319"/>
  </r>
  <r>
    <d v="2011-01-26T00:00:00"/>
    <s v="Bellen"/>
    <x v="0"/>
    <s v="Chin"/>
    <s v="KPSA"/>
    <n v="17"/>
    <n v="374"/>
    <n v="170"/>
  </r>
  <r>
    <d v="2011-01-28T00:00:00"/>
    <s v="Sunset"/>
    <x v="0"/>
    <s v="Smith"/>
    <s v="ZAT"/>
    <n v="36"/>
    <n v="756"/>
    <n v="333"/>
  </r>
  <r>
    <d v="2011-01-29T00:00:00"/>
    <s v="Bellen"/>
    <x v="0"/>
    <s v="Chin"/>
    <s v="AST"/>
    <n v="50"/>
    <n v="1100"/>
    <n v="500"/>
  </r>
  <r>
    <d v="2011-01-03T00:00:00"/>
    <s v="Carlota"/>
    <x v="1"/>
    <s v="Chin"/>
    <s v="FM"/>
    <n v="20"/>
    <n v="460"/>
    <n v="220"/>
  </r>
  <r>
    <d v="2011-01-04T00:00:00"/>
    <s v="Sunset"/>
    <x v="1"/>
    <s v="Sioux"/>
    <s v="BBT"/>
    <n v="29"/>
    <n v="609"/>
    <n v="268.25"/>
  </r>
  <r>
    <d v="2011-01-07T00:00:00"/>
    <s v="Carlota"/>
    <x v="1"/>
    <s v="Franks"/>
    <s v="HHH"/>
    <n v="12"/>
    <n v="276"/>
    <n v="132"/>
  </r>
  <r>
    <d v="2011-01-07T00:00:00"/>
    <s v="Sunset"/>
    <x v="1"/>
    <s v="Sioux"/>
    <s v="PCC"/>
    <n v="22"/>
    <n v="462"/>
    <n v="203.5"/>
  </r>
  <r>
    <d v="2011-01-10T00:00:00"/>
    <s v="Bellen"/>
    <x v="1"/>
    <s v="Gault"/>
    <s v="FM"/>
    <n v="7"/>
    <n v="154"/>
    <n v="70"/>
  </r>
  <r>
    <d v="2011-01-10T00:00:00"/>
    <s v="Sunshine"/>
    <x v="1"/>
    <s v="Smith"/>
    <s v="TTT"/>
    <n v="8"/>
    <n v="152"/>
    <n v="64"/>
  </r>
  <r>
    <d v="2011-01-12T00:00:00"/>
    <s v="Sunset"/>
    <x v="1"/>
    <s v="Gault"/>
    <s v="ITW"/>
    <n v="19"/>
    <n v="399"/>
    <n v="175.75"/>
  </r>
  <r>
    <d v="2011-01-13T00:00:00"/>
    <s v="Bellen"/>
    <x v="1"/>
    <s v="Pham"/>
    <s v="PLOT"/>
    <n v="57"/>
    <n v="1254"/>
    <n v="570"/>
  </r>
  <r>
    <d v="2011-01-13T00:00:00"/>
    <s v="Bellen"/>
    <x v="1"/>
    <s v="Pham"/>
    <s v="PSA"/>
    <n v="40"/>
    <n v="880"/>
    <n v="400"/>
  </r>
  <r>
    <d v="2011-01-13T00:00:00"/>
    <s v="Sunshine"/>
    <x v="1"/>
    <s v="Pham"/>
    <s v="PSA"/>
    <n v="33"/>
    <n v="627"/>
    <n v="264"/>
  </r>
  <r>
    <d v="2011-01-15T00:00:00"/>
    <s v="Sunshine"/>
    <x v="1"/>
    <s v="Chin"/>
    <s v="YTR"/>
    <n v="11"/>
    <n v="209"/>
    <n v="88"/>
  </r>
  <r>
    <d v="2011-01-16T00:00:00"/>
    <s v="Bellen"/>
    <x v="1"/>
    <s v="Sioux"/>
    <s v="YTR"/>
    <n v="56"/>
    <n v="1232"/>
    <n v="560"/>
  </r>
  <r>
    <d v="2011-01-17T00:00:00"/>
    <s v="Quad"/>
    <x v="1"/>
    <s v="Chin"/>
    <s v="EPP"/>
    <n v="61"/>
    <n v="1647"/>
    <n v="884.5"/>
  </r>
  <r>
    <d v="2011-01-17T00:00:00"/>
    <s v="Sunshine"/>
    <x v="1"/>
    <s v="Franks"/>
    <s v="HHH"/>
    <n v="59"/>
    <n v="1121"/>
    <n v="472"/>
  </r>
  <r>
    <d v="2011-01-17T00:00:00"/>
    <s v="Bellen"/>
    <x v="1"/>
    <s v="Smith"/>
    <s v="PCC"/>
    <n v="16"/>
    <n v="352"/>
    <n v="160"/>
  </r>
  <r>
    <d v="2011-01-18T00:00:00"/>
    <s v="Sunshine"/>
    <x v="1"/>
    <s v="Chin"/>
    <s v="PCC"/>
    <n v="62"/>
    <n v="1178"/>
    <n v="496"/>
  </r>
  <r>
    <d v="2011-01-18T00:00:00"/>
    <s v="Quad"/>
    <x v="1"/>
    <s v="Smith"/>
    <s v="PLOT"/>
    <n v="17"/>
    <n v="459"/>
    <n v="246.5"/>
  </r>
  <r>
    <d v="2011-01-21T00:00:00"/>
    <s v="Sunshine"/>
    <x v="1"/>
    <s v="Pham"/>
    <s v="DFR"/>
    <n v="23"/>
    <n v="437"/>
    <n v="184"/>
  </r>
  <r>
    <d v="2011-01-21T00:00:00"/>
    <s v="Sunshine"/>
    <x v="1"/>
    <s v="Smith"/>
    <s v="QT"/>
    <n v="64"/>
    <n v="1216"/>
    <n v="512"/>
  </r>
  <r>
    <d v="2011-01-24T00:00:00"/>
    <s v="Carlota"/>
    <x v="1"/>
    <s v="Franks"/>
    <s v="BBT"/>
    <n v="13"/>
    <n v="299"/>
    <n v="143"/>
  </r>
  <r>
    <d v="2011-01-25T00:00:00"/>
    <s v="Sunshine"/>
    <x v="1"/>
    <s v="Franks"/>
    <s v="JAQ"/>
    <n v="21"/>
    <n v="399"/>
    <n v="168"/>
  </r>
  <r>
    <d v="2011-01-26T00:00:00"/>
    <s v="Bellen"/>
    <x v="1"/>
    <s v="Gault"/>
    <s v="PSA"/>
    <n v="21"/>
    <n v="462"/>
    <n v="210"/>
  </r>
  <r>
    <d v="2011-01-28T00:00:00"/>
    <s v="Quad"/>
    <x v="1"/>
    <s v="Smith"/>
    <s v="YTR"/>
    <n v="42"/>
    <n v="1134"/>
    <n v="609"/>
  </r>
  <r>
    <d v="2011-01-29T00:00:00"/>
    <s v="Quad"/>
    <x v="1"/>
    <s v="Gault"/>
    <s v="PLOT"/>
    <n v="10"/>
    <n v="270"/>
    <n v="145"/>
  </r>
  <r>
    <d v="2011-01-02T00:00:00"/>
    <s v="Bellen"/>
    <x v="2"/>
    <s v="Gault"/>
    <s v="KBTB"/>
    <n v="24"/>
    <n v="528"/>
    <n v="240"/>
  </r>
  <r>
    <d v="2011-01-03T00:00:00"/>
    <s v="Sunset"/>
    <x v="2"/>
    <s v="Pham"/>
    <s v="WSD"/>
    <n v="23"/>
    <n v="483"/>
    <n v="212.75"/>
  </r>
  <r>
    <d v="2011-01-03T00:00:00"/>
    <s v="Sunshine"/>
    <x v="2"/>
    <s v="Sioux"/>
    <s v="PCC"/>
    <n v="6"/>
    <n v="114"/>
    <n v="48"/>
  </r>
  <r>
    <d v="2011-01-05T00:00:00"/>
    <s v="Sunset"/>
    <x v="2"/>
    <s v="Pham"/>
    <s v="TTT"/>
    <n v="57"/>
    <n v="1197"/>
    <n v="527.25"/>
  </r>
  <r>
    <d v="2011-01-06T00:00:00"/>
    <s v="Sunshine"/>
    <x v="2"/>
    <s v="Smith"/>
    <s v="QT"/>
    <n v="40"/>
    <n v="760"/>
    <n v="320"/>
  </r>
  <r>
    <d v="2011-01-09T00:00:00"/>
    <s v="Bellen"/>
    <x v="2"/>
    <s v="Chin"/>
    <s v="WSD"/>
    <n v="26"/>
    <n v="572"/>
    <n v="260"/>
  </r>
  <r>
    <d v="2011-01-09T00:00:00"/>
    <s v="Bellen"/>
    <x v="2"/>
    <s v="Sioux"/>
    <s v="QT"/>
    <n v="15"/>
    <n v="330"/>
    <n v="150"/>
  </r>
  <r>
    <d v="2011-01-10T00:00:00"/>
    <s v="Sunshine"/>
    <x v="2"/>
    <s v="Chin"/>
    <s v="TRU"/>
    <n v="30"/>
    <n v="570"/>
    <n v="240"/>
  </r>
  <r>
    <d v="2011-01-10T00:00:00"/>
    <s v="Sunset"/>
    <x v="2"/>
    <s v="Sioux"/>
    <s v="MBG"/>
    <n v="47"/>
    <n v="987"/>
    <n v="434.75"/>
  </r>
  <r>
    <d v="2011-01-12T00:00:00"/>
    <s v="Bellen"/>
    <x v="2"/>
    <s v="Chin"/>
    <s v="WT"/>
    <n v="7"/>
    <n v="154"/>
    <n v="70"/>
  </r>
  <r>
    <d v="2011-01-13T00:00:00"/>
    <s v="Carlota"/>
    <x v="2"/>
    <s v="Smith"/>
    <s v="FM"/>
    <n v="52"/>
    <n v="1196"/>
    <n v="572"/>
  </r>
  <r>
    <d v="2011-01-16T00:00:00"/>
    <s v="Carlota"/>
    <x v="2"/>
    <s v="Smith"/>
    <s v="QT"/>
    <n v="31"/>
    <n v="713"/>
    <n v="341"/>
  </r>
  <r>
    <d v="2011-01-18T00:00:00"/>
    <s v="Carlota"/>
    <x v="2"/>
    <s v="Smith"/>
    <s v="YTR"/>
    <n v="53"/>
    <n v="1219"/>
    <n v="583"/>
  </r>
  <r>
    <d v="2011-01-19T00:00:00"/>
    <s v="Bellen"/>
    <x v="2"/>
    <s v="Sioux"/>
    <s v="T"/>
    <n v="35"/>
    <n v="770"/>
    <n v="350"/>
  </r>
  <r>
    <d v="2011-01-21T00:00:00"/>
    <s v="Sunset"/>
    <x v="2"/>
    <s v="Pham"/>
    <s v="HHH"/>
    <n v="13"/>
    <n v="273"/>
    <n v="120.25"/>
  </r>
  <r>
    <d v="2011-01-21T00:00:00"/>
    <s v="Bellen"/>
    <x v="2"/>
    <s v="Smith"/>
    <s v="TRU"/>
    <n v="11"/>
    <n v="242"/>
    <n v="110"/>
  </r>
  <r>
    <d v="2011-01-22T00:00:00"/>
    <s v="Quad"/>
    <x v="2"/>
    <s v="Franks"/>
    <s v="FM"/>
    <n v="29"/>
    <n v="783"/>
    <n v="420.5"/>
  </r>
  <r>
    <d v="2011-01-22T00:00:00"/>
    <s v="Carlota"/>
    <x v="2"/>
    <s v="Smith"/>
    <s v="KBTB"/>
    <n v="29"/>
    <n v="667"/>
    <n v="319"/>
  </r>
  <r>
    <d v="2011-01-23T00:00:00"/>
    <s v="Sunshine"/>
    <x v="2"/>
    <s v="Chin"/>
    <s v="T"/>
    <n v="49"/>
    <n v="931"/>
    <n v="392"/>
  </r>
  <r>
    <d v="2011-01-26T00:00:00"/>
    <s v="Sunset"/>
    <x v="2"/>
    <s v="Sioux"/>
    <s v="DFGH"/>
    <n v="44"/>
    <n v="924"/>
    <n v="407"/>
  </r>
  <r>
    <d v="2011-01-28T00:00:00"/>
    <s v="Carlota"/>
    <x v="2"/>
    <s v="Franks"/>
    <s v="MNGD"/>
    <n v="46"/>
    <n v="1058"/>
    <n v="506"/>
  </r>
  <r>
    <d v="2011-01-28T00:00:00"/>
    <s v="Quad"/>
    <x v="2"/>
    <s v="Franks"/>
    <s v="YTR"/>
    <n v="44"/>
    <n v="1188"/>
    <n v="638"/>
  </r>
  <r>
    <d v="2011-01-28T00:00:00"/>
    <s v="Quad"/>
    <x v="2"/>
    <s v="Gault"/>
    <s v="KBTB"/>
    <n v="56"/>
    <n v="1512"/>
    <n v="812"/>
  </r>
  <r>
    <d v="2011-01-28T00:00:00"/>
    <s v="Bellen"/>
    <x v="2"/>
    <s v="Sioux"/>
    <s v="QT"/>
    <n v="25"/>
    <n v="550"/>
    <n v="250"/>
  </r>
  <r>
    <d v="2011-01-28T00:00:00"/>
    <s v="Sunshine"/>
    <x v="2"/>
    <s v="Smith"/>
    <s v="FRED"/>
    <n v="51"/>
    <n v="969"/>
    <n v="408"/>
  </r>
  <r>
    <d v="2011-01-30T00:00:00"/>
    <s v="Quad"/>
    <x v="2"/>
    <s v="Sioux"/>
    <s v="TTT"/>
    <n v="25"/>
    <n v="675"/>
    <n v="362.5"/>
  </r>
  <r>
    <d v="2011-01-30T00:00:00"/>
    <s v="Sunshine"/>
    <x v="2"/>
    <s v="Sioux"/>
    <s v="TTT"/>
    <n v="23"/>
    <n v="437"/>
    <n v="184"/>
  </r>
  <r>
    <d v="2011-01-02T00:00:00"/>
    <s v="Bellen"/>
    <x v="3"/>
    <s v="Pham"/>
    <s v="SFWK"/>
    <n v="19"/>
    <n v="418"/>
    <n v="190"/>
  </r>
  <r>
    <d v="2011-01-02T00:00:00"/>
    <s v="Quad"/>
    <x v="3"/>
    <s v="Pham"/>
    <s v="AST"/>
    <n v="30"/>
    <n v="810"/>
    <n v="435"/>
  </r>
  <r>
    <d v="2011-01-05T00:00:00"/>
    <s v="Carlota"/>
    <x v="3"/>
    <s v="Franks"/>
    <s v="ITTW"/>
    <n v="60"/>
    <n v="1380"/>
    <n v="660"/>
  </r>
  <r>
    <d v="2011-01-05T00:00:00"/>
    <s v="Sunshine"/>
    <x v="3"/>
    <s v="Franks"/>
    <s v="ET"/>
    <n v="12"/>
    <n v="228"/>
    <n v="96"/>
  </r>
  <r>
    <d v="2011-01-06T00:00:00"/>
    <s v="Carlota"/>
    <x v="3"/>
    <s v="Sioux"/>
    <s v="KPSA"/>
    <n v="18"/>
    <n v="414"/>
    <n v="198"/>
  </r>
  <r>
    <d v="2011-01-06T00:00:00"/>
    <s v="Quad"/>
    <x v="3"/>
    <s v="Sioux"/>
    <s v="PCC"/>
    <n v="64"/>
    <n v="1728"/>
    <n v="928"/>
  </r>
  <r>
    <d v="2011-01-07T00:00:00"/>
    <s v="Sunset"/>
    <x v="3"/>
    <s v="Pham"/>
    <s v="T"/>
    <n v="61"/>
    <n v="1281"/>
    <n v="564.25"/>
  </r>
  <r>
    <d v="2011-01-07T00:00:00"/>
    <s v="Sunset"/>
    <x v="3"/>
    <s v="Pham"/>
    <s v="WT"/>
    <n v="53"/>
    <n v="1113"/>
    <n v="490.25"/>
  </r>
  <r>
    <d v="2011-01-07T00:00:00"/>
    <s v="Bellen"/>
    <x v="3"/>
    <s v="Smith"/>
    <s v="T"/>
    <n v="27"/>
    <n v="594"/>
    <n v="270"/>
  </r>
  <r>
    <d v="2011-01-08T00:00:00"/>
    <s v="Quad"/>
    <x v="3"/>
    <s v="Chin"/>
    <s v="HII"/>
    <n v="16"/>
    <n v="432"/>
    <n v="232"/>
  </r>
  <r>
    <d v="2011-01-10T00:00:00"/>
    <s v="Quad"/>
    <x v="3"/>
    <s v="Smith"/>
    <s v="KBTB"/>
    <n v="65"/>
    <n v="1755"/>
    <n v="942.5"/>
  </r>
  <r>
    <d v="2011-01-17T00:00:00"/>
    <s v="Quad"/>
    <x v="3"/>
    <s v="Chin"/>
    <s v="PCC"/>
    <n v="10"/>
    <n v="270"/>
    <n v="145"/>
  </r>
  <r>
    <d v="2011-01-18T00:00:00"/>
    <s v="Sunshine"/>
    <x v="3"/>
    <s v="Sioux"/>
    <s v="AST"/>
    <n v="8"/>
    <n v="152"/>
    <n v="64"/>
  </r>
  <r>
    <d v="2011-01-20T00:00:00"/>
    <s v="Sunshine"/>
    <x v="3"/>
    <s v="Sioux"/>
    <s v="YTR"/>
    <n v="58"/>
    <n v="1102"/>
    <n v="464"/>
  </r>
  <r>
    <d v="2011-01-21T00:00:00"/>
    <s v="Quad"/>
    <x v="3"/>
    <s v="Gault"/>
    <s v="ITW"/>
    <n v="56"/>
    <n v="1512"/>
    <n v="812"/>
  </r>
  <r>
    <d v="2011-01-22T00:00:00"/>
    <s v="Bellen"/>
    <x v="3"/>
    <s v="Pham"/>
    <s v="AST"/>
    <n v="53"/>
    <n v="1166"/>
    <n v="530"/>
  </r>
  <r>
    <d v="2011-01-22T00:00:00"/>
    <s v="Bellen"/>
    <x v="3"/>
    <s v="Sioux"/>
    <s v="YTR"/>
    <n v="35"/>
    <n v="770"/>
    <n v="350"/>
  </r>
  <r>
    <d v="2011-01-22T00:00:00"/>
    <s v="Bellen"/>
    <x v="3"/>
    <s v="Smith"/>
    <s v="WT"/>
    <n v="6"/>
    <n v="132"/>
    <n v="60"/>
  </r>
  <r>
    <d v="2011-01-24T00:00:00"/>
    <s v="Quad"/>
    <x v="3"/>
    <s v="Gault"/>
    <s v="HII"/>
    <n v="63"/>
    <n v="1701"/>
    <n v="913.5"/>
  </r>
  <r>
    <d v="2011-01-26T00:00:00"/>
    <s v="Bellen"/>
    <x v="3"/>
    <s v="Pham"/>
    <s v="FRED"/>
    <n v="61"/>
    <n v="5000"/>
    <n v="610"/>
  </r>
  <r>
    <d v="2011-01-27T00:00:00"/>
    <s v="Carlota"/>
    <x v="3"/>
    <s v="Gault"/>
    <s v="QT"/>
    <n v="10"/>
    <n v="230"/>
    <n v="110"/>
  </r>
  <r>
    <d v="2011-01-28T00:00:00"/>
    <s v="Sunset"/>
    <x v="3"/>
    <s v="Chin"/>
    <s v="FM"/>
    <n v="62"/>
    <n v="1302"/>
    <n v="573.5"/>
  </r>
  <r>
    <d v="2011-01-28T00:00:00"/>
    <s v="Carlota"/>
    <x v="3"/>
    <s v="Smith"/>
    <s v="LOP"/>
    <n v="15"/>
    <n v="345"/>
    <n v="165"/>
  </r>
  <r>
    <d v="2011-01-30T00:00:00"/>
    <s v="Sunshine"/>
    <x v="3"/>
    <s v="Gault"/>
    <s v="DFR"/>
    <n v="49"/>
    <n v="931"/>
    <n v="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compact="0" compactData="0" multipleFieldFilters="0">
  <location ref="M2:N6" firstHeaderRow="1" firstDataRow="1" firstDataCol="1"/>
  <pivotFields count="8">
    <pivotField compact="0" numFmtId="164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8" outline="0" showAll="0"/>
    <pivotField compact="0" numFmtId="8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2:O64"/>
  <sheetViews>
    <sheetView zoomScaleNormal="90" workbookViewId="0">
      <selection activeCell="L57" sqref="L57"/>
    </sheetView>
  </sheetViews>
  <sheetFormatPr defaultRowHeight="14.4" x14ac:dyDescent="0.55000000000000004"/>
  <cols>
    <col min="1" max="1" width="12.26171875" customWidth="1"/>
    <col min="2" max="2" width="13.83984375" customWidth="1"/>
    <col min="3" max="3" width="19" customWidth="1"/>
    <col min="4" max="4" width="2" customWidth="1"/>
    <col min="6" max="6" width="2" customWidth="1"/>
    <col min="7" max="7" width="12.26171875" customWidth="1"/>
    <col min="8" max="8" width="13.83984375" customWidth="1"/>
    <col min="9" max="9" width="19" customWidth="1"/>
    <col min="11" max="11" width="12.26171875" customWidth="1"/>
    <col min="12" max="12" width="13.83984375" customWidth="1"/>
    <col min="13" max="13" width="19" customWidth="1"/>
    <col min="15" max="15" width="15" customWidth="1"/>
  </cols>
  <sheetData>
    <row r="2" spans="1:13" x14ac:dyDescent="0.55000000000000004">
      <c r="A2" s="1" t="s">
        <v>0</v>
      </c>
    </row>
    <row r="3" spans="1:13" x14ac:dyDescent="0.55000000000000004">
      <c r="A3" t="s">
        <v>1</v>
      </c>
    </row>
    <row r="4" spans="1:13" x14ac:dyDescent="0.55000000000000004">
      <c r="A4" t="s">
        <v>2</v>
      </c>
    </row>
    <row r="5" spans="1:13" x14ac:dyDescent="0.55000000000000004">
      <c r="A5" t="s">
        <v>3</v>
      </c>
    </row>
    <row r="7" spans="1:13" x14ac:dyDescent="0.55000000000000004">
      <c r="A7" s="2" t="s">
        <v>4</v>
      </c>
      <c r="B7" s="2" t="s">
        <v>5</v>
      </c>
      <c r="C7" s="2" t="s">
        <v>6</v>
      </c>
      <c r="G7" s="2" t="s">
        <v>4</v>
      </c>
      <c r="H7" s="2" t="s">
        <v>5</v>
      </c>
      <c r="I7" s="2" t="s">
        <v>6</v>
      </c>
    </row>
    <row r="8" spans="1:13" x14ac:dyDescent="0.55000000000000004">
      <c r="A8" s="3">
        <v>41199</v>
      </c>
      <c r="B8" s="4" t="s">
        <v>116</v>
      </c>
      <c r="C8" s="4">
        <v>15.5</v>
      </c>
      <c r="E8" t="s">
        <v>7</v>
      </c>
      <c r="G8" s="3">
        <v>41197</v>
      </c>
      <c r="H8" s="4" t="s">
        <v>116</v>
      </c>
      <c r="I8" s="4">
        <v>13.2</v>
      </c>
      <c r="K8" s="44" t="s">
        <v>172</v>
      </c>
      <c r="L8" s="44"/>
      <c r="M8" s="44"/>
    </row>
    <row r="9" spans="1:13" x14ac:dyDescent="0.55000000000000004">
      <c r="A9" s="3">
        <v>41199</v>
      </c>
      <c r="B9" s="4" t="s">
        <v>120</v>
      </c>
      <c r="C9" s="4">
        <v>19.600000000000001</v>
      </c>
      <c r="G9" s="3">
        <v>41197</v>
      </c>
      <c r="H9" s="4" t="s">
        <v>121</v>
      </c>
      <c r="I9" s="4">
        <v>15.2</v>
      </c>
      <c r="K9" s="44" t="s">
        <v>174</v>
      </c>
      <c r="L9" s="44"/>
      <c r="M9" s="44"/>
    </row>
    <row r="10" spans="1:13" x14ac:dyDescent="0.55000000000000004">
      <c r="A10" s="3">
        <v>41199</v>
      </c>
      <c r="B10" s="4" t="s">
        <v>121</v>
      </c>
      <c r="C10" s="4">
        <v>22</v>
      </c>
      <c r="G10" s="5">
        <v>41198</v>
      </c>
      <c r="H10" s="6" t="s">
        <v>116</v>
      </c>
      <c r="I10" s="6">
        <v>15.3</v>
      </c>
      <c r="K10" s="44" t="s">
        <v>173</v>
      </c>
      <c r="L10" s="44"/>
      <c r="M10" s="44"/>
    </row>
    <row r="11" spans="1:13" x14ac:dyDescent="0.55000000000000004">
      <c r="A11" s="3">
        <v>41199</v>
      </c>
      <c r="B11" s="4" t="s">
        <v>122</v>
      </c>
      <c r="C11" s="4">
        <v>18.600000000000001</v>
      </c>
      <c r="G11" s="3">
        <v>41199</v>
      </c>
      <c r="H11" s="4" t="s">
        <v>116</v>
      </c>
      <c r="I11" s="4">
        <v>15.5</v>
      </c>
    </row>
    <row r="12" spans="1:13" x14ac:dyDescent="0.55000000000000004">
      <c r="A12" s="5">
        <v>41198</v>
      </c>
      <c r="B12" s="6" t="s">
        <v>116</v>
      </c>
      <c r="C12" s="6">
        <v>15.3</v>
      </c>
      <c r="G12" s="3">
        <v>41199</v>
      </c>
      <c r="H12" s="4" t="s">
        <v>122</v>
      </c>
      <c r="I12" s="4">
        <v>18.600000000000001</v>
      </c>
    </row>
    <row r="13" spans="1:13" x14ac:dyDescent="0.55000000000000004">
      <c r="A13" s="3">
        <v>41197</v>
      </c>
      <c r="B13" s="4" t="s">
        <v>116</v>
      </c>
      <c r="C13" s="4">
        <v>13.2</v>
      </c>
      <c r="G13" s="3">
        <v>41199</v>
      </c>
      <c r="H13" s="4" t="s">
        <v>120</v>
      </c>
      <c r="I13" s="4">
        <v>19.600000000000001</v>
      </c>
    </row>
    <row r="14" spans="1:13" x14ac:dyDescent="0.55000000000000004">
      <c r="A14" s="3">
        <v>41197</v>
      </c>
      <c r="B14" s="4" t="s">
        <v>120</v>
      </c>
      <c r="C14" s="4">
        <v>21</v>
      </c>
      <c r="G14" s="3">
        <v>41197</v>
      </c>
      <c r="H14" s="4" t="s">
        <v>120</v>
      </c>
      <c r="I14" s="4">
        <v>21</v>
      </c>
    </row>
    <row r="15" spans="1:13" x14ac:dyDescent="0.55000000000000004">
      <c r="A15" s="3">
        <v>41197</v>
      </c>
      <c r="B15" s="4" t="s">
        <v>121</v>
      </c>
      <c r="C15" s="4">
        <v>15.2</v>
      </c>
      <c r="G15" s="3">
        <v>41199</v>
      </c>
      <c r="H15" s="4" t="s">
        <v>121</v>
      </c>
      <c r="I15" s="4">
        <v>22</v>
      </c>
    </row>
    <row r="17" spans="1:15" x14ac:dyDescent="0.55000000000000004">
      <c r="A17" t="s">
        <v>117</v>
      </c>
    </row>
    <row r="18" spans="1:15" x14ac:dyDescent="0.55000000000000004">
      <c r="A18" t="s">
        <v>118</v>
      </c>
    </row>
    <row r="20" spans="1:15" x14ac:dyDescent="0.55000000000000004">
      <c r="A20" s="2" t="s">
        <v>4</v>
      </c>
      <c r="B20" s="2" t="s">
        <v>5</v>
      </c>
      <c r="C20" s="2" t="s">
        <v>6</v>
      </c>
      <c r="G20" s="2" t="s">
        <v>4</v>
      </c>
      <c r="H20" s="2" t="s">
        <v>5</v>
      </c>
      <c r="I20" s="2" t="s">
        <v>6</v>
      </c>
      <c r="K20" s="2" t="s">
        <v>4</v>
      </c>
      <c r="L20" s="2" t="s">
        <v>5</v>
      </c>
      <c r="M20" s="2" t="s">
        <v>6</v>
      </c>
    </row>
    <row r="21" spans="1:15" x14ac:dyDescent="0.55000000000000004">
      <c r="A21" s="3">
        <v>41199</v>
      </c>
      <c r="B21" s="4" t="s">
        <v>116</v>
      </c>
      <c r="C21" s="4">
        <v>15.5</v>
      </c>
      <c r="E21" t="s">
        <v>7</v>
      </c>
      <c r="G21" s="3">
        <v>41199</v>
      </c>
      <c r="H21" s="4" t="s">
        <v>120</v>
      </c>
      <c r="I21" s="4">
        <v>19.600000000000001</v>
      </c>
      <c r="J21" t="s">
        <v>7</v>
      </c>
      <c r="K21" s="3">
        <v>41199</v>
      </c>
      <c r="L21" s="4" t="s">
        <v>120</v>
      </c>
      <c r="M21" s="4">
        <v>19.600000000000001</v>
      </c>
      <c r="O21" s="38" t="s">
        <v>175</v>
      </c>
    </row>
    <row r="22" spans="1:15" x14ac:dyDescent="0.55000000000000004">
      <c r="A22" s="3">
        <v>41199</v>
      </c>
      <c r="B22" s="4" t="s">
        <v>120</v>
      </c>
      <c r="C22" s="4">
        <v>19.600000000000001</v>
      </c>
      <c r="G22" s="3">
        <v>41197</v>
      </c>
      <c r="H22" s="4" t="s">
        <v>120</v>
      </c>
      <c r="I22" s="4">
        <v>21</v>
      </c>
      <c r="K22" s="3">
        <v>41197</v>
      </c>
      <c r="L22" s="4" t="s">
        <v>120</v>
      </c>
      <c r="M22" s="4">
        <v>21</v>
      </c>
    </row>
    <row r="23" spans="1:15" x14ac:dyDescent="0.55000000000000004">
      <c r="A23" s="3">
        <v>41199</v>
      </c>
      <c r="B23" s="4" t="s">
        <v>121</v>
      </c>
      <c r="C23" s="4">
        <v>22</v>
      </c>
      <c r="G23" s="3">
        <v>41199</v>
      </c>
      <c r="H23" s="4" t="s">
        <v>121</v>
      </c>
      <c r="I23" s="4">
        <v>22</v>
      </c>
      <c r="K23" s="3">
        <v>41197</v>
      </c>
      <c r="L23" s="4" t="s">
        <v>121</v>
      </c>
      <c r="M23" s="4">
        <v>15.2</v>
      </c>
    </row>
    <row r="24" spans="1:15" x14ac:dyDescent="0.55000000000000004">
      <c r="A24" s="3">
        <v>41199</v>
      </c>
      <c r="B24" s="4" t="s">
        <v>122</v>
      </c>
      <c r="C24" s="4">
        <v>18.600000000000001</v>
      </c>
      <c r="G24" s="3">
        <v>41197</v>
      </c>
      <c r="H24" s="4" t="s">
        <v>121</v>
      </c>
      <c r="I24" s="4">
        <v>15.2</v>
      </c>
      <c r="K24" s="3">
        <v>41199</v>
      </c>
      <c r="L24" s="4" t="s">
        <v>121</v>
      </c>
      <c r="M24" s="4">
        <v>22</v>
      </c>
    </row>
    <row r="25" spans="1:15" x14ac:dyDescent="0.55000000000000004">
      <c r="A25" s="5">
        <v>41198</v>
      </c>
      <c r="B25" s="6" t="s">
        <v>116</v>
      </c>
      <c r="C25" s="6">
        <v>15.3</v>
      </c>
      <c r="G25" s="3">
        <v>41199</v>
      </c>
      <c r="H25" s="4" t="s">
        <v>122</v>
      </c>
      <c r="I25" s="4">
        <v>18.600000000000001</v>
      </c>
      <c r="K25" s="3">
        <v>41199</v>
      </c>
      <c r="L25" s="4" t="s">
        <v>122</v>
      </c>
      <c r="M25" s="4">
        <v>18.600000000000001</v>
      </c>
    </row>
    <row r="26" spans="1:15" x14ac:dyDescent="0.55000000000000004">
      <c r="A26" s="3">
        <v>41197</v>
      </c>
      <c r="B26" s="4" t="s">
        <v>116</v>
      </c>
      <c r="C26" s="4">
        <v>13.2</v>
      </c>
      <c r="G26" s="3">
        <v>41199</v>
      </c>
      <c r="H26" s="4" t="s">
        <v>116</v>
      </c>
      <c r="I26" s="4">
        <v>15.5</v>
      </c>
      <c r="K26" s="3">
        <v>41197</v>
      </c>
      <c r="L26" s="4" t="s">
        <v>116</v>
      </c>
      <c r="M26" s="4">
        <v>13.2</v>
      </c>
    </row>
    <row r="27" spans="1:15" x14ac:dyDescent="0.55000000000000004">
      <c r="A27" s="3">
        <v>41197</v>
      </c>
      <c r="B27" s="4" t="s">
        <v>120</v>
      </c>
      <c r="C27" s="4">
        <v>21</v>
      </c>
      <c r="G27" s="5">
        <v>41198</v>
      </c>
      <c r="H27" s="6" t="s">
        <v>116</v>
      </c>
      <c r="I27" s="6">
        <v>15.3</v>
      </c>
      <c r="K27" s="5">
        <v>41198</v>
      </c>
      <c r="L27" s="6" t="s">
        <v>116</v>
      </c>
      <c r="M27" s="6">
        <v>15.3</v>
      </c>
    </row>
    <row r="28" spans="1:15" x14ac:dyDescent="0.55000000000000004">
      <c r="A28" s="3">
        <v>41197</v>
      </c>
      <c r="B28" s="4" t="s">
        <v>121</v>
      </c>
      <c r="C28" s="4">
        <v>15.2</v>
      </c>
      <c r="G28" s="3">
        <v>41197</v>
      </c>
      <c r="H28" s="4" t="s">
        <v>116</v>
      </c>
      <c r="I28" s="4">
        <v>13.2</v>
      </c>
      <c r="K28" s="3">
        <v>41199</v>
      </c>
      <c r="L28" s="4" t="s">
        <v>116</v>
      </c>
      <c r="M28" s="4">
        <v>15.5</v>
      </c>
    </row>
    <row r="30" spans="1:15" x14ac:dyDescent="0.55000000000000004">
      <c r="A30" t="s">
        <v>119</v>
      </c>
    </row>
    <row r="32" spans="1:15" x14ac:dyDescent="0.55000000000000004">
      <c r="A32" s="7" t="s">
        <v>8</v>
      </c>
      <c r="B32" s="7" t="s">
        <v>9</v>
      </c>
      <c r="C32" s="7" t="s">
        <v>10</v>
      </c>
    </row>
    <row r="33" spans="1:9" x14ac:dyDescent="0.55000000000000004">
      <c r="A33" s="4" t="s">
        <v>15</v>
      </c>
      <c r="B33" s="4" t="s">
        <v>14</v>
      </c>
      <c r="C33" s="33">
        <v>418</v>
      </c>
      <c r="G33" s="39" t="s">
        <v>176</v>
      </c>
    </row>
    <row r="34" spans="1:9" x14ac:dyDescent="0.55000000000000004">
      <c r="A34" s="4" t="s">
        <v>13</v>
      </c>
      <c r="B34" s="4" t="s">
        <v>14</v>
      </c>
      <c r="C34" s="33">
        <v>528</v>
      </c>
      <c r="G34" s="44" t="s">
        <v>177</v>
      </c>
      <c r="H34" s="44"/>
      <c r="I34" s="44"/>
    </row>
    <row r="35" spans="1:9" x14ac:dyDescent="0.55000000000000004">
      <c r="A35" s="4" t="s">
        <v>17</v>
      </c>
      <c r="B35" s="4" t="s">
        <v>18</v>
      </c>
      <c r="C35" s="33">
        <v>276</v>
      </c>
      <c r="G35" s="44" t="s">
        <v>178</v>
      </c>
      <c r="H35" s="44"/>
      <c r="I35" s="44"/>
    </row>
    <row r="36" spans="1:9" x14ac:dyDescent="0.55000000000000004">
      <c r="A36" s="4" t="s">
        <v>15</v>
      </c>
      <c r="B36" s="4" t="s">
        <v>18</v>
      </c>
      <c r="C36" s="33">
        <v>414</v>
      </c>
    </row>
    <row r="37" spans="1:9" x14ac:dyDescent="0.55000000000000004">
      <c r="A37" s="4" t="s">
        <v>17</v>
      </c>
      <c r="B37" s="4" t="s">
        <v>18</v>
      </c>
      <c r="C37" s="33">
        <v>460</v>
      </c>
    </row>
    <row r="38" spans="1:9" x14ac:dyDescent="0.55000000000000004">
      <c r="A38" s="4" t="s">
        <v>15</v>
      </c>
      <c r="B38" s="4" t="s">
        <v>18</v>
      </c>
      <c r="C38" s="33">
        <v>1380</v>
      </c>
    </row>
    <row r="39" spans="1:9" x14ac:dyDescent="0.55000000000000004">
      <c r="A39" s="4" t="s">
        <v>11</v>
      </c>
      <c r="B39" s="4" t="s">
        <v>12</v>
      </c>
      <c r="C39" s="33">
        <v>432</v>
      </c>
    </row>
    <row r="40" spans="1:9" x14ac:dyDescent="0.55000000000000004">
      <c r="A40" s="4" t="s">
        <v>15</v>
      </c>
      <c r="B40" s="4" t="s">
        <v>12</v>
      </c>
      <c r="C40" s="33">
        <v>810</v>
      </c>
    </row>
    <row r="41" spans="1:9" x14ac:dyDescent="0.55000000000000004">
      <c r="A41" s="4" t="s">
        <v>15</v>
      </c>
      <c r="B41" s="4" t="s">
        <v>12</v>
      </c>
      <c r="C41" s="33">
        <v>1728</v>
      </c>
    </row>
    <row r="42" spans="1:9" x14ac:dyDescent="0.55000000000000004">
      <c r="A42" s="4" t="s">
        <v>17</v>
      </c>
      <c r="B42" s="4" t="s">
        <v>19</v>
      </c>
      <c r="C42" s="33">
        <v>462</v>
      </c>
    </row>
    <row r="43" spans="1:9" x14ac:dyDescent="0.55000000000000004">
      <c r="A43" s="4" t="s">
        <v>13</v>
      </c>
      <c r="B43" s="4" t="s">
        <v>19</v>
      </c>
      <c r="C43" s="33">
        <v>483</v>
      </c>
    </row>
    <row r="44" spans="1:9" x14ac:dyDescent="0.55000000000000004">
      <c r="A44" s="4" t="s">
        <v>17</v>
      </c>
      <c r="B44" s="4" t="s">
        <v>19</v>
      </c>
      <c r="C44" s="33">
        <v>609</v>
      </c>
    </row>
    <row r="45" spans="1:9" x14ac:dyDescent="0.55000000000000004">
      <c r="A45" s="4" t="s">
        <v>13</v>
      </c>
      <c r="B45" s="4" t="s">
        <v>19</v>
      </c>
      <c r="C45" s="33">
        <v>1197</v>
      </c>
    </row>
    <row r="46" spans="1:9" x14ac:dyDescent="0.55000000000000004">
      <c r="A46" s="4" t="s">
        <v>15</v>
      </c>
      <c r="B46" s="4" t="s">
        <v>19</v>
      </c>
      <c r="C46" s="33">
        <v>1281</v>
      </c>
    </row>
    <row r="47" spans="1:9" x14ac:dyDescent="0.55000000000000004">
      <c r="A47" s="4" t="s">
        <v>13</v>
      </c>
      <c r="B47" s="4" t="s">
        <v>16</v>
      </c>
      <c r="C47" s="33">
        <v>114</v>
      </c>
    </row>
    <row r="48" spans="1:9" x14ac:dyDescent="0.55000000000000004">
      <c r="A48" s="4" t="s">
        <v>15</v>
      </c>
      <c r="B48" s="4" t="s">
        <v>16</v>
      </c>
      <c r="C48" s="33">
        <v>228</v>
      </c>
    </row>
    <row r="49" spans="1:3" x14ac:dyDescent="0.55000000000000004">
      <c r="A49" s="4" t="s">
        <v>11</v>
      </c>
      <c r="B49" s="4" t="s">
        <v>16</v>
      </c>
      <c r="C49" s="33">
        <v>722</v>
      </c>
    </row>
    <row r="50" spans="1:3" x14ac:dyDescent="0.55000000000000004">
      <c r="A50" s="4" t="s">
        <v>13</v>
      </c>
      <c r="B50" s="4" t="s">
        <v>16</v>
      </c>
      <c r="C50" s="33">
        <v>760</v>
      </c>
    </row>
    <row r="51" spans="1:3" x14ac:dyDescent="0.55000000000000004">
      <c r="A51" s="4" t="s">
        <v>11</v>
      </c>
      <c r="B51" s="4" t="s">
        <v>16</v>
      </c>
      <c r="C51" s="33">
        <v>1026</v>
      </c>
    </row>
    <row r="54" spans="1:3" x14ac:dyDescent="0.55000000000000004">
      <c r="A54" t="s">
        <v>20</v>
      </c>
    </row>
    <row r="56" spans="1:3" x14ac:dyDescent="0.55000000000000004">
      <c r="A56" s="41">
        <v>0</v>
      </c>
      <c r="C56" t="s">
        <v>179</v>
      </c>
    </row>
    <row r="57" spans="1:3" x14ac:dyDescent="0.55000000000000004">
      <c r="A57" s="41">
        <v>4</v>
      </c>
      <c r="C57" t="s">
        <v>180</v>
      </c>
    </row>
    <row r="58" spans="1:3" x14ac:dyDescent="0.55000000000000004">
      <c r="A58" s="41">
        <v>12</v>
      </c>
      <c r="C58" s="40" t="s">
        <v>181</v>
      </c>
    </row>
    <row r="59" spans="1:3" x14ac:dyDescent="0.55000000000000004">
      <c r="A59" s="41">
        <v>21</v>
      </c>
      <c r="C59" s="40" t="s">
        <v>182</v>
      </c>
    </row>
    <row r="60" spans="1:3" x14ac:dyDescent="0.55000000000000004">
      <c r="A60" s="41">
        <v>22</v>
      </c>
      <c r="C60" s="40" t="s">
        <v>183</v>
      </c>
    </row>
    <row r="61" spans="1:3" x14ac:dyDescent="0.55000000000000004">
      <c r="A61" s="41">
        <v>23</v>
      </c>
    </row>
    <row r="62" spans="1:3" x14ac:dyDescent="0.55000000000000004">
      <c r="A62" s="41">
        <v>38</v>
      </c>
    </row>
    <row r="63" spans="1:3" x14ac:dyDescent="0.55000000000000004">
      <c r="A63" s="41">
        <v>43</v>
      </c>
    </row>
    <row r="64" spans="1:3" x14ac:dyDescent="0.55000000000000004">
      <c r="A64" s="41">
        <v>54</v>
      </c>
    </row>
  </sheetData>
  <sortState xmlns:xlrd2="http://schemas.microsoft.com/office/spreadsheetml/2017/richdata2" ref="A56:A64">
    <sortCondition ref="A56"/>
  </sortState>
  <mergeCells count="5">
    <mergeCell ref="K8:M8"/>
    <mergeCell ref="K9:M9"/>
    <mergeCell ref="K10:M10"/>
    <mergeCell ref="G34:I34"/>
    <mergeCell ref="G35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M266"/>
  <sheetViews>
    <sheetView zoomScaleNormal="100" workbookViewId="0">
      <selection activeCell="A21" sqref="A21"/>
    </sheetView>
  </sheetViews>
  <sheetFormatPr defaultRowHeight="14.4" x14ac:dyDescent="0.55000000000000004"/>
  <cols>
    <col min="1" max="1" width="11" bestFit="1" customWidth="1"/>
    <col min="2" max="2" width="4.83984375" customWidth="1"/>
    <col min="3" max="3" width="21.83984375" customWidth="1"/>
    <col min="4" max="4" width="1.26171875" customWidth="1"/>
    <col min="5" max="5" width="14.15625" bestFit="1" customWidth="1"/>
    <col min="6" max="6" width="12.68359375" bestFit="1" customWidth="1"/>
    <col min="250" max="250" width="11.83984375" bestFit="1" customWidth="1"/>
    <col min="251" max="251" width="10.26171875" customWidth="1"/>
    <col min="252" max="252" width="15.15625" customWidth="1"/>
    <col min="253" max="254" width="11" bestFit="1" customWidth="1"/>
    <col min="255" max="255" width="6.26171875" customWidth="1"/>
    <col min="256" max="256" width="3.578125" bestFit="1" customWidth="1"/>
    <col min="506" max="506" width="11.83984375" bestFit="1" customWidth="1"/>
    <col min="507" max="507" width="10.26171875" customWidth="1"/>
    <col min="508" max="508" width="15.15625" customWidth="1"/>
    <col min="509" max="510" width="11" bestFit="1" customWidth="1"/>
    <col min="511" max="511" width="6.26171875" customWidth="1"/>
    <col min="512" max="512" width="3.578125" bestFit="1" customWidth="1"/>
    <col min="762" max="762" width="11.83984375" bestFit="1" customWidth="1"/>
    <col min="763" max="763" width="10.26171875" customWidth="1"/>
    <col min="764" max="764" width="15.15625" customWidth="1"/>
    <col min="765" max="766" width="11" bestFit="1" customWidth="1"/>
    <col min="767" max="767" width="6.26171875" customWidth="1"/>
    <col min="768" max="768" width="3.578125" bestFit="1" customWidth="1"/>
    <col min="1018" max="1018" width="11.83984375" bestFit="1" customWidth="1"/>
    <col min="1019" max="1019" width="10.26171875" customWidth="1"/>
    <col min="1020" max="1020" width="15.15625" customWidth="1"/>
    <col min="1021" max="1022" width="11" bestFit="1" customWidth="1"/>
    <col min="1023" max="1023" width="6.26171875" customWidth="1"/>
    <col min="1024" max="1024" width="3.578125" bestFit="1" customWidth="1"/>
    <col min="1274" max="1274" width="11.83984375" bestFit="1" customWidth="1"/>
    <col min="1275" max="1275" width="10.26171875" customWidth="1"/>
    <col min="1276" max="1276" width="15.15625" customWidth="1"/>
    <col min="1277" max="1278" width="11" bestFit="1" customWidth="1"/>
    <col min="1279" max="1279" width="6.26171875" customWidth="1"/>
    <col min="1280" max="1280" width="3.578125" bestFit="1" customWidth="1"/>
    <col min="1530" max="1530" width="11.83984375" bestFit="1" customWidth="1"/>
    <col min="1531" max="1531" width="10.26171875" customWidth="1"/>
    <col min="1532" max="1532" width="15.15625" customWidth="1"/>
    <col min="1533" max="1534" width="11" bestFit="1" customWidth="1"/>
    <col min="1535" max="1535" width="6.26171875" customWidth="1"/>
    <col min="1536" max="1536" width="3.578125" bestFit="1" customWidth="1"/>
    <col min="1786" max="1786" width="11.83984375" bestFit="1" customWidth="1"/>
    <col min="1787" max="1787" width="10.26171875" customWidth="1"/>
    <col min="1788" max="1788" width="15.15625" customWidth="1"/>
    <col min="1789" max="1790" width="11" bestFit="1" customWidth="1"/>
    <col min="1791" max="1791" width="6.26171875" customWidth="1"/>
    <col min="1792" max="1792" width="3.578125" bestFit="1" customWidth="1"/>
    <col min="2042" max="2042" width="11.83984375" bestFit="1" customWidth="1"/>
    <col min="2043" max="2043" width="10.26171875" customWidth="1"/>
    <col min="2044" max="2044" width="15.15625" customWidth="1"/>
    <col min="2045" max="2046" width="11" bestFit="1" customWidth="1"/>
    <col min="2047" max="2047" width="6.26171875" customWidth="1"/>
    <col min="2048" max="2048" width="3.578125" bestFit="1" customWidth="1"/>
    <col min="2298" max="2298" width="11.83984375" bestFit="1" customWidth="1"/>
    <col min="2299" max="2299" width="10.26171875" customWidth="1"/>
    <col min="2300" max="2300" width="15.15625" customWidth="1"/>
    <col min="2301" max="2302" width="11" bestFit="1" customWidth="1"/>
    <col min="2303" max="2303" width="6.26171875" customWidth="1"/>
    <col min="2304" max="2304" width="3.578125" bestFit="1" customWidth="1"/>
    <col min="2554" max="2554" width="11.83984375" bestFit="1" customWidth="1"/>
    <col min="2555" max="2555" width="10.26171875" customWidth="1"/>
    <col min="2556" max="2556" width="15.15625" customWidth="1"/>
    <col min="2557" max="2558" width="11" bestFit="1" customWidth="1"/>
    <col min="2559" max="2559" width="6.26171875" customWidth="1"/>
    <col min="2560" max="2560" width="3.578125" bestFit="1" customWidth="1"/>
    <col min="2810" max="2810" width="11.83984375" bestFit="1" customWidth="1"/>
    <col min="2811" max="2811" width="10.26171875" customWidth="1"/>
    <col min="2812" max="2812" width="15.15625" customWidth="1"/>
    <col min="2813" max="2814" width="11" bestFit="1" customWidth="1"/>
    <col min="2815" max="2815" width="6.26171875" customWidth="1"/>
    <col min="2816" max="2816" width="3.578125" bestFit="1" customWidth="1"/>
    <col min="3066" max="3066" width="11.83984375" bestFit="1" customWidth="1"/>
    <col min="3067" max="3067" width="10.26171875" customWidth="1"/>
    <col min="3068" max="3068" width="15.15625" customWidth="1"/>
    <col min="3069" max="3070" width="11" bestFit="1" customWidth="1"/>
    <col min="3071" max="3071" width="6.26171875" customWidth="1"/>
    <col min="3072" max="3072" width="3.578125" bestFit="1" customWidth="1"/>
    <col min="3322" max="3322" width="11.83984375" bestFit="1" customWidth="1"/>
    <col min="3323" max="3323" width="10.26171875" customWidth="1"/>
    <col min="3324" max="3324" width="15.15625" customWidth="1"/>
    <col min="3325" max="3326" width="11" bestFit="1" customWidth="1"/>
    <col min="3327" max="3327" width="6.26171875" customWidth="1"/>
    <col min="3328" max="3328" width="3.578125" bestFit="1" customWidth="1"/>
    <col min="3578" max="3578" width="11.83984375" bestFit="1" customWidth="1"/>
    <col min="3579" max="3579" width="10.26171875" customWidth="1"/>
    <col min="3580" max="3580" width="15.15625" customWidth="1"/>
    <col min="3581" max="3582" width="11" bestFit="1" customWidth="1"/>
    <col min="3583" max="3583" width="6.26171875" customWidth="1"/>
    <col min="3584" max="3584" width="3.578125" bestFit="1" customWidth="1"/>
    <col min="3834" max="3834" width="11.83984375" bestFit="1" customWidth="1"/>
    <col min="3835" max="3835" width="10.26171875" customWidth="1"/>
    <col min="3836" max="3836" width="15.15625" customWidth="1"/>
    <col min="3837" max="3838" width="11" bestFit="1" customWidth="1"/>
    <col min="3839" max="3839" width="6.26171875" customWidth="1"/>
    <col min="3840" max="3840" width="3.578125" bestFit="1" customWidth="1"/>
    <col min="4090" max="4090" width="11.83984375" bestFit="1" customWidth="1"/>
    <col min="4091" max="4091" width="10.26171875" customWidth="1"/>
    <col min="4092" max="4092" width="15.15625" customWidth="1"/>
    <col min="4093" max="4094" width="11" bestFit="1" customWidth="1"/>
    <col min="4095" max="4095" width="6.26171875" customWidth="1"/>
    <col min="4096" max="4096" width="3.578125" bestFit="1" customWidth="1"/>
    <col min="4346" max="4346" width="11.83984375" bestFit="1" customWidth="1"/>
    <col min="4347" max="4347" width="10.26171875" customWidth="1"/>
    <col min="4348" max="4348" width="15.15625" customWidth="1"/>
    <col min="4349" max="4350" width="11" bestFit="1" customWidth="1"/>
    <col min="4351" max="4351" width="6.26171875" customWidth="1"/>
    <col min="4352" max="4352" width="3.578125" bestFit="1" customWidth="1"/>
    <col min="4602" max="4602" width="11.83984375" bestFit="1" customWidth="1"/>
    <col min="4603" max="4603" width="10.26171875" customWidth="1"/>
    <col min="4604" max="4604" width="15.15625" customWidth="1"/>
    <col min="4605" max="4606" width="11" bestFit="1" customWidth="1"/>
    <col min="4607" max="4607" width="6.26171875" customWidth="1"/>
    <col min="4608" max="4608" width="3.578125" bestFit="1" customWidth="1"/>
    <col min="4858" max="4858" width="11.83984375" bestFit="1" customWidth="1"/>
    <col min="4859" max="4859" width="10.26171875" customWidth="1"/>
    <col min="4860" max="4860" width="15.15625" customWidth="1"/>
    <col min="4861" max="4862" width="11" bestFit="1" customWidth="1"/>
    <col min="4863" max="4863" width="6.26171875" customWidth="1"/>
    <col min="4864" max="4864" width="3.578125" bestFit="1" customWidth="1"/>
    <col min="5114" max="5114" width="11.83984375" bestFit="1" customWidth="1"/>
    <col min="5115" max="5115" width="10.26171875" customWidth="1"/>
    <col min="5116" max="5116" width="15.15625" customWidth="1"/>
    <col min="5117" max="5118" width="11" bestFit="1" customWidth="1"/>
    <col min="5119" max="5119" width="6.26171875" customWidth="1"/>
    <col min="5120" max="5120" width="3.578125" bestFit="1" customWidth="1"/>
    <col min="5370" max="5370" width="11.83984375" bestFit="1" customWidth="1"/>
    <col min="5371" max="5371" width="10.26171875" customWidth="1"/>
    <col min="5372" max="5372" width="15.15625" customWidth="1"/>
    <col min="5373" max="5374" width="11" bestFit="1" customWidth="1"/>
    <col min="5375" max="5375" width="6.26171875" customWidth="1"/>
    <col min="5376" max="5376" width="3.578125" bestFit="1" customWidth="1"/>
    <col min="5626" max="5626" width="11.83984375" bestFit="1" customWidth="1"/>
    <col min="5627" max="5627" width="10.26171875" customWidth="1"/>
    <col min="5628" max="5628" width="15.15625" customWidth="1"/>
    <col min="5629" max="5630" width="11" bestFit="1" customWidth="1"/>
    <col min="5631" max="5631" width="6.26171875" customWidth="1"/>
    <col min="5632" max="5632" width="3.578125" bestFit="1" customWidth="1"/>
    <col min="5882" max="5882" width="11.83984375" bestFit="1" customWidth="1"/>
    <col min="5883" max="5883" width="10.26171875" customWidth="1"/>
    <col min="5884" max="5884" width="15.15625" customWidth="1"/>
    <col min="5885" max="5886" width="11" bestFit="1" customWidth="1"/>
    <col min="5887" max="5887" width="6.26171875" customWidth="1"/>
    <col min="5888" max="5888" width="3.578125" bestFit="1" customWidth="1"/>
    <col min="6138" max="6138" width="11.83984375" bestFit="1" customWidth="1"/>
    <col min="6139" max="6139" width="10.26171875" customWidth="1"/>
    <col min="6140" max="6140" width="15.15625" customWidth="1"/>
    <col min="6141" max="6142" width="11" bestFit="1" customWidth="1"/>
    <col min="6143" max="6143" width="6.26171875" customWidth="1"/>
    <col min="6144" max="6144" width="3.578125" bestFit="1" customWidth="1"/>
    <col min="6394" max="6394" width="11.83984375" bestFit="1" customWidth="1"/>
    <col min="6395" max="6395" width="10.26171875" customWidth="1"/>
    <col min="6396" max="6396" width="15.15625" customWidth="1"/>
    <col min="6397" max="6398" width="11" bestFit="1" customWidth="1"/>
    <col min="6399" max="6399" width="6.26171875" customWidth="1"/>
    <col min="6400" max="6400" width="3.578125" bestFit="1" customWidth="1"/>
    <col min="6650" max="6650" width="11.83984375" bestFit="1" customWidth="1"/>
    <col min="6651" max="6651" width="10.26171875" customWidth="1"/>
    <col min="6652" max="6652" width="15.15625" customWidth="1"/>
    <col min="6653" max="6654" width="11" bestFit="1" customWidth="1"/>
    <col min="6655" max="6655" width="6.26171875" customWidth="1"/>
    <col min="6656" max="6656" width="3.578125" bestFit="1" customWidth="1"/>
    <col min="6906" max="6906" width="11.83984375" bestFit="1" customWidth="1"/>
    <col min="6907" max="6907" width="10.26171875" customWidth="1"/>
    <col min="6908" max="6908" width="15.15625" customWidth="1"/>
    <col min="6909" max="6910" width="11" bestFit="1" customWidth="1"/>
    <col min="6911" max="6911" width="6.26171875" customWidth="1"/>
    <col min="6912" max="6912" width="3.578125" bestFit="1" customWidth="1"/>
    <col min="7162" max="7162" width="11.83984375" bestFit="1" customWidth="1"/>
    <col min="7163" max="7163" width="10.26171875" customWidth="1"/>
    <col min="7164" max="7164" width="15.15625" customWidth="1"/>
    <col min="7165" max="7166" width="11" bestFit="1" customWidth="1"/>
    <col min="7167" max="7167" width="6.26171875" customWidth="1"/>
    <col min="7168" max="7168" width="3.578125" bestFit="1" customWidth="1"/>
    <col min="7418" max="7418" width="11.83984375" bestFit="1" customWidth="1"/>
    <col min="7419" max="7419" width="10.26171875" customWidth="1"/>
    <col min="7420" max="7420" width="15.15625" customWidth="1"/>
    <col min="7421" max="7422" width="11" bestFit="1" customWidth="1"/>
    <col min="7423" max="7423" width="6.26171875" customWidth="1"/>
    <col min="7424" max="7424" width="3.578125" bestFit="1" customWidth="1"/>
    <col min="7674" max="7674" width="11.83984375" bestFit="1" customWidth="1"/>
    <col min="7675" max="7675" width="10.26171875" customWidth="1"/>
    <col min="7676" max="7676" width="15.15625" customWidth="1"/>
    <col min="7677" max="7678" width="11" bestFit="1" customWidth="1"/>
    <col min="7679" max="7679" width="6.26171875" customWidth="1"/>
    <col min="7680" max="7680" width="3.578125" bestFit="1" customWidth="1"/>
    <col min="7930" max="7930" width="11.83984375" bestFit="1" customWidth="1"/>
    <col min="7931" max="7931" width="10.26171875" customWidth="1"/>
    <col min="7932" max="7932" width="15.15625" customWidth="1"/>
    <col min="7933" max="7934" width="11" bestFit="1" customWidth="1"/>
    <col min="7935" max="7935" width="6.26171875" customWidth="1"/>
    <col min="7936" max="7936" width="3.578125" bestFit="1" customWidth="1"/>
    <col min="8186" max="8186" width="11.83984375" bestFit="1" customWidth="1"/>
    <col min="8187" max="8187" width="10.26171875" customWidth="1"/>
    <col min="8188" max="8188" width="15.15625" customWidth="1"/>
    <col min="8189" max="8190" width="11" bestFit="1" customWidth="1"/>
    <col min="8191" max="8191" width="6.26171875" customWidth="1"/>
    <col min="8192" max="8192" width="3.578125" bestFit="1" customWidth="1"/>
    <col min="8442" max="8442" width="11.83984375" bestFit="1" customWidth="1"/>
    <col min="8443" max="8443" width="10.26171875" customWidth="1"/>
    <col min="8444" max="8444" width="15.15625" customWidth="1"/>
    <col min="8445" max="8446" width="11" bestFit="1" customWidth="1"/>
    <col min="8447" max="8447" width="6.26171875" customWidth="1"/>
    <col min="8448" max="8448" width="3.578125" bestFit="1" customWidth="1"/>
    <col min="8698" max="8698" width="11.83984375" bestFit="1" customWidth="1"/>
    <col min="8699" max="8699" width="10.26171875" customWidth="1"/>
    <col min="8700" max="8700" width="15.15625" customWidth="1"/>
    <col min="8701" max="8702" width="11" bestFit="1" customWidth="1"/>
    <col min="8703" max="8703" width="6.26171875" customWidth="1"/>
    <col min="8704" max="8704" width="3.578125" bestFit="1" customWidth="1"/>
    <col min="8954" max="8954" width="11.83984375" bestFit="1" customWidth="1"/>
    <col min="8955" max="8955" width="10.26171875" customWidth="1"/>
    <col min="8956" max="8956" width="15.15625" customWidth="1"/>
    <col min="8957" max="8958" width="11" bestFit="1" customWidth="1"/>
    <col min="8959" max="8959" width="6.26171875" customWidth="1"/>
    <col min="8960" max="8960" width="3.578125" bestFit="1" customWidth="1"/>
    <col min="9210" max="9210" width="11.83984375" bestFit="1" customWidth="1"/>
    <col min="9211" max="9211" width="10.26171875" customWidth="1"/>
    <col min="9212" max="9212" width="15.15625" customWidth="1"/>
    <col min="9213" max="9214" width="11" bestFit="1" customWidth="1"/>
    <col min="9215" max="9215" width="6.26171875" customWidth="1"/>
    <col min="9216" max="9216" width="3.578125" bestFit="1" customWidth="1"/>
    <col min="9466" max="9466" width="11.83984375" bestFit="1" customWidth="1"/>
    <col min="9467" max="9467" width="10.26171875" customWidth="1"/>
    <col min="9468" max="9468" width="15.15625" customWidth="1"/>
    <col min="9469" max="9470" width="11" bestFit="1" customWidth="1"/>
    <col min="9471" max="9471" width="6.26171875" customWidth="1"/>
    <col min="9472" max="9472" width="3.578125" bestFit="1" customWidth="1"/>
    <col min="9722" max="9722" width="11.83984375" bestFit="1" customWidth="1"/>
    <col min="9723" max="9723" width="10.26171875" customWidth="1"/>
    <col min="9724" max="9724" width="15.15625" customWidth="1"/>
    <col min="9725" max="9726" width="11" bestFit="1" customWidth="1"/>
    <col min="9727" max="9727" width="6.26171875" customWidth="1"/>
    <col min="9728" max="9728" width="3.578125" bestFit="1" customWidth="1"/>
    <col min="9978" max="9978" width="11.83984375" bestFit="1" customWidth="1"/>
    <col min="9979" max="9979" width="10.26171875" customWidth="1"/>
    <col min="9980" max="9980" width="15.15625" customWidth="1"/>
    <col min="9981" max="9982" width="11" bestFit="1" customWidth="1"/>
    <col min="9983" max="9983" width="6.26171875" customWidth="1"/>
    <col min="9984" max="9984" width="3.578125" bestFit="1" customWidth="1"/>
    <col min="10234" max="10234" width="11.83984375" bestFit="1" customWidth="1"/>
    <col min="10235" max="10235" width="10.26171875" customWidth="1"/>
    <col min="10236" max="10236" width="15.15625" customWidth="1"/>
    <col min="10237" max="10238" width="11" bestFit="1" customWidth="1"/>
    <col min="10239" max="10239" width="6.26171875" customWidth="1"/>
    <col min="10240" max="10240" width="3.578125" bestFit="1" customWidth="1"/>
    <col min="10490" max="10490" width="11.83984375" bestFit="1" customWidth="1"/>
    <col min="10491" max="10491" width="10.26171875" customWidth="1"/>
    <col min="10492" max="10492" width="15.15625" customWidth="1"/>
    <col min="10493" max="10494" width="11" bestFit="1" customWidth="1"/>
    <col min="10495" max="10495" width="6.26171875" customWidth="1"/>
    <col min="10496" max="10496" width="3.578125" bestFit="1" customWidth="1"/>
    <col min="10746" max="10746" width="11.83984375" bestFit="1" customWidth="1"/>
    <col min="10747" max="10747" width="10.26171875" customWidth="1"/>
    <col min="10748" max="10748" width="15.15625" customWidth="1"/>
    <col min="10749" max="10750" width="11" bestFit="1" customWidth="1"/>
    <col min="10751" max="10751" width="6.26171875" customWidth="1"/>
    <col min="10752" max="10752" width="3.578125" bestFit="1" customWidth="1"/>
    <col min="11002" max="11002" width="11.83984375" bestFit="1" customWidth="1"/>
    <col min="11003" max="11003" width="10.26171875" customWidth="1"/>
    <col min="11004" max="11004" width="15.15625" customWidth="1"/>
    <col min="11005" max="11006" width="11" bestFit="1" customWidth="1"/>
    <col min="11007" max="11007" width="6.26171875" customWidth="1"/>
    <col min="11008" max="11008" width="3.578125" bestFit="1" customWidth="1"/>
    <col min="11258" max="11258" width="11.83984375" bestFit="1" customWidth="1"/>
    <col min="11259" max="11259" width="10.26171875" customWidth="1"/>
    <col min="11260" max="11260" width="15.15625" customWidth="1"/>
    <col min="11261" max="11262" width="11" bestFit="1" customWidth="1"/>
    <col min="11263" max="11263" width="6.26171875" customWidth="1"/>
    <col min="11264" max="11264" width="3.578125" bestFit="1" customWidth="1"/>
    <col min="11514" max="11514" width="11.83984375" bestFit="1" customWidth="1"/>
    <col min="11515" max="11515" width="10.26171875" customWidth="1"/>
    <col min="11516" max="11516" width="15.15625" customWidth="1"/>
    <col min="11517" max="11518" width="11" bestFit="1" customWidth="1"/>
    <col min="11519" max="11519" width="6.26171875" customWidth="1"/>
    <col min="11520" max="11520" width="3.578125" bestFit="1" customWidth="1"/>
    <col min="11770" max="11770" width="11.83984375" bestFit="1" customWidth="1"/>
    <col min="11771" max="11771" width="10.26171875" customWidth="1"/>
    <col min="11772" max="11772" width="15.15625" customWidth="1"/>
    <col min="11773" max="11774" width="11" bestFit="1" customWidth="1"/>
    <col min="11775" max="11775" width="6.26171875" customWidth="1"/>
    <col min="11776" max="11776" width="3.578125" bestFit="1" customWidth="1"/>
    <col min="12026" max="12026" width="11.83984375" bestFit="1" customWidth="1"/>
    <col min="12027" max="12027" width="10.26171875" customWidth="1"/>
    <col min="12028" max="12028" width="15.15625" customWidth="1"/>
    <col min="12029" max="12030" width="11" bestFit="1" customWidth="1"/>
    <col min="12031" max="12031" width="6.26171875" customWidth="1"/>
    <col min="12032" max="12032" width="3.578125" bestFit="1" customWidth="1"/>
    <col min="12282" max="12282" width="11.83984375" bestFit="1" customWidth="1"/>
    <col min="12283" max="12283" width="10.26171875" customWidth="1"/>
    <col min="12284" max="12284" width="15.15625" customWidth="1"/>
    <col min="12285" max="12286" width="11" bestFit="1" customWidth="1"/>
    <col min="12287" max="12287" width="6.26171875" customWidth="1"/>
    <col min="12288" max="12288" width="3.578125" bestFit="1" customWidth="1"/>
    <col min="12538" max="12538" width="11.83984375" bestFit="1" customWidth="1"/>
    <col min="12539" max="12539" width="10.26171875" customWidth="1"/>
    <col min="12540" max="12540" width="15.15625" customWidth="1"/>
    <col min="12541" max="12542" width="11" bestFit="1" customWidth="1"/>
    <col min="12543" max="12543" width="6.26171875" customWidth="1"/>
    <col min="12544" max="12544" width="3.578125" bestFit="1" customWidth="1"/>
    <col min="12794" max="12794" width="11.83984375" bestFit="1" customWidth="1"/>
    <col min="12795" max="12795" width="10.26171875" customWidth="1"/>
    <col min="12796" max="12796" width="15.15625" customWidth="1"/>
    <col min="12797" max="12798" width="11" bestFit="1" customWidth="1"/>
    <col min="12799" max="12799" width="6.26171875" customWidth="1"/>
    <col min="12800" max="12800" width="3.578125" bestFit="1" customWidth="1"/>
    <col min="13050" max="13050" width="11.83984375" bestFit="1" customWidth="1"/>
    <col min="13051" max="13051" width="10.26171875" customWidth="1"/>
    <col min="13052" max="13052" width="15.15625" customWidth="1"/>
    <col min="13053" max="13054" width="11" bestFit="1" customWidth="1"/>
    <col min="13055" max="13055" width="6.26171875" customWidth="1"/>
    <col min="13056" max="13056" width="3.578125" bestFit="1" customWidth="1"/>
    <col min="13306" max="13306" width="11.83984375" bestFit="1" customWidth="1"/>
    <col min="13307" max="13307" width="10.26171875" customWidth="1"/>
    <col min="13308" max="13308" width="15.15625" customWidth="1"/>
    <col min="13309" max="13310" width="11" bestFit="1" customWidth="1"/>
    <col min="13311" max="13311" width="6.26171875" customWidth="1"/>
    <col min="13312" max="13312" width="3.578125" bestFit="1" customWidth="1"/>
    <col min="13562" max="13562" width="11.83984375" bestFit="1" customWidth="1"/>
    <col min="13563" max="13563" width="10.26171875" customWidth="1"/>
    <col min="13564" max="13564" width="15.15625" customWidth="1"/>
    <col min="13565" max="13566" width="11" bestFit="1" customWidth="1"/>
    <col min="13567" max="13567" width="6.26171875" customWidth="1"/>
    <col min="13568" max="13568" width="3.578125" bestFit="1" customWidth="1"/>
    <col min="13818" max="13818" width="11.83984375" bestFit="1" customWidth="1"/>
    <col min="13819" max="13819" width="10.26171875" customWidth="1"/>
    <col min="13820" max="13820" width="15.15625" customWidth="1"/>
    <col min="13821" max="13822" width="11" bestFit="1" customWidth="1"/>
    <col min="13823" max="13823" width="6.26171875" customWidth="1"/>
    <col min="13824" max="13824" width="3.578125" bestFit="1" customWidth="1"/>
    <col min="14074" max="14074" width="11.83984375" bestFit="1" customWidth="1"/>
    <col min="14075" max="14075" width="10.26171875" customWidth="1"/>
    <col min="14076" max="14076" width="15.15625" customWidth="1"/>
    <col min="14077" max="14078" width="11" bestFit="1" customWidth="1"/>
    <col min="14079" max="14079" width="6.26171875" customWidth="1"/>
    <col min="14080" max="14080" width="3.578125" bestFit="1" customWidth="1"/>
    <col min="14330" max="14330" width="11.83984375" bestFit="1" customWidth="1"/>
    <col min="14331" max="14331" width="10.26171875" customWidth="1"/>
    <col min="14332" max="14332" width="15.15625" customWidth="1"/>
    <col min="14333" max="14334" width="11" bestFit="1" customWidth="1"/>
    <col min="14335" max="14335" width="6.26171875" customWidth="1"/>
    <col min="14336" max="14336" width="3.578125" bestFit="1" customWidth="1"/>
    <col min="14586" max="14586" width="11.83984375" bestFit="1" customWidth="1"/>
    <col min="14587" max="14587" width="10.26171875" customWidth="1"/>
    <col min="14588" max="14588" width="15.15625" customWidth="1"/>
    <col min="14589" max="14590" width="11" bestFit="1" customWidth="1"/>
    <col min="14591" max="14591" width="6.26171875" customWidth="1"/>
    <col min="14592" max="14592" width="3.578125" bestFit="1" customWidth="1"/>
    <col min="14842" max="14842" width="11.83984375" bestFit="1" customWidth="1"/>
    <col min="14843" max="14843" width="10.26171875" customWidth="1"/>
    <col min="14844" max="14844" width="15.15625" customWidth="1"/>
    <col min="14845" max="14846" width="11" bestFit="1" customWidth="1"/>
    <col min="14847" max="14847" width="6.26171875" customWidth="1"/>
    <col min="14848" max="14848" width="3.578125" bestFit="1" customWidth="1"/>
    <col min="15098" max="15098" width="11.83984375" bestFit="1" customWidth="1"/>
    <col min="15099" max="15099" width="10.26171875" customWidth="1"/>
    <col min="15100" max="15100" width="15.15625" customWidth="1"/>
    <col min="15101" max="15102" width="11" bestFit="1" customWidth="1"/>
    <col min="15103" max="15103" width="6.26171875" customWidth="1"/>
    <col min="15104" max="15104" width="3.578125" bestFit="1" customWidth="1"/>
    <col min="15354" max="15354" width="11.83984375" bestFit="1" customWidth="1"/>
    <col min="15355" max="15355" width="10.26171875" customWidth="1"/>
    <col min="15356" max="15356" width="15.15625" customWidth="1"/>
    <col min="15357" max="15358" width="11" bestFit="1" customWidth="1"/>
    <col min="15359" max="15359" width="6.26171875" customWidth="1"/>
    <col min="15360" max="15360" width="3.578125" bestFit="1" customWidth="1"/>
    <col min="15610" max="15610" width="11.83984375" bestFit="1" customWidth="1"/>
    <col min="15611" max="15611" width="10.26171875" customWidth="1"/>
    <col min="15612" max="15612" width="15.15625" customWidth="1"/>
    <col min="15613" max="15614" width="11" bestFit="1" customWidth="1"/>
    <col min="15615" max="15615" width="6.26171875" customWidth="1"/>
    <col min="15616" max="15616" width="3.578125" bestFit="1" customWidth="1"/>
    <col min="15866" max="15866" width="11.83984375" bestFit="1" customWidth="1"/>
    <col min="15867" max="15867" width="10.26171875" customWidth="1"/>
    <col min="15868" max="15868" width="15.15625" customWidth="1"/>
    <col min="15869" max="15870" width="11" bestFit="1" customWidth="1"/>
    <col min="15871" max="15871" width="6.26171875" customWidth="1"/>
    <col min="15872" max="15872" width="3.578125" bestFit="1" customWidth="1"/>
    <col min="16122" max="16122" width="11.83984375" bestFit="1" customWidth="1"/>
    <col min="16123" max="16123" width="10.26171875" customWidth="1"/>
    <col min="16124" max="16124" width="15.15625" customWidth="1"/>
    <col min="16125" max="16126" width="11" bestFit="1" customWidth="1"/>
    <col min="16127" max="16127" width="6.26171875" customWidth="1"/>
    <col min="16128" max="16128" width="3.578125" bestFit="1" customWidth="1"/>
  </cols>
  <sheetData>
    <row r="1" spans="1:13" x14ac:dyDescent="0.55000000000000004">
      <c r="A1" s="19" t="s">
        <v>37</v>
      </c>
      <c r="E1" s="18" t="s">
        <v>36</v>
      </c>
      <c r="F1" s="17"/>
      <c r="G1" s="17"/>
      <c r="H1" s="17"/>
      <c r="I1" s="17"/>
      <c r="J1" s="17"/>
      <c r="K1" s="17"/>
      <c r="L1" s="17"/>
      <c r="M1" s="16"/>
    </row>
    <row r="2" spans="1:13" x14ac:dyDescent="0.55000000000000004">
      <c r="A2" s="4">
        <v>3</v>
      </c>
      <c r="C2" t="str">
        <f t="shared" ref="C2:C14" si="0">IFERROR(IF(AND(ISTEXT(A2),LEN(A2)=0),"&lt;== Null Text String",IF(ISBLANK(A2),"&lt;== Empty cell","")),"")</f>
        <v/>
      </c>
      <c r="E2" s="15">
        <v>1</v>
      </c>
      <c r="F2" s="13" t="s">
        <v>34</v>
      </c>
      <c r="G2" s="13"/>
      <c r="H2" s="13"/>
      <c r="I2" s="13"/>
      <c r="J2" s="13"/>
      <c r="K2" s="13"/>
      <c r="L2" s="13"/>
      <c r="M2" s="12"/>
    </row>
    <row r="3" spans="1:13" x14ac:dyDescent="0.55000000000000004">
      <c r="A3" s="4">
        <v>4</v>
      </c>
      <c r="C3" t="str">
        <f t="shared" si="0"/>
        <v/>
      </c>
      <c r="E3" s="15">
        <v>2</v>
      </c>
      <c r="F3" s="13" t="s">
        <v>33</v>
      </c>
      <c r="G3" s="13"/>
      <c r="H3" s="13"/>
      <c r="I3" s="13"/>
      <c r="J3" s="13"/>
      <c r="K3" s="13"/>
      <c r="L3" s="13"/>
      <c r="M3" s="12"/>
    </row>
    <row r="4" spans="1:13" x14ac:dyDescent="0.55000000000000004">
      <c r="A4" s="6" t="str">
        <f>""</f>
        <v/>
      </c>
      <c r="C4" t="str">
        <f t="shared" si="0"/>
        <v>&lt;== Null Text String</v>
      </c>
      <c r="E4" s="15">
        <v>3</v>
      </c>
      <c r="F4" s="13" t="s">
        <v>32</v>
      </c>
      <c r="G4" s="13"/>
      <c r="H4" s="13"/>
      <c r="I4" s="13"/>
      <c r="J4" s="13"/>
      <c r="K4" s="13"/>
      <c r="L4" s="13"/>
      <c r="M4" s="12"/>
    </row>
    <row r="5" spans="1:13" x14ac:dyDescent="0.55000000000000004">
      <c r="A5" s="4" t="s">
        <v>24</v>
      </c>
      <c r="C5" t="str">
        <f t="shared" si="0"/>
        <v/>
      </c>
      <c r="D5" s="1"/>
      <c r="E5" s="15">
        <v>4</v>
      </c>
      <c r="F5" s="13" t="s">
        <v>31</v>
      </c>
      <c r="G5" s="13"/>
      <c r="H5" s="13"/>
      <c r="I5" s="13"/>
      <c r="J5" s="13"/>
      <c r="K5" s="13"/>
      <c r="L5" s="13"/>
      <c r="M5" s="12"/>
    </row>
    <row r="6" spans="1:13" x14ac:dyDescent="0.55000000000000004">
      <c r="A6" s="4" t="s">
        <v>28</v>
      </c>
      <c r="C6" t="str">
        <f t="shared" si="0"/>
        <v/>
      </c>
      <c r="E6" s="15">
        <v>5</v>
      </c>
      <c r="F6" s="13" t="s">
        <v>29</v>
      </c>
      <c r="G6" s="13"/>
      <c r="H6" s="13"/>
      <c r="I6" s="13"/>
      <c r="J6" s="13"/>
      <c r="K6" s="13"/>
      <c r="L6" s="13"/>
      <c r="M6" s="12"/>
    </row>
    <row r="7" spans="1:13" x14ac:dyDescent="0.55000000000000004">
      <c r="A7" s="4" t="s">
        <v>30</v>
      </c>
      <c r="C7" t="str">
        <f t="shared" si="0"/>
        <v/>
      </c>
      <c r="E7" s="15">
        <v>6</v>
      </c>
      <c r="F7" s="13" t="s">
        <v>27</v>
      </c>
      <c r="G7" s="13"/>
      <c r="H7" s="13"/>
      <c r="I7" s="13"/>
      <c r="J7" s="13"/>
      <c r="K7" s="13"/>
      <c r="L7" s="13"/>
      <c r="M7" s="12"/>
    </row>
    <row r="8" spans="1:13" x14ac:dyDescent="0.55000000000000004">
      <c r="A8" s="4" t="s">
        <v>184</v>
      </c>
      <c r="C8" t="str">
        <f t="shared" si="0"/>
        <v/>
      </c>
      <c r="E8" s="14"/>
      <c r="F8" s="13" t="s">
        <v>26</v>
      </c>
      <c r="G8" s="13"/>
      <c r="H8" s="13"/>
      <c r="I8" s="13"/>
      <c r="J8" s="13"/>
      <c r="K8" s="13"/>
      <c r="L8" s="13"/>
      <c r="M8" s="12"/>
    </row>
    <row r="9" spans="1:13" x14ac:dyDescent="0.55000000000000004">
      <c r="A9" s="4" t="s">
        <v>35</v>
      </c>
      <c r="C9" t="str">
        <f t="shared" si="0"/>
        <v/>
      </c>
      <c r="E9" s="11"/>
      <c r="F9" s="10" t="s">
        <v>25</v>
      </c>
      <c r="G9" s="10"/>
      <c r="H9" s="10"/>
      <c r="I9" s="10"/>
      <c r="J9" s="10"/>
      <c r="K9" s="10"/>
      <c r="L9" s="10"/>
      <c r="M9" s="9"/>
    </row>
    <row r="10" spans="1:13" x14ac:dyDescent="0.55000000000000004">
      <c r="A10" s="4" t="s">
        <v>21</v>
      </c>
      <c r="C10" t="str">
        <f t="shared" si="0"/>
        <v/>
      </c>
    </row>
    <row r="11" spans="1:13" x14ac:dyDescent="0.55000000000000004">
      <c r="A11" s="4" t="b">
        <v>0</v>
      </c>
      <c r="C11" t="str">
        <f t="shared" si="0"/>
        <v/>
      </c>
      <c r="E11" s="8" t="s">
        <v>23</v>
      </c>
      <c r="F11" s="8" t="s">
        <v>22</v>
      </c>
    </row>
    <row r="12" spans="1:13" x14ac:dyDescent="0.55000000000000004">
      <c r="A12" s="4" t="b">
        <v>1</v>
      </c>
      <c r="C12" t="str">
        <f t="shared" si="0"/>
        <v/>
      </c>
      <c r="E12" s="4" t="str">
        <f>CHAR(ROWS(E$12:E12))</f>
        <v>_x0001_</v>
      </c>
      <c r="F12" s="4">
        <f t="shared" ref="F12:F75" si="1">CODE(E12)</f>
        <v>1</v>
      </c>
    </row>
    <row r="13" spans="1:13" x14ac:dyDescent="0.55000000000000004">
      <c r="A13" s="4" t="e">
        <f>1/0</f>
        <v>#DIV/0!</v>
      </c>
      <c r="C13" t="str">
        <f t="shared" si="0"/>
        <v/>
      </c>
      <c r="E13" s="4" t="str">
        <f>CHAR(ROWS(E$12:E13))</f>
        <v>_x0002_</v>
      </c>
      <c r="F13" s="4">
        <f t="shared" si="1"/>
        <v>2</v>
      </c>
    </row>
    <row r="14" spans="1:13" x14ac:dyDescent="0.55000000000000004">
      <c r="A14" s="4"/>
      <c r="C14" t="str">
        <f t="shared" si="0"/>
        <v>&lt;== Empty cell</v>
      </c>
      <c r="E14" s="4" t="str">
        <f>CHAR(ROWS(E$12:E14))</f>
        <v>_x0003_</v>
      </c>
      <c r="F14" s="4">
        <f t="shared" si="1"/>
        <v>3</v>
      </c>
    </row>
    <row r="15" spans="1:13" x14ac:dyDescent="0.55000000000000004">
      <c r="E15" s="4" t="str">
        <f>CHAR(ROWS(E$12:E15))</f>
        <v>_x0004_</v>
      </c>
      <c r="F15" s="4">
        <f t="shared" si="1"/>
        <v>4</v>
      </c>
    </row>
    <row r="16" spans="1:13" x14ac:dyDescent="0.55000000000000004">
      <c r="C16" s="45" t="s">
        <v>185</v>
      </c>
      <c r="E16" s="4" t="str">
        <f>CHAR(ROWS(E$12:E16))</f>
        <v>_x0005_</v>
      </c>
      <c r="F16" s="4">
        <f t="shared" si="1"/>
        <v>5</v>
      </c>
    </row>
    <row r="17" spans="3:6" x14ac:dyDescent="0.55000000000000004">
      <c r="C17" s="45"/>
      <c r="E17" s="4" t="str">
        <f>CHAR(ROWS(E$12:E17))</f>
        <v>_x0006_</v>
      </c>
      <c r="F17" s="4">
        <f t="shared" si="1"/>
        <v>6</v>
      </c>
    </row>
    <row r="18" spans="3:6" x14ac:dyDescent="0.55000000000000004">
      <c r="C18" s="45"/>
      <c r="E18" s="4" t="str">
        <f>CHAR(ROWS(E$12:E18))</f>
        <v>_x0007_</v>
      </c>
      <c r="F18" s="4">
        <f t="shared" si="1"/>
        <v>7</v>
      </c>
    </row>
    <row r="19" spans="3:6" x14ac:dyDescent="0.55000000000000004">
      <c r="E19" s="4" t="str">
        <f>CHAR(ROWS(E$12:E19))</f>
        <v>_x0008_</v>
      </c>
      <c r="F19" s="4">
        <f t="shared" si="1"/>
        <v>8</v>
      </c>
    </row>
    <row r="20" spans="3:6" x14ac:dyDescent="0.55000000000000004">
      <c r="E20" s="4" t="str">
        <f>CHAR(ROWS(E$12:E20))</f>
        <v xml:space="preserve">	</v>
      </c>
      <c r="F20" s="4">
        <f t="shared" si="1"/>
        <v>9</v>
      </c>
    </row>
    <row r="21" spans="3:6" x14ac:dyDescent="0.55000000000000004">
      <c r="E21" s="4" t="str">
        <f>CHAR(ROWS(E$12:E21))</f>
        <v xml:space="preserve">
</v>
      </c>
      <c r="F21" s="4">
        <f t="shared" si="1"/>
        <v>10</v>
      </c>
    </row>
    <row r="22" spans="3:6" x14ac:dyDescent="0.55000000000000004">
      <c r="E22" s="4" t="str">
        <f>CHAR(ROWS(E$12:E22))</f>
        <v>_x000B_</v>
      </c>
      <c r="F22" s="4">
        <f t="shared" si="1"/>
        <v>11</v>
      </c>
    </row>
    <row r="23" spans="3:6" x14ac:dyDescent="0.55000000000000004">
      <c r="E23" s="4" t="str">
        <f>CHAR(ROWS(E$12:E23))</f>
        <v>_x000C_</v>
      </c>
      <c r="F23" s="4">
        <f t="shared" si="1"/>
        <v>12</v>
      </c>
    </row>
    <row r="24" spans="3:6" x14ac:dyDescent="0.55000000000000004">
      <c r="E24" s="4" t="str">
        <f>CHAR(ROWS(E$12:E24))</f>
        <v>_x000D_</v>
      </c>
      <c r="F24" s="4">
        <f t="shared" si="1"/>
        <v>13</v>
      </c>
    </row>
    <row r="25" spans="3:6" x14ac:dyDescent="0.55000000000000004">
      <c r="E25" s="4" t="str">
        <f>CHAR(ROWS(E$12:E25))</f>
        <v>_x000E_</v>
      </c>
      <c r="F25" s="4">
        <f t="shared" si="1"/>
        <v>14</v>
      </c>
    </row>
    <row r="26" spans="3:6" x14ac:dyDescent="0.55000000000000004">
      <c r="E26" s="4" t="str">
        <f>CHAR(ROWS(E$12:E26))</f>
        <v>_x000F_</v>
      </c>
      <c r="F26" s="4">
        <f t="shared" si="1"/>
        <v>15</v>
      </c>
    </row>
    <row r="27" spans="3:6" x14ac:dyDescent="0.55000000000000004">
      <c r="E27" s="4" t="str">
        <f>CHAR(ROWS(E$12:E27))</f>
        <v>_x0010_</v>
      </c>
      <c r="F27" s="4">
        <f t="shared" si="1"/>
        <v>16</v>
      </c>
    </row>
    <row r="28" spans="3:6" x14ac:dyDescent="0.55000000000000004">
      <c r="E28" s="4" t="str">
        <f>CHAR(ROWS(E$12:E28))</f>
        <v>_x0011_</v>
      </c>
      <c r="F28" s="4">
        <f t="shared" si="1"/>
        <v>17</v>
      </c>
    </row>
    <row r="29" spans="3:6" x14ac:dyDescent="0.55000000000000004">
      <c r="E29" s="4" t="str">
        <f>CHAR(ROWS(E$12:E29))</f>
        <v>_x0012_</v>
      </c>
      <c r="F29" s="4">
        <f t="shared" si="1"/>
        <v>18</v>
      </c>
    </row>
    <row r="30" spans="3:6" x14ac:dyDescent="0.55000000000000004">
      <c r="E30" s="4" t="str">
        <f>CHAR(ROWS(E$12:E30))</f>
        <v>_x0013_</v>
      </c>
      <c r="F30" s="4">
        <f t="shared" si="1"/>
        <v>19</v>
      </c>
    </row>
    <row r="31" spans="3:6" x14ac:dyDescent="0.55000000000000004">
      <c r="E31" s="4" t="str">
        <f>CHAR(ROWS(E$12:E31))</f>
        <v>_x0014_</v>
      </c>
      <c r="F31" s="4">
        <f t="shared" si="1"/>
        <v>20</v>
      </c>
    </row>
    <row r="32" spans="3:6" x14ac:dyDescent="0.55000000000000004">
      <c r="E32" s="4" t="str">
        <f>CHAR(ROWS(E$12:E32))</f>
        <v>_x0015_</v>
      </c>
      <c r="F32" s="4">
        <f t="shared" si="1"/>
        <v>21</v>
      </c>
    </row>
    <row r="33" spans="5:6" x14ac:dyDescent="0.55000000000000004">
      <c r="E33" s="4" t="str">
        <f>CHAR(ROWS(E$12:E33))</f>
        <v>_x0016_</v>
      </c>
      <c r="F33" s="4">
        <f t="shared" si="1"/>
        <v>22</v>
      </c>
    </row>
    <row r="34" spans="5:6" x14ac:dyDescent="0.55000000000000004">
      <c r="E34" s="4" t="str">
        <f>CHAR(ROWS(E$12:E34))</f>
        <v>_x0017_</v>
      </c>
      <c r="F34" s="4">
        <f t="shared" si="1"/>
        <v>23</v>
      </c>
    </row>
    <row r="35" spans="5:6" x14ac:dyDescent="0.55000000000000004">
      <c r="E35" s="4" t="str">
        <f>CHAR(ROWS(E$12:E35))</f>
        <v>_x0018_</v>
      </c>
      <c r="F35" s="4">
        <f t="shared" si="1"/>
        <v>24</v>
      </c>
    </row>
    <row r="36" spans="5:6" x14ac:dyDescent="0.55000000000000004">
      <c r="E36" s="4" t="str">
        <f>CHAR(ROWS(E$12:E36))</f>
        <v>_x0019_</v>
      </c>
      <c r="F36" s="4">
        <f t="shared" si="1"/>
        <v>25</v>
      </c>
    </row>
    <row r="37" spans="5:6" x14ac:dyDescent="0.55000000000000004">
      <c r="E37" s="4" t="str">
        <f>CHAR(ROWS(E$12:E37))</f>
        <v>_x001A_</v>
      </c>
      <c r="F37" s="4">
        <f t="shared" si="1"/>
        <v>26</v>
      </c>
    </row>
    <row r="38" spans="5:6" x14ac:dyDescent="0.55000000000000004">
      <c r="E38" s="4" t="str">
        <f>CHAR(ROWS(E$12:E38))</f>
        <v>_x001B_</v>
      </c>
      <c r="F38" s="4">
        <f t="shared" si="1"/>
        <v>27</v>
      </c>
    </row>
    <row r="39" spans="5:6" x14ac:dyDescent="0.55000000000000004">
      <c r="E39" s="4" t="str">
        <f>CHAR(ROWS(E$12:E39))</f>
        <v>_x001C_</v>
      </c>
      <c r="F39" s="4">
        <f t="shared" si="1"/>
        <v>28</v>
      </c>
    </row>
    <row r="40" spans="5:6" x14ac:dyDescent="0.55000000000000004">
      <c r="E40" s="4" t="str">
        <f>CHAR(ROWS(E$12:E40))</f>
        <v>_x001D_</v>
      </c>
      <c r="F40" s="4">
        <f t="shared" si="1"/>
        <v>29</v>
      </c>
    </row>
    <row r="41" spans="5:6" x14ac:dyDescent="0.55000000000000004">
      <c r="E41" s="4" t="str">
        <f>CHAR(ROWS(E$12:E41))</f>
        <v>_x001E_</v>
      </c>
      <c r="F41" s="4">
        <f t="shared" si="1"/>
        <v>30</v>
      </c>
    </row>
    <row r="42" spans="5:6" x14ac:dyDescent="0.55000000000000004">
      <c r="E42" s="4" t="str">
        <f>CHAR(ROWS(E$12:E42))</f>
        <v>_x001F_</v>
      </c>
      <c r="F42" s="4">
        <f t="shared" si="1"/>
        <v>31</v>
      </c>
    </row>
    <row r="43" spans="5:6" x14ac:dyDescent="0.55000000000000004">
      <c r="E43" s="4" t="str">
        <f>CHAR(ROWS(E$12:E43))</f>
        <v xml:space="preserve"> </v>
      </c>
      <c r="F43" s="4">
        <f t="shared" si="1"/>
        <v>32</v>
      </c>
    </row>
    <row r="44" spans="5:6" x14ac:dyDescent="0.55000000000000004">
      <c r="E44" s="4" t="str">
        <f>CHAR(ROWS(E$12:E44))</f>
        <v>!</v>
      </c>
      <c r="F44" s="4">
        <f t="shared" si="1"/>
        <v>33</v>
      </c>
    </row>
    <row r="45" spans="5:6" x14ac:dyDescent="0.55000000000000004">
      <c r="E45" s="4" t="str">
        <f>CHAR(ROWS(E$12:E45))</f>
        <v>"</v>
      </c>
      <c r="F45" s="4">
        <f t="shared" si="1"/>
        <v>34</v>
      </c>
    </row>
    <row r="46" spans="5:6" x14ac:dyDescent="0.55000000000000004">
      <c r="E46" s="4" t="str">
        <f>CHAR(ROWS(E$12:E46))</f>
        <v>#</v>
      </c>
      <c r="F46" s="4">
        <f t="shared" si="1"/>
        <v>35</v>
      </c>
    </row>
    <row r="47" spans="5:6" x14ac:dyDescent="0.55000000000000004">
      <c r="E47" s="4" t="str">
        <f>CHAR(ROWS(E$12:E47))</f>
        <v>$</v>
      </c>
      <c r="F47" s="4">
        <f t="shared" si="1"/>
        <v>36</v>
      </c>
    </row>
    <row r="48" spans="5:6" x14ac:dyDescent="0.55000000000000004">
      <c r="E48" s="4" t="str">
        <f>CHAR(ROWS(E$12:E48))</f>
        <v>%</v>
      </c>
      <c r="F48" s="4">
        <f t="shared" si="1"/>
        <v>37</v>
      </c>
    </row>
    <row r="49" spans="5:6" x14ac:dyDescent="0.55000000000000004">
      <c r="E49" s="4" t="str">
        <f>CHAR(ROWS(E$12:E49))</f>
        <v>&amp;</v>
      </c>
      <c r="F49" s="4">
        <f t="shared" si="1"/>
        <v>38</v>
      </c>
    </row>
    <row r="50" spans="5:6" x14ac:dyDescent="0.55000000000000004">
      <c r="E50" s="4" t="str">
        <f>CHAR(ROWS(E$12:E50))</f>
        <v>'</v>
      </c>
      <c r="F50" s="4">
        <f t="shared" si="1"/>
        <v>39</v>
      </c>
    </row>
    <row r="51" spans="5:6" x14ac:dyDescent="0.55000000000000004">
      <c r="E51" s="4" t="str">
        <f>CHAR(ROWS(E$12:E51))</f>
        <v>(</v>
      </c>
      <c r="F51" s="4">
        <f t="shared" si="1"/>
        <v>40</v>
      </c>
    </row>
    <row r="52" spans="5:6" x14ac:dyDescent="0.55000000000000004">
      <c r="E52" s="4" t="str">
        <f>CHAR(ROWS(E$12:E52))</f>
        <v>)</v>
      </c>
      <c r="F52" s="4">
        <f t="shared" si="1"/>
        <v>41</v>
      </c>
    </row>
    <row r="53" spans="5:6" x14ac:dyDescent="0.55000000000000004">
      <c r="E53" s="4" t="str">
        <f>CHAR(ROWS(E$12:E53))</f>
        <v>*</v>
      </c>
      <c r="F53" s="4">
        <f t="shared" si="1"/>
        <v>42</v>
      </c>
    </row>
    <row r="54" spans="5:6" x14ac:dyDescent="0.55000000000000004">
      <c r="E54" s="4" t="str">
        <f>CHAR(ROWS(E$12:E54))</f>
        <v>+</v>
      </c>
      <c r="F54" s="4">
        <f t="shared" si="1"/>
        <v>43</v>
      </c>
    </row>
    <row r="55" spans="5:6" x14ac:dyDescent="0.55000000000000004">
      <c r="E55" s="4" t="str">
        <f>CHAR(ROWS(E$12:E55))</f>
        <v>,</v>
      </c>
      <c r="F55" s="4">
        <f t="shared" si="1"/>
        <v>44</v>
      </c>
    </row>
    <row r="56" spans="5:6" x14ac:dyDescent="0.55000000000000004">
      <c r="E56" s="4" t="str">
        <f>CHAR(ROWS(E$12:E56))</f>
        <v>-</v>
      </c>
      <c r="F56" s="4">
        <f t="shared" si="1"/>
        <v>45</v>
      </c>
    </row>
    <row r="57" spans="5:6" x14ac:dyDescent="0.55000000000000004">
      <c r="E57" s="4" t="str">
        <f>CHAR(ROWS(E$12:E57))</f>
        <v>.</v>
      </c>
      <c r="F57" s="4">
        <f t="shared" si="1"/>
        <v>46</v>
      </c>
    </row>
    <row r="58" spans="5:6" x14ac:dyDescent="0.55000000000000004">
      <c r="E58" s="4" t="str">
        <f>CHAR(ROWS(E$12:E58))</f>
        <v>/</v>
      </c>
      <c r="F58" s="4">
        <f t="shared" si="1"/>
        <v>47</v>
      </c>
    </row>
    <row r="59" spans="5:6" x14ac:dyDescent="0.55000000000000004">
      <c r="E59" s="4" t="str">
        <f>CHAR(ROWS(E$12:E59))</f>
        <v>0</v>
      </c>
      <c r="F59" s="4">
        <f t="shared" si="1"/>
        <v>48</v>
      </c>
    </row>
    <row r="60" spans="5:6" x14ac:dyDescent="0.55000000000000004">
      <c r="E60" s="4" t="str">
        <f>CHAR(ROWS(E$12:E60))</f>
        <v>1</v>
      </c>
      <c r="F60" s="4">
        <f t="shared" si="1"/>
        <v>49</v>
      </c>
    </row>
    <row r="61" spans="5:6" x14ac:dyDescent="0.55000000000000004">
      <c r="E61" s="4" t="str">
        <f>CHAR(ROWS(E$12:E61))</f>
        <v>2</v>
      </c>
      <c r="F61" s="4">
        <f t="shared" si="1"/>
        <v>50</v>
      </c>
    </row>
    <row r="62" spans="5:6" x14ac:dyDescent="0.55000000000000004">
      <c r="E62" s="4" t="str">
        <f>CHAR(ROWS(E$12:E62))</f>
        <v>3</v>
      </c>
      <c r="F62" s="4">
        <f t="shared" si="1"/>
        <v>51</v>
      </c>
    </row>
    <row r="63" spans="5:6" x14ac:dyDescent="0.55000000000000004">
      <c r="E63" s="4" t="str">
        <f>CHAR(ROWS(E$12:E63))</f>
        <v>4</v>
      </c>
      <c r="F63" s="4">
        <f t="shared" si="1"/>
        <v>52</v>
      </c>
    </row>
    <row r="64" spans="5:6" x14ac:dyDescent="0.55000000000000004">
      <c r="E64" s="4" t="str">
        <f>CHAR(ROWS(E$12:E64))</f>
        <v>5</v>
      </c>
      <c r="F64" s="4">
        <f t="shared" si="1"/>
        <v>53</v>
      </c>
    </row>
    <row r="65" spans="5:6" x14ac:dyDescent="0.55000000000000004">
      <c r="E65" s="4" t="str">
        <f>CHAR(ROWS(E$12:E65))</f>
        <v>6</v>
      </c>
      <c r="F65" s="4">
        <f t="shared" si="1"/>
        <v>54</v>
      </c>
    </row>
    <row r="66" spans="5:6" x14ac:dyDescent="0.55000000000000004">
      <c r="E66" s="4" t="str">
        <f>CHAR(ROWS(E$12:E66))</f>
        <v>7</v>
      </c>
      <c r="F66" s="4">
        <f t="shared" si="1"/>
        <v>55</v>
      </c>
    </row>
    <row r="67" spans="5:6" x14ac:dyDescent="0.55000000000000004">
      <c r="E67" s="4" t="str">
        <f>CHAR(ROWS(E$12:E67))</f>
        <v>8</v>
      </c>
      <c r="F67" s="4">
        <f t="shared" si="1"/>
        <v>56</v>
      </c>
    </row>
    <row r="68" spans="5:6" x14ac:dyDescent="0.55000000000000004">
      <c r="E68" s="4" t="str">
        <f>CHAR(ROWS(E$12:E68))</f>
        <v>9</v>
      </c>
      <c r="F68" s="4">
        <f t="shared" si="1"/>
        <v>57</v>
      </c>
    </row>
    <row r="69" spans="5:6" x14ac:dyDescent="0.55000000000000004">
      <c r="E69" s="4" t="str">
        <f>CHAR(ROWS(E$12:E69))</f>
        <v>:</v>
      </c>
      <c r="F69" s="4">
        <f t="shared" si="1"/>
        <v>58</v>
      </c>
    </row>
    <row r="70" spans="5:6" x14ac:dyDescent="0.55000000000000004">
      <c r="E70" s="4" t="str">
        <f>CHAR(ROWS(E$12:E70))</f>
        <v>;</v>
      </c>
      <c r="F70" s="4">
        <f t="shared" si="1"/>
        <v>59</v>
      </c>
    </row>
    <row r="71" spans="5:6" x14ac:dyDescent="0.55000000000000004">
      <c r="E71" s="4" t="str">
        <f>CHAR(ROWS(E$12:E71))</f>
        <v>&lt;</v>
      </c>
      <c r="F71" s="4">
        <f t="shared" si="1"/>
        <v>60</v>
      </c>
    </row>
    <row r="72" spans="5:6" x14ac:dyDescent="0.55000000000000004">
      <c r="E72" s="4" t="str">
        <f>CHAR(ROWS(E$12:E72))</f>
        <v>=</v>
      </c>
      <c r="F72" s="4">
        <f t="shared" si="1"/>
        <v>61</v>
      </c>
    </row>
    <row r="73" spans="5:6" x14ac:dyDescent="0.55000000000000004">
      <c r="E73" s="4" t="str">
        <f>CHAR(ROWS(E$12:E73))</f>
        <v>&gt;</v>
      </c>
      <c r="F73" s="4">
        <f t="shared" si="1"/>
        <v>62</v>
      </c>
    </row>
    <row r="74" spans="5:6" x14ac:dyDescent="0.55000000000000004">
      <c r="E74" s="4" t="str">
        <f>CHAR(ROWS(E$12:E74))</f>
        <v>?</v>
      </c>
      <c r="F74" s="4">
        <f t="shared" si="1"/>
        <v>63</v>
      </c>
    </row>
    <row r="75" spans="5:6" x14ac:dyDescent="0.55000000000000004">
      <c r="E75" s="4" t="str">
        <f>CHAR(ROWS(E$12:E75))</f>
        <v>@</v>
      </c>
      <c r="F75" s="4">
        <f t="shared" si="1"/>
        <v>64</v>
      </c>
    </row>
    <row r="76" spans="5:6" x14ac:dyDescent="0.55000000000000004">
      <c r="E76" s="4" t="str">
        <f>CHAR(ROWS(E$12:E76))</f>
        <v>A</v>
      </c>
      <c r="F76" s="4">
        <f t="shared" ref="F76:F139" si="2">CODE(E76)</f>
        <v>65</v>
      </c>
    </row>
    <row r="77" spans="5:6" x14ac:dyDescent="0.55000000000000004">
      <c r="E77" s="4" t="str">
        <f>CHAR(ROWS(E$12:E77))</f>
        <v>B</v>
      </c>
      <c r="F77" s="4">
        <f t="shared" si="2"/>
        <v>66</v>
      </c>
    </row>
    <row r="78" spans="5:6" x14ac:dyDescent="0.55000000000000004">
      <c r="E78" s="4" t="str">
        <f>CHAR(ROWS(E$12:E78))</f>
        <v>C</v>
      </c>
      <c r="F78" s="4">
        <f t="shared" si="2"/>
        <v>67</v>
      </c>
    </row>
    <row r="79" spans="5:6" x14ac:dyDescent="0.55000000000000004">
      <c r="E79" s="4" t="str">
        <f>CHAR(ROWS(E$12:E79))</f>
        <v>D</v>
      </c>
      <c r="F79" s="4">
        <f t="shared" si="2"/>
        <v>68</v>
      </c>
    </row>
    <row r="80" spans="5:6" x14ac:dyDescent="0.55000000000000004">
      <c r="E80" s="4" t="str">
        <f>CHAR(ROWS(E$12:E80))</f>
        <v>E</v>
      </c>
      <c r="F80" s="4">
        <f t="shared" si="2"/>
        <v>69</v>
      </c>
    </row>
    <row r="81" spans="5:6" x14ac:dyDescent="0.55000000000000004">
      <c r="E81" s="4" t="str">
        <f>CHAR(ROWS(E$12:E81))</f>
        <v>F</v>
      </c>
      <c r="F81" s="4">
        <f t="shared" si="2"/>
        <v>70</v>
      </c>
    </row>
    <row r="82" spans="5:6" x14ac:dyDescent="0.55000000000000004">
      <c r="E82" s="4" t="str">
        <f>CHAR(ROWS(E$12:E82))</f>
        <v>G</v>
      </c>
      <c r="F82" s="4">
        <f t="shared" si="2"/>
        <v>71</v>
      </c>
    </row>
    <row r="83" spans="5:6" x14ac:dyDescent="0.55000000000000004">
      <c r="E83" s="4" t="str">
        <f>CHAR(ROWS(E$12:E83))</f>
        <v>H</v>
      </c>
      <c r="F83" s="4">
        <f t="shared" si="2"/>
        <v>72</v>
      </c>
    </row>
    <row r="84" spans="5:6" x14ac:dyDescent="0.55000000000000004">
      <c r="E84" s="4" t="str">
        <f>CHAR(ROWS(E$12:E84))</f>
        <v>I</v>
      </c>
      <c r="F84" s="4">
        <f t="shared" si="2"/>
        <v>73</v>
      </c>
    </row>
    <row r="85" spans="5:6" x14ac:dyDescent="0.55000000000000004">
      <c r="E85" s="4" t="str">
        <f>CHAR(ROWS(E$12:E85))</f>
        <v>J</v>
      </c>
      <c r="F85" s="4">
        <f t="shared" si="2"/>
        <v>74</v>
      </c>
    </row>
    <row r="86" spans="5:6" x14ac:dyDescent="0.55000000000000004">
      <c r="E86" s="4" t="str">
        <f>CHAR(ROWS(E$12:E86))</f>
        <v>K</v>
      </c>
      <c r="F86" s="4">
        <f t="shared" si="2"/>
        <v>75</v>
      </c>
    </row>
    <row r="87" spans="5:6" x14ac:dyDescent="0.55000000000000004">
      <c r="E87" s="4" t="str">
        <f>CHAR(ROWS(E$12:E87))</f>
        <v>L</v>
      </c>
      <c r="F87" s="4">
        <f t="shared" si="2"/>
        <v>76</v>
      </c>
    </row>
    <row r="88" spans="5:6" x14ac:dyDescent="0.55000000000000004">
      <c r="E88" s="4" t="str">
        <f>CHAR(ROWS(E$12:E88))</f>
        <v>M</v>
      </c>
      <c r="F88" s="4">
        <f t="shared" si="2"/>
        <v>77</v>
      </c>
    </row>
    <row r="89" spans="5:6" x14ac:dyDescent="0.55000000000000004">
      <c r="E89" s="4" t="str">
        <f>CHAR(ROWS(E$12:E89))</f>
        <v>N</v>
      </c>
      <c r="F89" s="4">
        <f t="shared" si="2"/>
        <v>78</v>
      </c>
    </row>
    <row r="90" spans="5:6" x14ac:dyDescent="0.55000000000000004">
      <c r="E90" s="4" t="str">
        <f>CHAR(ROWS(E$12:E90))</f>
        <v>O</v>
      </c>
      <c r="F90" s="4">
        <f t="shared" si="2"/>
        <v>79</v>
      </c>
    </row>
    <row r="91" spans="5:6" x14ac:dyDescent="0.55000000000000004">
      <c r="E91" s="4" t="str">
        <f>CHAR(ROWS(E$12:E91))</f>
        <v>P</v>
      </c>
      <c r="F91" s="4">
        <f t="shared" si="2"/>
        <v>80</v>
      </c>
    </row>
    <row r="92" spans="5:6" x14ac:dyDescent="0.55000000000000004">
      <c r="E92" s="4" t="str">
        <f>CHAR(ROWS(E$12:E92))</f>
        <v>Q</v>
      </c>
      <c r="F92" s="4">
        <f t="shared" si="2"/>
        <v>81</v>
      </c>
    </row>
    <row r="93" spans="5:6" x14ac:dyDescent="0.55000000000000004">
      <c r="E93" s="4" t="str">
        <f>CHAR(ROWS(E$12:E93))</f>
        <v>R</v>
      </c>
      <c r="F93" s="4">
        <f t="shared" si="2"/>
        <v>82</v>
      </c>
    </row>
    <row r="94" spans="5:6" x14ac:dyDescent="0.55000000000000004">
      <c r="E94" s="4" t="str">
        <f>CHAR(ROWS(E$12:E94))</f>
        <v>S</v>
      </c>
      <c r="F94" s="4">
        <f t="shared" si="2"/>
        <v>83</v>
      </c>
    </row>
    <row r="95" spans="5:6" x14ac:dyDescent="0.55000000000000004">
      <c r="E95" s="4" t="str">
        <f>CHAR(ROWS(E$12:E95))</f>
        <v>T</v>
      </c>
      <c r="F95" s="4">
        <f t="shared" si="2"/>
        <v>84</v>
      </c>
    </row>
    <row r="96" spans="5:6" x14ac:dyDescent="0.55000000000000004">
      <c r="E96" s="4" t="str">
        <f>CHAR(ROWS(E$12:E96))</f>
        <v>U</v>
      </c>
      <c r="F96" s="4">
        <f t="shared" si="2"/>
        <v>85</v>
      </c>
    </row>
    <row r="97" spans="5:6" x14ac:dyDescent="0.55000000000000004">
      <c r="E97" s="4" t="str">
        <f>CHAR(ROWS(E$12:E97))</f>
        <v>V</v>
      </c>
      <c r="F97" s="4">
        <f t="shared" si="2"/>
        <v>86</v>
      </c>
    </row>
    <row r="98" spans="5:6" x14ac:dyDescent="0.55000000000000004">
      <c r="E98" s="4" t="str">
        <f>CHAR(ROWS(E$12:E98))</f>
        <v>W</v>
      </c>
      <c r="F98" s="4">
        <f t="shared" si="2"/>
        <v>87</v>
      </c>
    </row>
    <row r="99" spans="5:6" x14ac:dyDescent="0.55000000000000004">
      <c r="E99" s="4" t="str">
        <f>CHAR(ROWS(E$12:E99))</f>
        <v>X</v>
      </c>
      <c r="F99" s="4">
        <f t="shared" si="2"/>
        <v>88</v>
      </c>
    </row>
    <row r="100" spans="5:6" x14ac:dyDescent="0.55000000000000004">
      <c r="E100" s="4" t="str">
        <f>CHAR(ROWS(E$12:E100))</f>
        <v>Y</v>
      </c>
      <c r="F100" s="4">
        <f t="shared" si="2"/>
        <v>89</v>
      </c>
    </row>
    <row r="101" spans="5:6" x14ac:dyDescent="0.55000000000000004">
      <c r="E101" s="4" t="str">
        <f>CHAR(ROWS(E$12:E101))</f>
        <v>Z</v>
      </c>
      <c r="F101" s="4">
        <f t="shared" si="2"/>
        <v>90</v>
      </c>
    </row>
    <row r="102" spans="5:6" x14ac:dyDescent="0.55000000000000004">
      <c r="E102" s="4" t="str">
        <f>CHAR(ROWS(E$12:E102))</f>
        <v>[</v>
      </c>
      <c r="F102" s="4">
        <f t="shared" si="2"/>
        <v>91</v>
      </c>
    </row>
    <row r="103" spans="5:6" x14ac:dyDescent="0.55000000000000004">
      <c r="E103" s="4" t="str">
        <f>CHAR(ROWS(E$12:E103))</f>
        <v>\</v>
      </c>
      <c r="F103" s="4">
        <f t="shared" si="2"/>
        <v>92</v>
      </c>
    </row>
    <row r="104" spans="5:6" x14ac:dyDescent="0.55000000000000004">
      <c r="E104" s="4" t="str">
        <f>CHAR(ROWS(E$12:E104))</f>
        <v>]</v>
      </c>
      <c r="F104" s="4">
        <f t="shared" si="2"/>
        <v>93</v>
      </c>
    </row>
    <row r="105" spans="5:6" x14ac:dyDescent="0.55000000000000004">
      <c r="E105" s="4" t="str">
        <f>CHAR(ROWS(E$12:E105))</f>
        <v>^</v>
      </c>
      <c r="F105" s="4">
        <f t="shared" si="2"/>
        <v>94</v>
      </c>
    </row>
    <row r="106" spans="5:6" x14ac:dyDescent="0.55000000000000004">
      <c r="E106" s="4" t="str">
        <f>CHAR(ROWS(E$12:E106))</f>
        <v>_</v>
      </c>
      <c r="F106" s="4">
        <f t="shared" si="2"/>
        <v>95</v>
      </c>
    </row>
    <row r="107" spans="5:6" x14ac:dyDescent="0.55000000000000004">
      <c r="E107" s="4" t="str">
        <f>CHAR(ROWS(E$12:E107))</f>
        <v>`</v>
      </c>
      <c r="F107" s="4">
        <f t="shared" si="2"/>
        <v>96</v>
      </c>
    </row>
    <row r="108" spans="5:6" x14ac:dyDescent="0.55000000000000004">
      <c r="E108" s="4" t="str">
        <f>CHAR(ROWS(E$12:E108))</f>
        <v>a</v>
      </c>
      <c r="F108" s="4">
        <f t="shared" si="2"/>
        <v>97</v>
      </c>
    </row>
    <row r="109" spans="5:6" x14ac:dyDescent="0.55000000000000004">
      <c r="E109" s="4" t="str">
        <f>CHAR(ROWS(E$12:E109))</f>
        <v>b</v>
      </c>
      <c r="F109" s="4">
        <f t="shared" si="2"/>
        <v>98</v>
      </c>
    </row>
    <row r="110" spans="5:6" x14ac:dyDescent="0.55000000000000004">
      <c r="E110" s="4" t="str">
        <f>CHAR(ROWS(E$12:E110))</f>
        <v>c</v>
      </c>
      <c r="F110" s="4">
        <f t="shared" si="2"/>
        <v>99</v>
      </c>
    </row>
    <row r="111" spans="5:6" x14ac:dyDescent="0.55000000000000004">
      <c r="E111" s="4" t="str">
        <f>CHAR(ROWS(E$12:E111))</f>
        <v>d</v>
      </c>
      <c r="F111" s="4">
        <f t="shared" si="2"/>
        <v>100</v>
      </c>
    </row>
    <row r="112" spans="5:6" x14ac:dyDescent="0.55000000000000004">
      <c r="E112" s="4" t="str">
        <f>CHAR(ROWS(E$12:E112))</f>
        <v>e</v>
      </c>
      <c r="F112" s="4">
        <f t="shared" si="2"/>
        <v>101</v>
      </c>
    </row>
    <row r="113" spans="5:6" x14ac:dyDescent="0.55000000000000004">
      <c r="E113" s="4" t="str">
        <f>CHAR(ROWS(E$12:E113))</f>
        <v>f</v>
      </c>
      <c r="F113" s="4">
        <f t="shared" si="2"/>
        <v>102</v>
      </c>
    </row>
    <row r="114" spans="5:6" x14ac:dyDescent="0.55000000000000004">
      <c r="E114" s="4" t="str">
        <f>CHAR(ROWS(E$12:E114))</f>
        <v>g</v>
      </c>
      <c r="F114" s="4">
        <f t="shared" si="2"/>
        <v>103</v>
      </c>
    </row>
    <row r="115" spans="5:6" x14ac:dyDescent="0.55000000000000004">
      <c r="E115" s="4" t="str">
        <f>CHAR(ROWS(E$12:E115))</f>
        <v>h</v>
      </c>
      <c r="F115" s="4">
        <f t="shared" si="2"/>
        <v>104</v>
      </c>
    </row>
    <row r="116" spans="5:6" x14ac:dyDescent="0.55000000000000004">
      <c r="E116" s="4" t="str">
        <f>CHAR(ROWS(E$12:E116))</f>
        <v>i</v>
      </c>
      <c r="F116" s="4">
        <f t="shared" si="2"/>
        <v>105</v>
      </c>
    </row>
    <row r="117" spans="5:6" x14ac:dyDescent="0.55000000000000004">
      <c r="E117" s="4" t="str">
        <f>CHAR(ROWS(E$12:E117))</f>
        <v>j</v>
      </c>
      <c r="F117" s="4">
        <f t="shared" si="2"/>
        <v>106</v>
      </c>
    </row>
    <row r="118" spans="5:6" x14ac:dyDescent="0.55000000000000004">
      <c r="E118" s="4" t="str">
        <f>CHAR(ROWS(E$12:E118))</f>
        <v>k</v>
      </c>
      <c r="F118" s="4">
        <f t="shared" si="2"/>
        <v>107</v>
      </c>
    </row>
    <row r="119" spans="5:6" x14ac:dyDescent="0.55000000000000004">
      <c r="E119" s="4" t="str">
        <f>CHAR(ROWS(E$12:E119))</f>
        <v>l</v>
      </c>
      <c r="F119" s="4">
        <f t="shared" si="2"/>
        <v>108</v>
      </c>
    </row>
    <row r="120" spans="5:6" x14ac:dyDescent="0.55000000000000004">
      <c r="E120" s="4" t="str">
        <f>CHAR(ROWS(E$12:E120))</f>
        <v>m</v>
      </c>
      <c r="F120" s="4">
        <f t="shared" si="2"/>
        <v>109</v>
      </c>
    </row>
    <row r="121" spans="5:6" x14ac:dyDescent="0.55000000000000004">
      <c r="E121" s="4" t="str">
        <f>CHAR(ROWS(E$12:E121))</f>
        <v>n</v>
      </c>
      <c r="F121" s="4">
        <f t="shared" si="2"/>
        <v>110</v>
      </c>
    </row>
    <row r="122" spans="5:6" x14ac:dyDescent="0.55000000000000004">
      <c r="E122" s="4" t="str">
        <f>CHAR(ROWS(E$12:E122))</f>
        <v>o</v>
      </c>
      <c r="F122" s="4">
        <f t="shared" si="2"/>
        <v>111</v>
      </c>
    </row>
    <row r="123" spans="5:6" x14ac:dyDescent="0.55000000000000004">
      <c r="E123" s="4" t="str">
        <f>CHAR(ROWS(E$12:E123))</f>
        <v>p</v>
      </c>
      <c r="F123" s="4">
        <f t="shared" si="2"/>
        <v>112</v>
      </c>
    </row>
    <row r="124" spans="5:6" x14ac:dyDescent="0.55000000000000004">
      <c r="E124" s="4" t="str">
        <f>CHAR(ROWS(E$12:E124))</f>
        <v>q</v>
      </c>
      <c r="F124" s="4">
        <f t="shared" si="2"/>
        <v>113</v>
      </c>
    </row>
    <row r="125" spans="5:6" x14ac:dyDescent="0.55000000000000004">
      <c r="E125" s="4" t="str">
        <f>CHAR(ROWS(E$12:E125))</f>
        <v>r</v>
      </c>
      <c r="F125" s="4">
        <f t="shared" si="2"/>
        <v>114</v>
      </c>
    </row>
    <row r="126" spans="5:6" x14ac:dyDescent="0.55000000000000004">
      <c r="E126" s="4" t="str">
        <f>CHAR(ROWS(E$12:E126))</f>
        <v>s</v>
      </c>
      <c r="F126" s="4">
        <f t="shared" si="2"/>
        <v>115</v>
      </c>
    </row>
    <row r="127" spans="5:6" x14ac:dyDescent="0.55000000000000004">
      <c r="E127" s="4" t="str">
        <f>CHAR(ROWS(E$12:E127))</f>
        <v>t</v>
      </c>
      <c r="F127" s="4">
        <f t="shared" si="2"/>
        <v>116</v>
      </c>
    </row>
    <row r="128" spans="5:6" x14ac:dyDescent="0.55000000000000004">
      <c r="E128" s="4" t="str">
        <f>CHAR(ROWS(E$12:E128))</f>
        <v>u</v>
      </c>
      <c r="F128" s="4">
        <f t="shared" si="2"/>
        <v>117</v>
      </c>
    </row>
    <row r="129" spans="5:6" x14ac:dyDescent="0.55000000000000004">
      <c r="E129" s="4" t="str">
        <f>CHAR(ROWS(E$12:E129))</f>
        <v>v</v>
      </c>
      <c r="F129" s="4">
        <f t="shared" si="2"/>
        <v>118</v>
      </c>
    </row>
    <row r="130" spans="5:6" x14ac:dyDescent="0.55000000000000004">
      <c r="E130" s="4" t="str">
        <f>CHAR(ROWS(E$12:E130))</f>
        <v>w</v>
      </c>
      <c r="F130" s="4">
        <f t="shared" si="2"/>
        <v>119</v>
      </c>
    </row>
    <row r="131" spans="5:6" x14ac:dyDescent="0.55000000000000004">
      <c r="E131" s="4" t="str">
        <f>CHAR(ROWS(E$12:E131))</f>
        <v>x</v>
      </c>
      <c r="F131" s="4">
        <f t="shared" si="2"/>
        <v>120</v>
      </c>
    </row>
    <row r="132" spans="5:6" x14ac:dyDescent="0.55000000000000004">
      <c r="E132" s="4" t="str">
        <f>CHAR(ROWS(E$12:E132))</f>
        <v>y</v>
      </c>
      <c r="F132" s="4">
        <f t="shared" si="2"/>
        <v>121</v>
      </c>
    </row>
    <row r="133" spans="5:6" x14ac:dyDescent="0.55000000000000004">
      <c r="E133" s="4" t="str">
        <f>CHAR(ROWS(E$12:E133))</f>
        <v>z</v>
      </c>
      <c r="F133" s="4">
        <f t="shared" si="2"/>
        <v>122</v>
      </c>
    </row>
    <row r="134" spans="5:6" x14ac:dyDescent="0.55000000000000004">
      <c r="E134" s="4" t="str">
        <f>CHAR(ROWS(E$12:E134))</f>
        <v>{</v>
      </c>
      <c r="F134" s="4">
        <f t="shared" si="2"/>
        <v>123</v>
      </c>
    </row>
    <row r="135" spans="5:6" x14ac:dyDescent="0.55000000000000004">
      <c r="E135" s="4" t="str">
        <f>CHAR(ROWS(E$12:E135))</f>
        <v>|</v>
      </c>
      <c r="F135" s="4">
        <f t="shared" si="2"/>
        <v>124</v>
      </c>
    </row>
    <row r="136" spans="5:6" x14ac:dyDescent="0.55000000000000004">
      <c r="E136" s="4" t="str">
        <f>CHAR(ROWS(E$12:E136))</f>
        <v>}</v>
      </c>
      <c r="F136" s="4">
        <f t="shared" si="2"/>
        <v>125</v>
      </c>
    </row>
    <row r="137" spans="5:6" x14ac:dyDescent="0.55000000000000004">
      <c r="E137" s="4" t="str">
        <f>CHAR(ROWS(E$12:E137))</f>
        <v>~</v>
      </c>
      <c r="F137" s="4">
        <f t="shared" si="2"/>
        <v>126</v>
      </c>
    </row>
    <row r="138" spans="5:6" x14ac:dyDescent="0.55000000000000004">
      <c r="E138" s="4" t="str">
        <f>CHAR(ROWS(E$12:E138))</f>
        <v></v>
      </c>
      <c r="F138" s="4">
        <f t="shared" si="2"/>
        <v>127</v>
      </c>
    </row>
    <row r="139" spans="5:6" x14ac:dyDescent="0.55000000000000004">
      <c r="E139" s="4" t="str">
        <f>CHAR(ROWS(E$12:E139))</f>
        <v>€</v>
      </c>
      <c r="F139" s="4">
        <f t="shared" si="2"/>
        <v>128</v>
      </c>
    </row>
    <row r="140" spans="5:6" x14ac:dyDescent="0.55000000000000004">
      <c r="E140" s="4" t="str">
        <f>CHAR(ROWS(E$12:E140))</f>
        <v></v>
      </c>
      <c r="F140" s="4">
        <f t="shared" ref="F140:F203" si="3">CODE(E140)</f>
        <v>129</v>
      </c>
    </row>
    <row r="141" spans="5:6" x14ac:dyDescent="0.55000000000000004">
      <c r="E141" s="4" t="str">
        <f>CHAR(ROWS(E$12:E141))</f>
        <v>‚</v>
      </c>
      <c r="F141" s="4">
        <f t="shared" si="3"/>
        <v>130</v>
      </c>
    </row>
    <row r="142" spans="5:6" x14ac:dyDescent="0.55000000000000004">
      <c r="E142" s="4" t="str">
        <f>CHAR(ROWS(E$12:E142))</f>
        <v>ƒ</v>
      </c>
      <c r="F142" s="4">
        <f t="shared" si="3"/>
        <v>131</v>
      </c>
    </row>
    <row r="143" spans="5:6" x14ac:dyDescent="0.55000000000000004">
      <c r="E143" s="4" t="str">
        <f>CHAR(ROWS(E$12:E143))</f>
        <v>„</v>
      </c>
      <c r="F143" s="4">
        <f t="shared" si="3"/>
        <v>132</v>
      </c>
    </row>
    <row r="144" spans="5:6" x14ac:dyDescent="0.55000000000000004">
      <c r="E144" s="4" t="str">
        <f>CHAR(ROWS(E$12:E144))</f>
        <v>…</v>
      </c>
      <c r="F144" s="4">
        <f t="shared" si="3"/>
        <v>133</v>
      </c>
    </row>
    <row r="145" spans="5:6" x14ac:dyDescent="0.55000000000000004">
      <c r="E145" s="4" t="str">
        <f>CHAR(ROWS(E$12:E145))</f>
        <v>†</v>
      </c>
      <c r="F145" s="4">
        <f t="shared" si="3"/>
        <v>134</v>
      </c>
    </row>
    <row r="146" spans="5:6" x14ac:dyDescent="0.55000000000000004">
      <c r="E146" s="4" t="str">
        <f>CHAR(ROWS(E$12:E146))</f>
        <v>‡</v>
      </c>
      <c r="F146" s="4">
        <f t="shared" si="3"/>
        <v>135</v>
      </c>
    </row>
    <row r="147" spans="5:6" x14ac:dyDescent="0.55000000000000004">
      <c r="E147" s="4" t="str">
        <f>CHAR(ROWS(E$12:E147))</f>
        <v>ˆ</v>
      </c>
      <c r="F147" s="4">
        <f t="shared" si="3"/>
        <v>136</v>
      </c>
    </row>
    <row r="148" spans="5:6" x14ac:dyDescent="0.55000000000000004">
      <c r="E148" s="4" t="str">
        <f>CHAR(ROWS(E$12:E148))</f>
        <v>‰</v>
      </c>
      <c r="F148" s="4">
        <f t="shared" si="3"/>
        <v>137</v>
      </c>
    </row>
    <row r="149" spans="5:6" x14ac:dyDescent="0.55000000000000004">
      <c r="E149" s="4" t="str">
        <f>CHAR(ROWS(E$12:E149))</f>
        <v>Š</v>
      </c>
      <c r="F149" s="4">
        <f t="shared" si="3"/>
        <v>138</v>
      </c>
    </row>
    <row r="150" spans="5:6" x14ac:dyDescent="0.55000000000000004">
      <c r="E150" s="4" t="str">
        <f>CHAR(ROWS(E$12:E150))</f>
        <v>‹</v>
      </c>
      <c r="F150" s="4">
        <f t="shared" si="3"/>
        <v>139</v>
      </c>
    </row>
    <row r="151" spans="5:6" x14ac:dyDescent="0.55000000000000004">
      <c r="E151" s="4" t="str">
        <f>CHAR(ROWS(E$12:E151))</f>
        <v>Œ</v>
      </c>
      <c r="F151" s="4">
        <f t="shared" si="3"/>
        <v>140</v>
      </c>
    </row>
    <row r="152" spans="5:6" x14ac:dyDescent="0.55000000000000004">
      <c r="E152" s="4" t="str">
        <f>CHAR(ROWS(E$12:E152))</f>
        <v></v>
      </c>
      <c r="F152" s="4">
        <f t="shared" si="3"/>
        <v>141</v>
      </c>
    </row>
    <row r="153" spans="5:6" x14ac:dyDescent="0.55000000000000004">
      <c r="E153" s="4" t="str">
        <f>CHAR(ROWS(E$12:E153))</f>
        <v>Ž</v>
      </c>
      <c r="F153" s="4">
        <f t="shared" si="3"/>
        <v>142</v>
      </c>
    </row>
    <row r="154" spans="5:6" x14ac:dyDescent="0.55000000000000004">
      <c r="E154" s="4" t="str">
        <f>CHAR(ROWS(E$12:E154))</f>
        <v></v>
      </c>
      <c r="F154" s="4">
        <f t="shared" si="3"/>
        <v>143</v>
      </c>
    </row>
    <row r="155" spans="5:6" x14ac:dyDescent="0.55000000000000004">
      <c r="E155" s="4" t="str">
        <f>CHAR(ROWS(E$12:E155))</f>
        <v></v>
      </c>
      <c r="F155" s="4">
        <f t="shared" si="3"/>
        <v>144</v>
      </c>
    </row>
    <row r="156" spans="5:6" x14ac:dyDescent="0.55000000000000004">
      <c r="E156" s="4" t="str">
        <f>CHAR(ROWS(E$12:E156))</f>
        <v>‘</v>
      </c>
      <c r="F156" s="4">
        <f t="shared" si="3"/>
        <v>145</v>
      </c>
    </row>
    <row r="157" spans="5:6" x14ac:dyDescent="0.55000000000000004">
      <c r="E157" s="4" t="str">
        <f>CHAR(ROWS(E$12:E157))</f>
        <v>’</v>
      </c>
      <c r="F157" s="4">
        <f t="shared" si="3"/>
        <v>146</v>
      </c>
    </row>
    <row r="158" spans="5:6" x14ac:dyDescent="0.55000000000000004">
      <c r="E158" s="4" t="str">
        <f>CHAR(ROWS(E$12:E158))</f>
        <v>“</v>
      </c>
      <c r="F158" s="4">
        <f t="shared" si="3"/>
        <v>147</v>
      </c>
    </row>
    <row r="159" spans="5:6" x14ac:dyDescent="0.55000000000000004">
      <c r="E159" s="4" t="str">
        <f>CHAR(ROWS(E$12:E159))</f>
        <v>”</v>
      </c>
      <c r="F159" s="4">
        <f t="shared" si="3"/>
        <v>148</v>
      </c>
    </row>
    <row r="160" spans="5:6" x14ac:dyDescent="0.55000000000000004">
      <c r="E160" s="4" t="str">
        <f>CHAR(ROWS(E$12:E160))</f>
        <v>•</v>
      </c>
      <c r="F160" s="4">
        <f t="shared" si="3"/>
        <v>149</v>
      </c>
    </row>
    <row r="161" spans="5:6" x14ac:dyDescent="0.55000000000000004">
      <c r="E161" s="4" t="str">
        <f>CHAR(ROWS(E$12:E161))</f>
        <v>–</v>
      </c>
      <c r="F161" s="4">
        <f t="shared" si="3"/>
        <v>150</v>
      </c>
    </row>
    <row r="162" spans="5:6" x14ac:dyDescent="0.55000000000000004">
      <c r="E162" s="4" t="str">
        <f>CHAR(ROWS(E$12:E162))</f>
        <v>—</v>
      </c>
      <c r="F162" s="4">
        <f t="shared" si="3"/>
        <v>151</v>
      </c>
    </row>
    <row r="163" spans="5:6" x14ac:dyDescent="0.55000000000000004">
      <c r="E163" s="4" t="str">
        <f>CHAR(ROWS(E$12:E163))</f>
        <v>˜</v>
      </c>
      <c r="F163" s="4">
        <f t="shared" si="3"/>
        <v>152</v>
      </c>
    </row>
    <row r="164" spans="5:6" x14ac:dyDescent="0.55000000000000004">
      <c r="E164" s="4" t="str">
        <f>CHAR(ROWS(E$12:E164))</f>
        <v>™</v>
      </c>
      <c r="F164" s="4">
        <f t="shared" si="3"/>
        <v>153</v>
      </c>
    </row>
    <row r="165" spans="5:6" x14ac:dyDescent="0.55000000000000004">
      <c r="E165" s="4" t="str">
        <f>CHAR(ROWS(E$12:E165))</f>
        <v>š</v>
      </c>
      <c r="F165" s="4">
        <f t="shared" si="3"/>
        <v>154</v>
      </c>
    </row>
    <row r="166" spans="5:6" x14ac:dyDescent="0.55000000000000004">
      <c r="E166" s="4" t="str">
        <f>CHAR(ROWS(E$12:E166))</f>
        <v>›</v>
      </c>
      <c r="F166" s="4">
        <f t="shared" si="3"/>
        <v>155</v>
      </c>
    </row>
    <row r="167" spans="5:6" x14ac:dyDescent="0.55000000000000004">
      <c r="E167" s="4" t="str">
        <f>CHAR(ROWS(E$12:E167))</f>
        <v>œ</v>
      </c>
      <c r="F167" s="4">
        <f t="shared" si="3"/>
        <v>156</v>
      </c>
    </row>
    <row r="168" spans="5:6" x14ac:dyDescent="0.55000000000000004">
      <c r="E168" s="4" t="str">
        <f>CHAR(ROWS(E$12:E168))</f>
        <v></v>
      </c>
      <c r="F168" s="4">
        <f t="shared" si="3"/>
        <v>157</v>
      </c>
    </row>
    <row r="169" spans="5:6" x14ac:dyDescent="0.55000000000000004">
      <c r="E169" s="4" t="str">
        <f>CHAR(ROWS(E$12:E169))</f>
        <v>ž</v>
      </c>
      <c r="F169" s="4">
        <f t="shared" si="3"/>
        <v>158</v>
      </c>
    </row>
    <row r="170" spans="5:6" x14ac:dyDescent="0.55000000000000004">
      <c r="E170" s="4" t="str">
        <f>CHAR(ROWS(E$12:E170))</f>
        <v>Ÿ</v>
      </c>
      <c r="F170" s="4">
        <f t="shared" si="3"/>
        <v>159</v>
      </c>
    </row>
    <row r="171" spans="5:6" x14ac:dyDescent="0.55000000000000004">
      <c r="E171" s="4" t="str">
        <f>CHAR(ROWS(E$12:E171))</f>
        <v> </v>
      </c>
      <c r="F171" s="4">
        <f t="shared" si="3"/>
        <v>160</v>
      </c>
    </row>
    <row r="172" spans="5:6" x14ac:dyDescent="0.55000000000000004">
      <c r="E172" s="4" t="str">
        <f>CHAR(ROWS(E$12:E172))</f>
        <v>¡</v>
      </c>
      <c r="F172" s="4">
        <f t="shared" si="3"/>
        <v>161</v>
      </c>
    </row>
    <row r="173" spans="5:6" x14ac:dyDescent="0.55000000000000004">
      <c r="E173" s="4" t="str">
        <f>CHAR(ROWS(E$12:E173))</f>
        <v>¢</v>
      </c>
      <c r="F173" s="4">
        <f t="shared" si="3"/>
        <v>162</v>
      </c>
    </row>
    <row r="174" spans="5:6" x14ac:dyDescent="0.55000000000000004">
      <c r="E174" s="4" t="str">
        <f>CHAR(ROWS(E$12:E174))</f>
        <v>£</v>
      </c>
      <c r="F174" s="4">
        <f t="shared" si="3"/>
        <v>163</v>
      </c>
    </row>
    <row r="175" spans="5:6" x14ac:dyDescent="0.55000000000000004">
      <c r="E175" s="4" t="str">
        <f>CHAR(ROWS(E$12:E175))</f>
        <v>¤</v>
      </c>
      <c r="F175" s="4">
        <f t="shared" si="3"/>
        <v>164</v>
      </c>
    </row>
    <row r="176" spans="5:6" x14ac:dyDescent="0.55000000000000004">
      <c r="E176" s="4" t="str">
        <f>CHAR(ROWS(E$12:E176))</f>
        <v>¥</v>
      </c>
      <c r="F176" s="4">
        <f t="shared" si="3"/>
        <v>165</v>
      </c>
    </row>
    <row r="177" spans="5:6" x14ac:dyDescent="0.55000000000000004">
      <c r="E177" s="4" t="str">
        <f>CHAR(ROWS(E$12:E177))</f>
        <v>¦</v>
      </c>
      <c r="F177" s="4">
        <f t="shared" si="3"/>
        <v>166</v>
      </c>
    </row>
    <row r="178" spans="5:6" x14ac:dyDescent="0.55000000000000004">
      <c r="E178" s="4" t="str">
        <f>CHAR(ROWS(E$12:E178))</f>
        <v>§</v>
      </c>
      <c r="F178" s="4">
        <f t="shared" si="3"/>
        <v>167</v>
      </c>
    </row>
    <row r="179" spans="5:6" x14ac:dyDescent="0.55000000000000004">
      <c r="E179" s="4" t="str">
        <f>CHAR(ROWS(E$12:E179))</f>
        <v>¨</v>
      </c>
      <c r="F179" s="4">
        <f t="shared" si="3"/>
        <v>168</v>
      </c>
    </row>
    <row r="180" spans="5:6" x14ac:dyDescent="0.55000000000000004">
      <c r="E180" s="4" t="str">
        <f>CHAR(ROWS(E$12:E180))</f>
        <v>©</v>
      </c>
      <c r="F180" s="4">
        <f t="shared" si="3"/>
        <v>169</v>
      </c>
    </row>
    <row r="181" spans="5:6" x14ac:dyDescent="0.55000000000000004">
      <c r="E181" s="4" t="str">
        <f>CHAR(ROWS(E$12:E181))</f>
        <v>ª</v>
      </c>
      <c r="F181" s="4">
        <f t="shared" si="3"/>
        <v>170</v>
      </c>
    </row>
    <row r="182" spans="5:6" x14ac:dyDescent="0.55000000000000004">
      <c r="E182" s="4" t="str">
        <f>CHAR(ROWS(E$12:E182))</f>
        <v>«</v>
      </c>
      <c r="F182" s="4">
        <f t="shared" si="3"/>
        <v>171</v>
      </c>
    </row>
    <row r="183" spans="5:6" x14ac:dyDescent="0.55000000000000004">
      <c r="E183" s="4" t="str">
        <f>CHAR(ROWS(E$12:E183))</f>
        <v>¬</v>
      </c>
      <c r="F183" s="4">
        <f t="shared" si="3"/>
        <v>172</v>
      </c>
    </row>
    <row r="184" spans="5:6" x14ac:dyDescent="0.55000000000000004">
      <c r="E184" s="4" t="str">
        <f>CHAR(ROWS(E$12:E184))</f>
        <v>­</v>
      </c>
      <c r="F184" s="4">
        <f t="shared" si="3"/>
        <v>173</v>
      </c>
    </row>
    <row r="185" spans="5:6" x14ac:dyDescent="0.55000000000000004">
      <c r="E185" s="4" t="str">
        <f>CHAR(ROWS(E$12:E185))</f>
        <v>®</v>
      </c>
      <c r="F185" s="4">
        <f t="shared" si="3"/>
        <v>174</v>
      </c>
    </row>
    <row r="186" spans="5:6" x14ac:dyDescent="0.55000000000000004">
      <c r="E186" s="4" t="str">
        <f>CHAR(ROWS(E$12:E186))</f>
        <v>¯</v>
      </c>
      <c r="F186" s="4">
        <f t="shared" si="3"/>
        <v>175</v>
      </c>
    </row>
    <row r="187" spans="5:6" x14ac:dyDescent="0.55000000000000004">
      <c r="E187" s="4" t="str">
        <f>CHAR(ROWS(E$12:E187))</f>
        <v>°</v>
      </c>
      <c r="F187" s="4">
        <f t="shared" si="3"/>
        <v>176</v>
      </c>
    </row>
    <row r="188" spans="5:6" x14ac:dyDescent="0.55000000000000004">
      <c r="E188" s="4" t="str">
        <f>CHAR(ROWS(E$12:E188))</f>
        <v>±</v>
      </c>
      <c r="F188" s="4">
        <f t="shared" si="3"/>
        <v>177</v>
      </c>
    </row>
    <row r="189" spans="5:6" x14ac:dyDescent="0.55000000000000004">
      <c r="E189" s="4" t="str">
        <f>CHAR(ROWS(E$12:E189))</f>
        <v>²</v>
      </c>
      <c r="F189" s="4">
        <f t="shared" si="3"/>
        <v>178</v>
      </c>
    </row>
    <row r="190" spans="5:6" x14ac:dyDescent="0.55000000000000004">
      <c r="E190" s="4" t="str">
        <f>CHAR(ROWS(E$12:E190))</f>
        <v>³</v>
      </c>
      <c r="F190" s="4">
        <f t="shared" si="3"/>
        <v>179</v>
      </c>
    </row>
    <row r="191" spans="5:6" x14ac:dyDescent="0.55000000000000004">
      <c r="E191" s="4" t="str">
        <f>CHAR(ROWS(E$12:E191))</f>
        <v>´</v>
      </c>
      <c r="F191" s="4">
        <f t="shared" si="3"/>
        <v>180</v>
      </c>
    </row>
    <row r="192" spans="5:6" x14ac:dyDescent="0.55000000000000004">
      <c r="E192" s="4" t="str">
        <f>CHAR(ROWS(E$12:E192))</f>
        <v>µ</v>
      </c>
      <c r="F192" s="4">
        <f t="shared" si="3"/>
        <v>181</v>
      </c>
    </row>
    <row r="193" spans="5:6" x14ac:dyDescent="0.55000000000000004">
      <c r="E193" s="4" t="str">
        <f>CHAR(ROWS(E$12:E193))</f>
        <v>¶</v>
      </c>
      <c r="F193" s="4">
        <f t="shared" si="3"/>
        <v>182</v>
      </c>
    </row>
    <row r="194" spans="5:6" x14ac:dyDescent="0.55000000000000004">
      <c r="E194" s="4" t="str">
        <f>CHAR(ROWS(E$12:E194))</f>
        <v>·</v>
      </c>
      <c r="F194" s="4">
        <f t="shared" si="3"/>
        <v>183</v>
      </c>
    </row>
    <row r="195" spans="5:6" x14ac:dyDescent="0.55000000000000004">
      <c r="E195" s="4" t="str">
        <f>CHAR(ROWS(E$12:E195))</f>
        <v>¸</v>
      </c>
      <c r="F195" s="4">
        <f t="shared" si="3"/>
        <v>184</v>
      </c>
    </row>
    <row r="196" spans="5:6" x14ac:dyDescent="0.55000000000000004">
      <c r="E196" s="4" t="str">
        <f>CHAR(ROWS(E$12:E196))</f>
        <v>¹</v>
      </c>
      <c r="F196" s="4">
        <f t="shared" si="3"/>
        <v>185</v>
      </c>
    </row>
    <row r="197" spans="5:6" x14ac:dyDescent="0.55000000000000004">
      <c r="E197" s="4" t="str">
        <f>CHAR(ROWS(E$12:E197))</f>
        <v>º</v>
      </c>
      <c r="F197" s="4">
        <f t="shared" si="3"/>
        <v>186</v>
      </c>
    </row>
    <row r="198" spans="5:6" x14ac:dyDescent="0.55000000000000004">
      <c r="E198" s="4" t="str">
        <f>CHAR(ROWS(E$12:E198))</f>
        <v>»</v>
      </c>
      <c r="F198" s="4">
        <f t="shared" si="3"/>
        <v>187</v>
      </c>
    </row>
    <row r="199" spans="5:6" x14ac:dyDescent="0.55000000000000004">
      <c r="E199" s="4" t="str">
        <f>CHAR(ROWS(E$12:E199))</f>
        <v>¼</v>
      </c>
      <c r="F199" s="4">
        <f t="shared" si="3"/>
        <v>188</v>
      </c>
    </row>
    <row r="200" spans="5:6" x14ac:dyDescent="0.55000000000000004">
      <c r="E200" s="4" t="str">
        <f>CHAR(ROWS(E$12:E200))</f>
        <v>½</v>
      </c>
      <c r="F200" s="4">
        <f t="shared" si="3"/>
        <v>189</v>
      </c>
    </row>
    <row r="201" spans="5:6" x14ac:dyDescent="0.55000000000000004">
      <c r="E201" s="4" t="str">
        <f>CHAR(ROWS(E$12:E201))</f>
        <v>¾</v>
      </c>
      <c r="F201" s="4">
        <f t="shared" si="3"/>
        <v>190</v>
      </c>
    </row>
    <row r="202" spans="5:6" x14ac:dyDescent="0.55000000000000004">
      <c r="E202" s="4" t="str">
        <f>CHAR(ROWS(E$12:E202))</f>
        <v>¿</v>
      </c>
      <c r="F202" s="4">
        <f t="shared" si="3"/>
        <v>191</v>
      </c>
    </row>
    <row r="203" spans="5:6" x14ac:dyDescent="0.55000000000000004">
      <c r="E203" s="4" t="str">
        <f>CHAR(ROWS(E$12:E203))</f>
        <v>À</v>
      </c>
      <c r="F203" s="4">
        <f t="shared" si="3"/>
        <v>192</v>
      </c>
    </row>
    <row r="204" spans="5:6" x14ac:dyDescent="0.55000000000000004">
      <c r="E204" s="4" t="str">
        <f>CHAR(ROWS(E$12:E204))</f>
        <v>Á</v>
      </c>
      <c r="F204" s="4">
        <f t="shared" ref="F204:F266" si="4">CODE(E204)</f>
        <v>193</v>
      </c>
    </row>
    <row r="205" spans="5:6" x14ac:dyDescent="0.55000000000000004">
      <c r="E205" s="4" t="str">
        <f>CHAR(ROWS(E$12:E205))</f>
        <v>Â</v>
      </c>
      <c r="F205" s="4">
        <f t="shared" si="4"/>
        <v>194</v>
      </c>
    </row>
    <row r="206" spans="5:6" x14ac:dyDescent="0.55000000000000004">
      <c r="E206" s="4" t="str">
        <f>CHAR(ROWS(E$12:E206))</f>
        <v>Ã</v>
      </c>
      <c r="F206" s="4">
        <f t="shared" si="4"/>
        <v>195</v>
      </c>
    </row>
    <row r="207" spans="5:6" x14ac:dyDescent="0.55000000000000004">
      <c r="E207" s="4" t="str">
        <f>CHAR(ROWS(E$12:E207))</f>
        <v>Ä</v>
      </c>
      <c r="F207" s="4">
        <f t="shared" si="4"/>
        <v>196</v>
      </c>
    </row>
    <row r="208" spans="5:6" x14ac:dyDescent="0.55000000000000004">
      <c r="E208" s="4" t="str">
        <f>CHAR(ROWS(E$12:E208))</f>
        <v>Å</v>
      </c>
      <c r="F208" s="4">
        <f t="shared" si="4"/>
        <v>197</v>
      </c>
    </row>
    <row r="209" spans="5:6" x14ac:dyDescent="0.55000000000000004">
      <c r="E209" s="4" t="str">
        <f>CHAR(ROWS(E$12:E209))</f>
        <v>Æ</v>
      </c>
      <c r="F209" s="4">
        <f t="shared" si="4"/>
        <v>198</v>
      </c>
    </row>
    <row r="210" spans="5:6" x14ac:dyDescent="0.55000000000000004">
      <c r="E210" s="4" t="str">
        <f>CHAR(ROWS(E$12:E210))</f>
        <v>Ç</v>
      </c>
      <c r="F210" s="4">
        <f t="shared" si="4"/>
        <v>199</v>
      </c>
    </row>
    <row r="211" spans="5:6" x14ac:dyDescent="0.55000000000000004">
      <c r="E211" s="4" t="str">
        <f>CHAR(ROWS(E$12:E211))</f>
        <v>È</v>
      </c>
      <c r="F211" s="4">
        <f t="shared" si="4"/>
        <v>200</v>
      </c>
    </row>
    <row r="212" spans="5:6" x14ac:dyDescent="0.55000000000000004">
      <c r="E212" s="4" t="str">
        <f>CHAR(ROWS(E$12:E212))</f>
        <v>É</v>
      </c>
      <c r="F212" s="4">
        <f t="shared" si="4"/>
        <v>201</v>
      </c>
    </row>
    <row r="213" spans="5:6" x14ac:dyDescent="0.55000000000000004">
      <c r="E213" s="4" t="str">
        <f>CHAR(ROWS(E$12:E213))</f>
        <v>Ê</v>
      </c>
      <c r="F213" s="4">
        <f t="shared" si="4"/>
        <v>202</v>
      </c>
    </row>
    <row r="214" spans="5:6" x14ac:dyDescent="0.55000000000000004">
      <c r="E214" s="4" t="str">
        <f>CHAR(ROWS(E$12:E214))</f>
        <v>Ë</v>
      </c>
      <c r="F214" s="4">
        <f t="shared" si="4"/>
        <v>203</v>
      </c>
    </row>
    <row r="215" spans="5:6" x14ac:dyDescent="0.55000000000000004">
      <c r="E215" s="4" t="str">
        <f>CHAR(ROWS(E$12:E215))</f>
        <v>Ì</v>
      </c>
      <c r="F215" s="4">
        <f t="shared" si="4"/>
        <v>204</v>
      </c>
    </row>
    <row r="216" spans="5:6" x14ac:dyDescent="0.55000000000000004">
      <c r="E216" s="4" t="str">
        <f>CHAR(ROWS(E$12:E216))</f>
        <v>Í</v>
      </c>
      <c r="F216" s="4">
        <f t="shared" si="4"/>
        <v>205</v>
      </c>
    </row>
    <row r="217" spans="5:6" x14ac:dyDescent="0.55000000000000004">
      <c r="E217" s="4" t="str">
        <f>CHAR(ROWS(E$12:E217))</f>
        <v>Î</v>
      </c>
      <c r="F217" s="4">
        <f t="shared" si="4"/>
        <v>206</v>
      </c>
    </row>
    <row r="218" spans="5:6" x14ac:dyDescent="0.55000000000000004">
      <c r="E218" s="4" t="str">
        <f>CHAR(ROWS(E$12:E218))</f>
        <v>Ï</v>
      </c>
      <c r="F218" s="4">
        <f t="shared" si="4"/>
        <v>207</v>
      </c>
    </row>
    <row r="219" spans="5:6" x14ac:dyDescent="0.55000000000000004">
      <c r="E219" s="4" t="str">
        <f>CHAR(ROWS(E$12:E219))</f>
        <v>Ð</v>
      </c>
      <c r="F219" s="4">
        <f t="shared" si="4"/>
        <v>208</v>
      </c>
    </row>
    <row r="220" spans="5:6" x14ac:dyDescent="0.55000000000000004">
      <c r="E220" s="4" t="str">
        <f>CHAR(ROWS(E$12:E220))</f>
        <v>Ñ</v>
      </c>
      <c r="F220" s="4">
        <f t="shared" si="4"/>
        <v>209</v>
      </c>
    </row>
    <row r="221" spans="5:6" x14ac:dyDescent="0.55000000000000004">
      <c r="E221" s="4" t="str">
        <f>CHAR(ROWS(E$12:E221))</f>
        <v>Ò</v>
      </c>
      <c r="F221" s="4">
        <f t="shared" si="4"/>
        <v>210</v>
      </c>
    </row>
    <row r="222" spans="5:6" x14ac:dyDescent="0.55000000000000004">
      <c r="E222" s="4" t="str">
        <f>CHAR(ROWS(E$12:E222))</f>
        <v>Ó</v>
      </c>
      <c r="F222" s="4">
        <f t="shared" si="4"/>
        <v>211</v>
      </c>
    </row>
    <row r="223" spans="5:6" x14ac:dyDescent="0.55000000000000004">
      <c r="E223" s="4" t="str">
        <f>CHAR(ROWS(E$12:E223))</f>
        <v>Ô</v>
      </c>
      <c r="F223" s="4">
        <f t="shared" si="4"/>
        <v>212</v>
      </c>
    </row>
    <row r="224" spans="5:6" x14ac:dyDescent="0.55000000000000004">
      <c r="E224" s="4" t="str">
        <f>CHAR(ROWS(E$12:E224))</f>
        <v>Õ</v>
      </c>
      <c r="F224" s="4">
        <f t="shared" si="4"/>
        <v>213</v>
      </c>
    </row>
    <row r="225" spans="5:6" x14ac:dyDescent="0.55000000000000004">
      <c r="E225" s="4" t="str">
        <f>CHAR(ROWS(E$12:E225))</f>
        <v>Ö</v>
      </c>
      <c r="F225" s="4">
        <f t="shared" si="4"/>
        <v>214</v>
      </c>
    </row>
    <row r="226" spans="5:6" x14ac:dyDescent="0.55000000000000004">
      <c r="E226" s="4" t="str">
        <f>CHAR(ROWS(E$12:E226))</f>
        <v>×</v>
      </c>
      <c r="F226" s="4">
        <f t="shared" si="4"/>
        <v>215</v>
      </c>
    </row>
    <row r="227" spans="5:6" x14ac:dyDescent="0.55000000000000004">
      <c r="E227" s="4" t="str">
        <f>CHAR(ROWS(E$12:E227))</f>
        <v>Ø</v>
      </c>
      <c r="F227" s="4">
        <f t="shared" si="4"/>
        <v>216</v>
      </c>
    </row>
    <row r="228" spans="5:6" x14ac:dyDescent="0.55000000000000004">
      <c r="E228" s="4" t="str">
        <f>CHAR(ROWS(E$12:E228))</f>
        <v>Ù</v>
      </c>
      <c r="F228" s="4">
        <f t="shared" si="4"/>
        <v>217</v>
      </c>
    </row>
    <row r="229" spans="5:6" x14ac:dyDescent="0.55000000000000004">
      <c r="E229" s="4" t="str">
        <f>CHAR(ROWS(E$12:E229))</f>
        <v>Ú</v>
      </c>
      <c r="F229" s="4">
        <f t="shared" si="4"/>
        <v>218</v>
      </c>
    </row>
    <row r="230" spans="5:6" x14ac:dyDescent="0.55000000000000004">
      <c r="E230" s="4" t="str">
        <f>CHAR(ROWS(E$12:E230))</f>
        <v>Û</v>
      </c>
      <c r="F230" s="4">
        <f t="shared" si="4"/>
        <v>219</v>
      </c>
    </row>
    <row r="231" spans="5:6" x14ac:dyDescent="0.55000000000000004">
      <c r="E231" s="4" t="str">
        <f>CHAR(ROWS(E$12:E231))</f>
        <v>Ü</v>
      </c>
      <c r="F231" s="4">
        <f t="shared" si="4"/>
        <v>220</v>
      </c>
    </row>
    <row r="232" spans="5:6" x14ac:dyDescent="0.55000000000000004">
      <c r="E232" s="4" t="str">
        <f>CHAR(ROWS(E$12:E232))</f>
        <v>Ý</v>
      </c>
      <c r="F232" s="4">
        <f t="shared" si="4"/>
        <v>221</v>
      </c>
    </row>
    <row r="233" spans="5:6" x14ac:dyDescent="0.55000000000000004">
      <c r="E233" s="4" t="str">
        <f>CHAR(ROWS(E$12:E233))</f>
        <v>Þ</v>
      </c>
      <c r="F233" s="4">
        <f t="shared" si="4"/>
        <v>222</v>
      </c>
    </row>
    <row r="234" spans="5:6" x14ac:dyDescent="0.55000000000000004">
      <c r="E234" s="4" t="str">
        <f>CHAR(ROWS(E$12:E234))</f>
        <v>ß</v>
      </c>
      <c r="F234" s="4">
        <f t="shared" si="4"/>
        <v>223</v>
      </c>
    </row>
    <row r="235" spans="5:6" x14ac:dyDescent="0.55000000000000004">
      <c r="E235" s="4" t="str">
        <f>CHAR(ROWS(E$12:E235))</f>
        <v>à</v>
      </c>
      <c r="F235" s="4">
        <f t="shared" si="4"/>
        <v>224</v>
      </c>
    </row>
    <row r="236" spans="5:6" x14ac:dyDescent="0.55000000000000004">
      <c r="E236" s="4" t="str">
        <f>CHAR(ROWS(E$12:E236))</f>
        <v>á</v>
      </c>
      <c r="F236" s="4">
        <f t="shared" si="4"/>
        <v>225</v>
      </c>
    </row>
    <row r="237" spans="5:6" x14ac:dyDescent="0.55000000000000004">
      <c r="E237" s="4" t="str">
        <f>CHAR(ROWS(E$12:E237))</f>
        <v>â</v>
      </c>
      <c r="F237" s="4">
        <f t="shared" si="4"/>
        <v>226</v>
      </c>
    </row>
    <row r="238" spans="5:6" x14ac:dyDescent="0.55000000000000004">
      <c r="E238" s="4" t="str">
        <f>CHAR(ROWS(E$12:E238))</f>
        <v>ã</v>
      </c>
      <c r="F238" s="4">
        <f t="shared" si="4"/>
        <v>227</v>
      </c>
    </row>
    <row r="239" spans="5:6" x14ac:dyDescent="0.55000000000000004">
      <c r="E239" s="4" t="str">
        <f>CHAR(ROWS(E$12:E239))</f>
        <v>ä</v>
      </c>
      <c r="F239" s="4">
        <f t="shared" si="4"/>
        <v>228</v>
      </c>
    </row>
    <row r="240" spans="5:6" x14ac:dyDescent="0.55000000000000004">
      <c r="E240" s="4" t="str">
        <f>CHAR(ROWS(E$12:E240))</f>
        <v>å</v>
      </c>
      <c r="F240" s="4">
        <f t="shared" si="4"/>
        <v>229</v>
      </c>
    </row>
    <row r="241" spans="5:6" x14ac:dyDescent="0.55000000000000004">
      <c r="E241" s="4" t="str">
        <f>CHAR(ROWS(E$12:E241))</f>
        <v>æ</v>
      </c>
      <c r="F241" s="4">
        <f t="shared" si="4"/>
        <v>230</v>
      </c>
    </row>
    <row r="242" spans="5:6" x14ac:dyDescent="0.55000000000000004">
      <c r="E242" s="4" t="str">
        <f>CHAR(ROWS(E$12:E242))</f>
        <v>ç</v>
      </c>
      <c r="F242" s="4">
        <f t="shared" si="4"/>
        <v>231</v>
      </c>
    </row>
    <row r="243" spans="5:6" x14ac:dyDescent="0.55000000000000004">
      <c r="E243" s="4" t="str">
        <f>CHAR(ROWS(E$12:E243))</f>
        <v>è</v>
      </c>
      <c r="F243" s="4">
        <f t="shared" si="4"/>
        <v>232</v>
      </c>
    </row>
    <row r="244" spans="5:6" x14ac:dyDescent="0.55000000000000004">
      <c r="E244" s="4" t="str">
        <f>CHAR(ROWS(E$12:E244))</f>
        <v>é</v>
      </c>
      <c r="F244" s="4">
        <f t="shared" si="4"/>
        <v>233</v>
      </c>
    </row>
    <row r="245" spans="5:6" x14ac:dyDescent="0.55000000000000004">
      <c r="E245" s="4" t="str">
        <f>CHAR(ROWS(E$12:E245))</f>
        <v>ê</v>
      </c>
      <c r="F245" s="4">
        <f t="shared" si="4"/>
        <v>234</v>
      </c>
    </row>
    <row r="246" spans="5:6" x14ac:dyDescent="0.55000000000000004">
      <c r="E246" s="4" t="str">
        <f>CHAR(ROWS(E$12:E246))</f>
        <v>ë</v>
      </c>
      <c r="F246" s="4">
        <f t="shared" si="4"/>
        <v>235</v>
      </c>
    </row>
    <row r="247" spans="5:6" x14ac:dyDescent="0.55000000000000004">
      <c r="E247" s="4" t="str">
        <f>CHAR(ROWS(E$12:E247))</f>
        <v>ì</v>
      </c>
      <c r="F247" s="4">
        <f t="shared" si="4"/>
        <v>236</v>
      </c>
    </row>
    <row r="248" spans="5:6" x14ac:dyDescent="0.55000000000000004">
      <c r="E248" s="4" t="str">
        <f>CHAR(ROWS(E$12:E248))</f>
        <v>í</v>
      </c>
      <c r="F248" s="4">
        <f t="shared" si="4"/>
        <v>237</v>
      </c>
    </row>
    <row r="249" spans="5:6" x14ac:dyDescent="0.55000000000000004">
      <c r="E249" s="4" t="str">
        <f>CHAR(ROWS(E$12:E249))</f>
        <v>î</v>
      </c>
      <c r="F249" s="4">
        <f t="shared" si="4"/>
        <v>238</v>
      </c>
    </row>
    <row r="250" spans="5:6" x14ac:dyDescent="0.55000000000000004">
      <c r="E250" s="4" t="str">
        <f>CHAR(ROWS(E$12:E250))</f>
        <v>ï</v>
      </c>
      <c r="F250" s="4">
        <f t="shared" si="4"/>
        <v>239</v>
      </c>
    </row>
    <row r="251" spans="5:6" x14ac:dyDescent="0.55000000000000004">
      <c r="E251" s="4" t="str">
        <f>CHAR(ROWS(E$12:E251))</f>
        <v>ð</v>
      </c>
      <c r="F251" s="4">
        <f t="shared" si="4"/>
        <v>240</v>
      </c>
    </row>
    <row r="252" spans="5:6" x14ac:dyDescent="0.55000000000000004">
      <c r="E252" s="4" t="str">
        <f>CHAR(ROWS(E$12:E252))</f>
        <v>ñ</v>
      </c>
      <c r="F252" s="4">
        <f t="shared" si="4"/>
        <v>241</v>
      </c>
    </row>
    <row r="253" spans="5:6" x14ac:dyDescent="0.55000000000000004">
      <c r="E253" s="4" t="str">
        <f>CHAR(ROWS(E$12:E253))</f>
        <v>ò</v>
      </c>
      <c r="F253" s="4">
        <f t="shared" si="4"/>
        <v>242</v>
      </c>
    </row>
    <row r="254" spans="5:6" x14ac:dyDescent="0.55000000000000004">
      <c r="E254" s="4" t="str">
        <f>CHAR(ROWS(E$12:E254))</f>
        <v>ó</v>
      </c>
      <c r="F254" s="4">
        <f t="shared" si="4"/>
        <v>243</v>
      </c>
    </row>
    <row r="255" spans="5:6" x14ac:dyDescent="0.55000000000000004">
      <c r="E255" s="4" t="str">
        <f>CHAR(ROWS(E$12:E255))</f>
        <v>ô</v>
      </c>
      <c r="F255" s="4">
        <f t="shared" si="4"/>
        <v>244</v>
      </c>
    </row>
    <row r="256" spans="5:6" x14ac:dyDescent="0.55000000000000004">
      <c r="E256" s="4" t="str">
        <f>CHAR(ROWS(E$12:E256))</f>
        <v>õ</v>
      </c>
      <c r="F256" s="4">
        <f t="shared" si="4"/>
        <v>245</v>
      </c>
    </row>
    <row r="257" spans="5:6" x14ac:dyDescent="0.55000000000000004">
      <c r="E257" s="4" t="str">
        <f>CHAR(ROWS(E$12:E257))</f>
        <v>ö</v>
      </c>
      <c r="F257" s="4">
        <f t="shared" si="4"/>
        <v>246</v>
      </c>
    </row>
    <row r="258" spans="5:6" x14ac:dyDescent="0.55000000000000004">
      <c r="E258" s="4" t="str">
        <f>CHAR(ROWS(E$12:E258))</f>
        <v>÷</v>
      </c>
      <c r="F258" s="4">
        <f t="shared" si="4"/>
        <v>247</v>
      </c>
    </row>
    <row r="259" spans="5:6" x14ac:dyDescent="0.55000000000000004">
      <c r="E259" s="4" t="str">
        <f>CHAR(ROWS(E$12:E259))</f>
        <v>ø</v>
      </c>
      <c r="F259" s="4">
        <f t="shared" si="4"/>
        <v>248</v>
      </c>
    </row>
    <row r="260" spans="5:6" x14ac:dyDescent="0.55000000000000004">
      <c r="E260" s="4" t="str">
        <f>CHAR(ROWS(E$12:E260))</f>
        <v>ù</v>
      </c>
      <c r="F260" s="4">
        <f t="shared" si="4"/>
        <v>249</v>
      </c>
    </row>
    <row r="261" spans="5:6" x14ac:dyDescent="0.55000000000000004">
      <c r="E261" s="4" t="str">
        <f>CHAR(ROWS(E$12:E261))</f>
        <v>ú</v>
      </c>
      <c r="F261" s="4">
        <f t="shared" si="4"/>
        <v>250</v>
      </c>
    </row>
    <row r="262" spans="5:6" x14ac:dyDescent="0.55000000000000004">
      <c r="E262" s="4" t="str">
        <f>CHAR(ROWS(E$12:E262))</f>
        <v>û</v>
      </c>
      <c r="F262" s="4">
        <f t="shared" si="4"/>
        <v>251</v>
      </c>
    </row>
    <row r="263" spans="5:6" x14ac:dyDescent="0.55000000000000004">
      <c r="E263" s="4" t="str">
        <f>CHAR(ROWS(E$12:E263))</f>
        <v>ü</v>
      </c>
      <c r="F263" s="4">
        <f t="shared" si="4"/>
        <v>252</v>
      </c>
    </row>
    <row r="264" spans="5:6" x14ac:dyDescent="0.55000000000000004">
      <c r="E264" s="4" t="str">
        <f>CHAR(ROWS(E$12:E264))</f>
        <v>ý</v>
      </c>
      <c r="F264" s="4">
        <f t="shared" si="4"/>
        <v>253</v>
      </c>
    </row>
    <row r="265" spans="5:6" x14ac:dyDescent="0.55000000000000004">
      <c r="E265" s="4" t="str">
        <f>CHAR(ROWS(E$12:E265))</f>
        <v>þ</v>
      </c>
      <c r="F265" s="4">
        <f t="shared" si="4"/>
        <v>254</v>
      </c>
    </row>
    <row r="266" spans="5:6" x14ac:dyDescent="0.55000000000000004">
      <c r="E266" s="4" t="str">
        <f>CHAR(ROWS(E$12:E266))</f>
        <v>ÿ</v>
      </c>
      <c r="F266" s="4">
        <f t="shared" si="4"/>
        <v>255</v>
      </c>
    </row>
  </sheetData>
  <sortState xmlns:xlrd2="http://schemas.microsoft.com/office/spreadsheetml/2017/richdata2" ref="A2:A14">
    <sortCondition ref="A1"/>
  </sortState>
  <mergeCells count="1">
    <mergeCell ref="C16:C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I19"/>
  <sheetViews>
    <sheetView workbookViewId="0">
      <selection activeCell="C21" sqref="C21"/>
    </sheetView>
  </sheetViews>
  <sheetFormatPr defaultRowHeight="14.4" x14ac:dyDescent="0.55000000000000004"/>
  <cols>
    <col min="1" max="1" width="12.26171875" customWidth="1"/>
    <col min="2" max="2" width="13.83984375" customWidth="1"/>
    <col min="3" max="3" width="19" customWidth="1"/>
    <col min="4" max="4" width="2" customWidth="1"/>
    <col min="6" max="6" width="2" customWidth="1"/>
    <col min="7" max="7" width="12.26171875" customWidth="1"/>
    <col min="8" max="8" width="13.83984375" customWidth="1"/>
    <col min="9" max="9" width="19" customWidth="1"/>
    <col min="11" max="11" width="12.26171875" customWidth="1"/>
    <col min="12" max="12" width="13.83984375" customWidth="1"/>
    <col min="13" max="13" width="19" customWidth="1"/>
  </cols>
  <sheetData>
    <row r="1" spans="1:9" x14ac:dyDescent="0.55000000000000004">
      <c r="A1" t="s">
        <v>40</v>
      </c>
    </row>
    <row r="3" spans="1:9" x14ac:dyDescent="0.55000000000000004">
      <c r="A3" s="2" t="s">
        <v>39</v>
      </c>
      <c r="B3" s="2" t="s">
        <v>10</v>
      </c>
      <c r="C3" s="2" t="s">
        <v>38</v>
      </c>
      <c r="G3" s="2" t="s">
        <v>39</v>
      </c>
      <c r="H3" s="2" t="s">
        <v>10</v>
      </c>
      <c r="I3" s="2" t="s">
        <v>38</v>
      </c>
    </row>
    <row r="4" spans="1:9" x14ac:dyDescent="0.55000000000000004">
      <c r="A4" s="4">
        <v>23004</v>
      </c>
      <c r="B4" s="33">
        <v>280</v>
      </c>
      <c r="C4" s="4" t="s">
        <v>124</v>
      </c>
      <c r="E4" t="s">
        <v>7</v>
      </c>
      <c r="G4" s="4">
        <v>23004</v>
      </c>
      <c r="H4" s="33">
        <v>280</v>
      </c>
      <c r="I4" s="4" t="s">
        <v>124</v>
      </c>
    </row>
    <row r="5" spans="1:9" x14ac:dyDescent="0.55000000000000004">
      <c r="A5" s="4">
        <v>23005</v>
      </c>
      <c r="B5" s="33">
        <v>691</v>
      </c>
      <c r="C5" s="4"/>
      <c r="G5" s="4">
        <v>23005</v>
      </c>
      <c r="H5" s="33">
        <v>691</v>
      </c>
      <c r="I5" s="4"/>
    </row>
    <row r="6" spans="1:9" x14ac:dyDescent="0.55000000000000004">
      <c r="A6" s="4">
        <v>23006</v>
      </c>
      <c r="B6" s="33">
        <v>713</v>
      </c>
      <c r="C6" s="4" t="s">
        <v>124</v>
      </c>
      <c r="G6" s="4">
        <v>23006</v>
      </c>
      <c r="H6" s="33">
        <v>713</v>
      </c>
      <c r="I6" s="4" t="s">
        <v>124</v>
      </c>
    </row>
    <row r="7" spans="1:9" x14ac:dyDescent="0.55000000000000004">
      <c r="A7" s="4">
        <v>23007</v>
      </c>
      <c r="B7" s="33">
        <v>305</v>
      </c>
      <c r="C7" s="4" t="s">
        <v>125</v>
      </c>
      <c r="G7" s="4">
        <v>23007</v>
      </c>
      <c r="H7" s="33">
        <v>305</v>
      </c>
      <c r="I7" s="4" t="s">
        <v>125</v>
      </c>
    </row>
    <row r="8" spans="1:9" x14ac:dyDescent="0.55000000000000004">
      <c r="A8" s="4">
        <v>23008</v>
      </c>
      <c r="B8" s="33">
        <v>178</v>
      </c>
      <c r="C8" s="4" t="s">
        <v>124</v>
      </c>
      <c r="G8" s="4">
        <v>23008</v>
      </c>
      <c r="H8" s="33">
        <v>178</v>
      </c>
      <c r="I8" s="4" t="s">
        <v>124</v>
      </c>
    </row>
    <row r="9" spans="1:9" x14ac:dyDescent="0.55000000000000004">
      <c r="A9" s="4">
        <v>23009</v>
      </c>
      <c r="B9" s="33">
        <v>512</v>
      </c>
      <c r="C9" s="4" t="s">
        <v>125</v>
      </c>
      <c r="G9" s="4">
        <v>23009</v>
      </c>
      <c r="H9" s="33">
        <v>512</v>
      </c>
      <c r="I9" s="4" t="s">
        <v>125</v>
      </c>
    </row>
    <row r="10" spans="1:9" x14ac:dyDescent="0.55000000000000004">
      <c r="A10" s="4">
        <v>23010</v>
      </c>
      <c r="B10" s="33">
        <v>893</v>
      </c>
      <c r="C10" s="4"/>
      <c r="G10" s="4">
        <v>23010</v>
      </c>
      <c r="H10" s="33">
        <v>893</v>
      </c>
      <c r="I10" s="4"/>
    </row>
    <row r="11" spans="1:9" x14ac:dyDescent="0.55000000000000004">
      <c r="A11" s="4">
        <v>23011</v>
      </c>
      <c r="B11" s="33">
        <v>645</v>
      </c>
      <c r="C11" s="4" t="s">
        <v>125</v>
      </c>
      <c r="G11" s="4">
        <v>23011</v>
      </c>
      <c r="H11" s="33">
        <v>645</v>
      </c>
      <c r="I11" s="4" t="s">
        <v>125</v>
      </c>
    </row>
    <row r="12" spans="1:9" x14ac:dyDescent="0.55000000000000004">
      <c r="A12" s="4">
        <v>23012</v>
      </c>
      <c r="B12" s="33">
        <v>907</v>
      </c>
      <c r="C12" s="4" t="s">
        <v>125</v>
      </c>
      <c r="G12" s="4">
        <v>23012</v>
      </c>
      <c r="H12" s="33">
        <v>907</v>
      </c>
      <c r="I12" s="4" t="s">
        <v>125</v>
      </c>
    </row>
    <row r="13" spans="1:9" x14ac:dyDescent="0.55000000000000004">
      <c r="A13" s="4">
        <v>23013</v>
      </c>
      <c r="B13" s="33">
        <v>615</v>
      </c>
      <c r="C13" s="4" t="s">
        <v>123</v>
      </c>
      <c r="G13" s="4">
        <v>23013</v>
      </c>
      <c r="H13" s="33">
        <v>615</v>
      </c>
      <c r="I13" s="4" t="s">
        <v>123</v>
      </c>
    </row>
    <row r="14" spans="1:9" x14ac:dyDescent="0.55000000000000004">
      <c r="A14" s="4">
        <v>23014</v>
      </c>
      <c r="B14" s="33">
        <v>834</v>
      </c>
      <c r="C14" s="4" t="s">
        <v>124</v>
      </c>
      <c r="G14" s="4">
        <v>23014</v>
      </c>
      <c r="H14" s="33">
        <v>834</v>
      </c>
      <c r="I14" s="4" t="s">
        <v>124</v>
      </c>
    </row>
    <row r="15" spans="1:9" x14ac:dyDescent="0.55000000000000004">
      <c r="A15" s="4">
        <v>23015</v>
      </c>
      <c r="B15" s="33">
        <v>670</v>
      </c>
      <c r="C15" s="4" t="s">
        <v>123</v>
      </c>
      <c r="G15" s="4">
        <v>23015</v>
      </c>
      <c r="H15" s="33">
        <v>670</v>
      </c>
      <c r="I15" s="4" t="s">
        <v>123</v>
      </c>
    </row>
    <row r="16" spans="1:9" x14ac:dyDescent="0.55000000000000004">
      <c r="A16" s="4">
        <v>23016</v>
      </c>
      <c r="B16" s="33">
        <v>146</v>
      </c>
      <c r="C16" s="4" t="s">
        <v>124</v>
      </c>
      <c r="G16" s="4">
        <v>23016</v>
      </c>
      <c r="H16" s="33">
        <v>146</v>
      </c>
      <c r="I16" s="4" t="s">
        <v>124</v>
      </c>
    </row>
    <row r="17" spans="1:9" x14ac:dyDescent="0.55000000000000004">
      <c r="A17" s="4">
        <v>23017</v>
      </c>
      <c r="B17" s="33">
        <v>666</v>
      </c>
      <c r="C17" s="4" t="s">
        <v>123</v>
      </c>
      <c r="G17" s="4">
        <v>23017</v>
      </c>
      <c r="H17" s="33">
        <v>666</v>
      </c>
      <c r="I17" s="4" t="s">
        <v>123</v>
      </c>
    </row>
    <row r="18" spans="1:9" x14ac:dyDescent="0.55000000000000004">
      <c r="A18" s="4">
        <v>23018</v>
      </c>
      <c r="B18" s="33">
        <v>598</v>
      </c>
      <c r="C18" s="4" t="s">
        <v>125</v>
      </c>
      <c r="G18" s="4">
        <v>23018</v>
      </c>
      <c r="H18" s="33">
        <v>598</v>
      </c>
      <c r="I18" s="4" t="s">
        <v>125</v>
      </c>
    </row>
    <row r="19" spans="1:9" x14ac:dyDescent="0.55000000000000004">
      <c r="A19" s="4">
        <v>23019</v>
      </c>
      <c r="B19" s="33">
        <v>821</v>
      </c>
      <c r="C19" s="4" t="s">
        <v>125</v>
      </c>
      <c r="G19" s="4">
        <v>23019</v>
      </c>
      <c r="H19" s="33">
        <v>821</v>
      </c>
      <c r="I19" s="4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I25"/>
  <sheetViews>
    <sheetView zoomScale="130" zoomScaleNormal="130" workbookViewId="0">
      <selection activeCell="H4" sqref="H4"/>
    </sheetView>
  </sheetViews>
  <sheetFormatPr defaultRowHeight="14.4" x14ac:dyDescent="0.55000000000000004"/>
  <cols>
    <col min="1" max="1" width="20.83984375" bestFit="1" customWidth="1"/>
    <col min="2" max="2" width="13" customWidth="1"/>
    <col min="3" max="3" width="15.15625" customWidth="1"/>
    <col min="4" max="4" width="18.68359375" bestFit="1" customWidth="1"/>
    <col min="5" max="5" width="11" bestFit="1" customWidth="1"/>
    <col min="6" max="6" width="6.26171875" customWidth="1"/>
    <col min="7" max="7" width="3.578125" bestFit="1" customWidth="1"/>
    <col min="257" max="257" width="11.83984375" bestFit="1" customWidth="1"/>
    <col min="258" max="258" width="10.26171875" customWidth="1"/>
    <col min="259" max="259" width="15.15625" customWidth="1"/>
    <col min="260" max="261" width="11" bestFit="1" customWidth="1"/>
    <col min="262" max="262" width="6.26171875" customWidth="1"/>
    <col min="263" max="263" width="3.578125" bestFit="1" customWidth="1"/>
    <col min="513" max="513" width="11.83984375" bestFit="1" customWidth="1"/>
    <col min="514" max="514" width="10.26171875" customWidth="1"/>
    <col min="515" max="515" width="15.15625" customWidth="1"/>
    <col min="516" max="517" width="11" bestFit="1" customWidth="1"/>
    <col min="518" max="518" width="6.26171875" customWidth="1"/>
    <col min="519" max="519" width="3.578125" bestFit="1" customWidth="1"/>
    <col min="769" max="769" width="11.83984375" bestFit="1" customWidth="1"/>
    <col min="770" max="770" width="10.26171875" customWidth="1"/>
    <col min="771" max="771" width="15.15625" customWidth="1"/>
    <col min="772" max="773" width="11" bestFit="1" customWidth="1"/>
    <col min="774" max="774" width="6.26171875" customWidth="1"/>
    <col min="775" max="775" width="3.578125" bestFit="1" customWidth="1"/>
    <col min="1025" max="1025" width="11.83984375" bestFit="1" customWidth="1"/>
    <col min="1026" max="1026" width="10.26171875" customWidth="1"/>
    <col min="1027" max="1027" width="15.15625" customWidth="1"/>
    <col min="1028" max="1029" width="11" bestFit="1" customWidth="1"/>
    <col min="1030" max="1030" width="6.26171875" customWidth="1"/>
    <col min="1031" max="1031" width="3.578125" bestFit="1" customWidth="1"/>
    <col min="1281" max="1281" width="11.83984375" bestFit="1" customWidth="1"/>
    <col min="1282" max="1282" width="10.26171875" customWidth="1"/>
    <col min="1283" max="1283" width="15.15625" customWidth="1"/>
    <col min="1284" max="1285" width="11" bestFit="1" customWidth="1"/>
    <col min="1286" max="1286" width="6.26171875" customWidth="1"/>
    <col min="1287" max="1287" width="3.578125" bestFit="1" customWidth="1"/>
    <col min="1537" max="1537" width="11.83984375" bestFit="1" customWidth="1"/>
    <col min="1538" max="1538" width="10.26171875" customWidth="1"/>
    <col min="1539" max="1539" width="15.15625" customWidth="1"/>
    <col min="1540" max="1541" width="11" bestFit="1" customWidth="1"/>
    <col min="1542" max="1542" width="6.26171875" customWidth="1"/>
    <col min="1543" max="1543" width="3.578125" bestFit="1" customWidth="1"/>
    <col min="1793" max="1793" width="11.83984375" bestFit="1" customWidth="1"/>
    <col min="1794" max="1794" width="10.26171875" customWidth="1"/>
    <col min="1795" max="1795" width="15.15625" customWidth="1"/>
    <col min="1796" max="1797" width="11" bestFit="1" customWidth="1"/>
    <col min="1798" max="1798" width="6.26171875" customWidth="1"/>
    <col min="1799" max="1799" width="3.578125" bestFit="1" customWidth="1"/>
    <col min="2049" max="2049" width="11.83984375" bestFit="1" customWidth="1"/>
    <col min="2050" max="2050" width="10.26171875" customWidth="1"/>
    <col min="2051" max="2051" width="15.15625" customWidth="1"/>
    <col min="2052" max="2053" width="11" bestFit="1" customWidth="1"/>
    <col min="2054" max="2054" width="6.26171875" customWidth="1"/>
    <col min="2055" max="2055" width="3.578125" bestFit="1" customWidth="1"/>
    <col min="2305" max="2305" width="11.83984375" bestFit="1" customWidth="1"/>
    <col min="2306" max="2306" width="10.26171875" customWidth="1"/>
    <col min="2307" max="2307" width="15.15625" customWidth="1"/>
    <col min="2308" max="2309" width="11" bestFit="1" customWidth="1"/>
    <col min="2310" max="2310" width="6.26171875" customWidth="1"/>
    <col min="2311" max="2311" width="3.578125" bestFit="1" customWidth="1"/>
    <col min="2561" max="2561" width="11.83984375" bestFit="1" customWidth="1"/>
    <col min="2562" max="2562" width="10.26171875" customWidth="1"/>
    <col min="2563" max="2563" width="15.15625" customWidth="1"/>
    <col min="2564" max="2565" width="11" bestFit="1" customWidth="1"/>
    <col min="2566" max="2566" width="6.26171875" customWidth="1"/>
    <col min="2567" max="2567" width="3.578125" bestFit="1" customWidth="1"/>
    <col min="2817" max="2817" width="11.83984375" bestFit="1" customWidth="1"/>
    <col min="2818" max="2818" width="10.26171875" customWidth="1"/>
    <col min="2819" max="2819" width="15.15625" customWidth="1"/>
    <col min="2820" max="2821" width="11" bestFit="1" customWidth="1"/>
    <col min="2822" max="2822" width="6.26171875" customWidth="1"/>
    <col min="2823" max="2823" width="3.578125" bestFit="1" customWidth="1"/>
    <col min="3073" max="3073" width="11.83984375" bestFit="1" customWidth="1"/>
    <col min="3074" max="3074" width="10.26171875" customWidth="1"/>
    <col min="3075" max="3075" width="15.15625" customWidth="1"/>
    <col min="3076" max="3077" width="11" bestFit="1" customWidth="1"/>
    <col min="3078" max="3078" width="6.26171875" customWidth="1"/>
    <col min="3079" max="3079" width="3.578125" bestFit="1" customWidth="1"/>
    <col min="3329" max="3329" width="11.83984375" bestFit="1" customWidth="1"/>
    <col min="3330" max="3330" width="10.26171875" customWidth="1"/>
    <col min="3331" max="3331" width="15.15625" customWidth="1"/>
    <col min="3332" max="3333" width="11" bestFit="1" customWidth="1"/>
    <col min="3334" max="3334" width="6.26171875" customWidth="1"/>
    <col min="3335" max="3335" width="3.578125" bestFit="1" customWidth="1"/>
    <col min="3585" max="3585" width="11.83984375" bestFit="1" customWidth="1"/>
    <col min="3586" max="3586" width="10.26171875" customWidth="1"/>
    <col min="3587" max="3587" width="15.15625" customWidth="1"/>
    <col min="3588" max="3589" width="11" bestFit="1" customWidth="1"/>
    <col min="3590" max="3590" width="6.26171875" customWidth="1"/>
    <col min="3591" max="3591" width="3.578125" bestFit="1" customWidth="1"/>
    <col min="3841" max="3841" width="11.83984375" bestFit="1" customWidth="1"/>
    <col min="3842" max="3842" width="10.26171875" customWidth="1"/>
    <col min="3843" max="3843" width="15.15625" customWidth="1"/>
    <col min="3844" max="3845" width="11" bestFit="1" customWidth="1"/>
    <col min="3846" max="3846" width="6.26171875" customWidth="1"/>
    <col min="3847" max="3847" width="3.578125" bestFit="1" customWidth="1"/>
    <col min="4097" max="4097" width="11.83984375" bestFit="1" customWidth="1"/>
    <col min="4098" max="4098" width="10.26171875" customWidth="1"/>
    <col min="4099" max="4099" width="15.15625" customWidth="1"/>
    <col min="4100" max="4101" width="11" bestFit="1" customWidth="1"/>
    <col min="4102" max="4102" width="6.26171875" customWidth="1"/>
    <col min="4103" max="4103" width="3.578125" bestFit="1" customWidth="1"/>
    <col min="4353" max="4353" width="11.83984375" bestFit="1" customWidth="1"/>
    <col min="4354" max="4354" width="10.26171875" customWidth="1"/>
    <col min="4355" max="4355" width="15.15625" customWidth="1"/>
    <col min="4356" max="4357" width="11" bestFit="1" customWidth="1"/>
    <col min="4358" max="4358" width="6.26171875" customWidth="1"/>
    <col min="4359" max="4359" width="3.578125" bestFit="1" customWidth="1"/>
    <col min="4609" max="4609" width="11.83984375" bestFit="1" customWidth="1"/>
    <col min="4610" max="4610" width="10.26171875" customWidth="1"/>
    <col min="4611" max="4611" width="15.15625" customWidth="1"/>
    <col min="4612" max="4613" width="11" bestFit="1" customWidth="1"/>
    <col min="4614" max="4614" width="6.26171875" customWidth="1"/>
    <col min="4615" max="4615" width="3.578125" bestFit="1" customWidth="1"/>
    <col min="4865" max="4865" width="11.83984375" bestFit="1" customWidth="1"/>
    <col min="4866" max="4866" width="10.26171875" customWidth="1"/>
    <col min="4867" max="4867" width="15.15625" customWidth="1"/>
    <col min="4868" max="4869" width="11" bestFit="1" customWidth="1"/>
    <col min="4870" max="4870" width="6.26171875" customWidth="1"/>
    <col min="4871" max="4871" width="3.578125" bestFit="1" customWidth="1"/>
    <col min="5121" max="5121" width="11.83984375" bestFit="1" customWidth="1"/>
    <col min="5122" max="5122" width="10.26171875" customWidth="1"/>
    <col min="5123" max="5123" width="15.15625" customWidth="1"/>
    <col min="5124" max="5125" width="11" bestFit="1" customWidth="1"/>
    <col min="5126" max="5126" width="6.26171875" customWidth="1"/>
    <col min="5127" max="5127" width="3.578125" bestFit="1" customWidth="1"/>
    <col min="5377" max="5377" width="11.83984375" bestFit="1" customWidth="1"/>
    <col min="5378" max="5378" width="10.26171875" customWidth="1"/>
    <col min="5379" max="5379" width="15.15625" customWidth="1"/>
    <col min="5380" max="5381" width="11" bestFit="1" customWidth="1"/>
    <col min="5382" max="5382" width="6.26171875" customWidth="1"/>
    <col min="5383" max="5383" width="3.578125" bestFit="1" customWidth="1"/>
    <col min="5633" max="5633" width="11.83984375" bestFit="1" customWidth="1"/>
    <col min="5634" max="5634" width="10.26171875" customWidth="1"/>
    <col min="5635" max="5635" width="15.15625" customWidth="1"/>
    <col min="5636" max="5637" width="11" bestFit="1" customWidth="1"/>
    <col min="5638" max="5638" width="6.26171875" customWidth="1"/>
    <col min="5639" max="5639" width="3.578125" bestFit="1" customWidth="1"/>
    <col min="5889" max="5889" width="11.83984375" bestFit="1" customWidth="1"/>
    <col min="5890" max="5890" width="10.26171875" customWidth="1"/>
    <col min="5891" max="5891" width="15.15625" customWidth="1"/>
    <col min="5892" max="5893" width="11" bestFit="1" customWidth="1"/>
    <col min="5894" max="5894" width="6.26171875" customWidth="1"/>
    <col min="5895" max="5895" width="3.578125" bestFit="1" customWidth="1"/>
    <col min="6145" max="6145" width="11.83984375" bestFit="1" customWidth="1"/>
    <col min="6146" max="6146" width="10.26171875" customWidth="1"/>
    <col min="6147" max="6147" width="15.15625" customWidth="1"/>
    <col min="6148" max="6149" width="11" bestFit="1" customWidth="1"/>
    <col min="6150" max="6150" width="6.26171875" customWidth="1"/>
    <col min="6151" max="6151" width="3.578125" bestFit="1" customWidth="1"/>
    <col min="6401" max="6401" width="11.83984375" bestFit="1" customWidth="1"/>
    <col min="6402" max="6402" width="10.26171875" customWidth="1"/>
    <col min="6403" max="6403" width="15.15625" customWidth="1"/>
    <col min="6404" max="6405" width="11" bestFit="1" customWidth="1"/>
    <col min="6406" max="6406" width="6.26171875" customWidth="1"/>
    <col min="6407" max="6407" width="3.578125" bestFit="1" customWidth="1"/>
    <col min="6657" max="6657" width="11.83984375" bestFit="1" customWidth="1"/>
    <col min="6658" max="6658" width="10.26171875" customWidth="1"/>
    <col min="6659" max="6659" width="15.15625" customWidth="1"/>
    <col min="6660" max="6661" width="11" bestFit="1" customWidth="1"/>
    <col min="6662" max="6662" width="6.26171875" customWidth="1"/>
    <col min="6663" max="6663" width="3.578125" bestFit="1" customWidth="1"/>
    <col min="6913" max="6913" width="11.83984375" bestFit="1" customWidth="1"/>
    <col min="6914" max="6914" width="10.26171875" customWidth="1"/>
    <col min="6915" max="6915" width="15.15625" customWidth="1"/>
    <col min="6916" max="6917" width="11" bestFit="1" customWidth="1"/>
    <col min="6918" max="6918" width="6.26171875" customWidth="1"/>
    <col min="6919" max="6919" width="3.578125" bestFit="1" customWidth="1"/>
    <col min="7169" max="7169" width="11.83984375" bestFit="1" customWidth="1"/>
    <col min="7170" max="7170" width="10.26171875" customWidth="1"/>
    <col min="7171" max="7171" width="15.15625" customWidth="1"/>
    <col min="7172" max="7173" width="11" bestFit="1" customWidth="1"/>
    <col min="7174" max="7174" width="6.26171875" customWidth="1"/>
    <col min="7175" max="7175" width="3.578125" bestFit="1" customWidth="1"/>
    <col min="7425" max="7425" width="11.83984375" bestFit="1" customWidth="1"/>
    <col min="7426" max="7426" width="10.26171875" customWidth="1"/>
    <col min="7427" max="7427" width="15.15625" customWidth="1"/>
    <col min="7428" max="7429" width="11" bestFit="1" customWidth="1"/>
    <col min="7430" max="7430" width="6.26171875" customWidth="1"/>
    <col min="7431" max="7431" width="3.578125" bestFit="1" customWidth="1"/>
    <col min="7681" max="7681" width="11.83984375" bestFit="1" customWidth="1"/>
    <col min="7682" max="7682" width="10.26171875" customWidth="1"/>
    <col min="7683" max="7683" width="15.15625" customWidth="1"/>
    <col min="7684" max="7685" width="11" bestFit="1" customWidth="1"/>
    <col min="7686" max="7686" width="6.26171875" customWidth="1"/>
    <col min="7687" max="7687" width="3.578125" bestFit="1" customWidth="1"/>
    <col min="7937" max="7937" width="11.83984375" bestFit="1" customWidth="1"/>
    <col min="7938" max="7938" width="10.26171875" customWidth="1"/>
    <col min="7939" max="7939" width="15.15625" customWidth="1"/>
    <col min="7940" max="7941" width="11" bestFit="1" customWidth="1"/>
    <col min="7942" max="7942" width="6.26171875" customWidth="1"/>
    <col min="7943" max="7943" width="3.578125" bestFit="1" customWidth="1"/>
    <col min="8193" max="8193" width="11.83984375" bestFit="1" customWidth="1"/>
    <col min="8194" max="8194" width="10.26171875" customWidth="1"/>
    <col min="8195" max="8195" width="15.15625" customWidth="1"/>
    <col min="8196" max="8197" width="11" bestFit="1" customWidth="1"/>
    <col min="8198" max="8198" width="6.26171875" customWidth="1"/>
    <col min="8199" max="8199" width="3.578125" bestFit="1" customWidth="1"/>
    <col min="8449" max="8449" width="11.83984375" bestFit="1" customWidth="1"/>
    <col min="8450" max="8450" width="10.26171875" customWidth="1"/>
    <col min="8451" max="8451" width="15.15625" customWidth="1"/>
    <col min="8452" max="8453" width="11" bestFit="1" customWidth="1"/>
    <col min="8454" max="8454" width="6.26171875" customWidth="1"/>
    <col min="8455" max="8455" width="3.578125" bestFit="1" customWidth="1"/>
    <col min="8705" max="8705" width="11.83984375" bestFit="1" customWidth="1"/>
    <col min="8706" max="8706" width="10.26171875" customWidth="1"/>
    <col min="8707" max="8707" width="15.15625" customWidth="1"/>
    <col min="8708" max="8709" width="11" bestFit="1" customWidth="1"/>
    <col min="8710" max="8710" width="6.26171875" customWidth="1"/>
    <col min="8711" max="8711" width="3.578125" bestFit="1" customWidth="1"/>
    <col min="8961" max="8961" width="11.83984375" bestFit="1" customWidth="1"/>
    <col min="8962" max="8962" width="10.26171875" customWidth="1"/>
    <col min="8963" max="8963" width="15.15625" customWidth="1"/>
    <col min="8964" max="8965" width="11" bestFit="1" customWidth="1"/>
    <col min="8966" max="8966" width="6.26171875" customWidth="1"/>
    <col min="8967" max="8967" width="3.578125" bestFit="1" customWidth="1"/>
    <col min="9217" max="9217" width="11.83984375" bestFit="1" customWidth="1"/>
    <col min="9218" max="9218" width="10.26171875" customWidth="1"/>
    <col min="9219" max="9219" width="15.15625" customWidth="1"/>
    <col min="9220" max="9221" width="11" bestFit="1" customWidth="1"/>
    <col min="9222" max="9222" width="6.26171875" customWidth="1"/>
    <col min="9223" max="9223" width="3.578125" bestFit="1" customWidth="1"/>
    <col min="9473" max="9473" width="11.83984375" bestFit="1" customWidth="1"/>
    <col min="9474" max="9474" width="10.26171875" customWidth="1"/>
    <col min="9475" max="9475" width="15.15625" customWidth="1"/>
    <col min="9476" max="9477" width="11" bestFit="1" customWidth="1"/>
    <col min="9478" max="9478" width="6.26171875" customWidth="1"/>
    <col min="9479" max="9479" width="3.578125" bestFit="1" customWidth="1"/>
    <col min="9729" max="9729" width="11.83984375" bestFit="1" customWidth="1"/>
    <col min="9730" max="9730" width="10.26171875" customWidth="1"/>
    <col min="9731" max="9731" width="15.15625" customWidth="1"/>
    <col min="9732" max="9733" width="11" bestFit="1" customWidth="1"/>
    <col min="9734" max="9734" width="6.26171875" customWidth="1"/>
    <col min="9735" max="9735" width="3.578125" bestFit="1" customWidth="1"/>
    <col min="9985" max="9985" width="11.83984375" bestFit="1" customWidth="1"/>
    <col min="9986" max="9986" width="10.26171875" customWidth="1"/>
    <col min="9987" max="9987" width="15.15625" customWidth="1"/>
    <col min="9988" max="9989" width="11" bestFit="1" customWidth="1"/>
    <col min="9990" max="9990" width="6.26171875" customWidth="1"/>
    <col min="9991" max="9991" width="3.578125" bestFit="1" customWidth="1"/>
    <col min="10241" max="10241" width="11.83984375" bestFit="1" customWidth="1"/>
    <col min="10242" max="10242" width="10.26171875" customWidth="1"/>
    <col min="10243" max="10243" width="15.15625" customWidth="1"/>
    <col min="10244" max="10245" width="11" bestFit="1" customWidth="1"/>
    <col min="10246" max="10246" width="6.26171875" customWidth="1"/>
    <col min="10247" max="10247" width="3.578125" bestFit="1" customWidth="1"/>
    <col min="10497" max="10497" width="11.83984375" bestFit="1" customWidth="1"/>
    <col min="10498" max="10498" width="10.26171875" customWidth="1"/>
    <col min="10499" max="10499" width="15.15625" customWidth="1"/>
    <col min="10500" max="10501" width="11" bestFit="1" customWidth="1"/>
    <col min="10502" max="10502" width="6.26171875" customWidth="1"/>
    <col min="10503" max="10503" width="3.578125" bestFit="1" customWidth="1"/>
    <col min="10753" max="10753" width="11.83984375" bestFit="1" customWidth="1"/>
    <col min="10754" max="10754" width="10.26171875" customWidth="1"/>
    <col min="10755" max="10755" width="15.15625" customWidth="1"/>
    <col min="10756" max="10757" width="11" bestFit="1" customWidth="1"/>
    <col min="10758" max="10758" width="6.26171875" customWidth="1"/>
    <col min="10759" max="10759" width="3.578125" bestFit="1" customWidth="1"/>
    <col min="11009" max="11009" width="11.83984375" bestFit="1" customWidth="1"/>
    <col min="11010" max="11010" width="10.26171875" customWidth="1"/>
    <col min="11011" max="11011" width="15.15625" customWidth="1"/>
    <col min="11012" max="11013" width="11" bestFit="1" customWidth="1"/>
    <col min="11014" max="11014" width="6.26171875" customWidth="1"/>
    <col min="11015" max="11015" width="3.578125" bestFit="1" customWidth="1"/>
    <col min="11265" max="11265" width="11.83984375" bestFit="1" customWidth="1"/>
    <col min="11266" max="11266" width="10.26171875" customWidth="1"/>
    <col min="11267" max="11267" width="15.15625" customWidth="1"/>
    <col min="11268" max="11269" width="11" bestFit="1" customWidth="1"/>
    <col min="11270" max="11270" width="6.26171875" customWidth="1"/>
    <col min="11271" max="11271" width="3.578125" bestFit="1" customWidth="1"/>
    <col min="11521" max="11521" width="11.83984375" bestFit="1" customWidth="1"/>
    <col min="11522" max="11522" width="10.26171875" customWidth="1"/>
    <col min="11523" max="11523" width="15.15625" customWidth="1"/>
    <col min="11524" max="11525" width="11" bestFit="1" customWidth="1"/>
    <col min="11526" max="11526" width="6.26171875" customWidth="1"/>
    <col min="11527" max="11527" width="3.578125" bestFit="1" customWidth="1"/>
    <col min="11777" max="11777" width="11.83984375" bestFit="1" customWidth="1"/>
    <col min="11778" max="11778" width="10.26171875" customWidth="1"/>
    <col min="11779" max="11779" width="15.15625" customWidth="1"/>
    <col min="11780" max="11781" width="11" bestFit="1" customWidth="1"/>
    <col min="11782" max="11782" width="6.26171875" customWidth="1"/>
    <col min="11783" max="11783" width="3.578125" bestFit="1" customWidth="1"/>
    <col min="12033" max="12033" width="11.83984375" bestFit="1" customWidth="1"/>
    <col min="12034" max="12034" width="10.26171875" customWidth="1"/>
    <col min="12035" max="12035" width="15.15625" customWidth="1"/>
    <col min="12036" max="12037" width="11" bestFit="1" customWidth="1"/>
    <col min="12038" max="12038" width="6.26171875" customWidth="1"/>
    <col min="12039" max="12039" width="3.578125" bestFit="1" customWidth="1"/>
    <col min="12289" max="12289" width="11.83984375" bestFit="1" customWidth="1"/>
    <col min="12290" max="12290" width="10.26171875" customWidth="1"/>
    <col min="12291" max="12291" width="15.15625" customWidth="1"/>
    <col min="12292" max="12293" width="11" bestFit="1" customWidth="1"/>
    <col min="12294" max="12294" width="6.26171875" customWidth="1"/>
    <col min="12295" max="12295" width="3.578125" bestFit="1" customWidth="1"/>
    <col min="12545" max="12545" width="11.83984375" bestFit="1" customWidth="1"/>
    <col min="12546" max="12546" width="10.26171875" customWidth="1"/>
    <col min="12547" max="12547" width="15.15625" customWidth="1"/>
    <col min="12548" max="12549" width="11" bestFit="1" customWidth="1"/>
    <col min="12550" max="12550" width="6.26171875" customWidth="1"/>
    <col min="12551" max="12551" width="3.578125" bestFit="1" customWidth="1"/>
    <col min="12801" max="12801" width="11.83984375" bestFit="1" customWidth="1"/>
    <col min="12802" max="12802" width="10.26171875" customWidth="1"/>
    <col min="12803" max="12803" width="15.15625" customWidth="1"/>
    <col min="12804" max="12805" width="11" bestFit="1" customWidth="1"/>
    <col min="12806" max="12806" width="6.26171875" customWidth="1"/>
    <col min="12807" max="12807" width="3.578125" bestFit="1" customWidth="1"/>
    <col min="13057" max="13057" width="11.83984375" bestFit="1" customWidth="1"/>
    <col min="13058" max="13058" width="10.26171875" customWidth="1"/>
    <col min="13059" max="13059" width="15.15625" customWidth="1"/>
    <col min="13060" max="13061" width="11" bestFit="1" customWidth="1"/>
    <col min="13062" max="13062" width="6.26171875" customWidth="1"/>
    <col min="13063" max="13063" width="3.578125" bestFit="1" customWidth="1"/>
    <col min="13313" max="13313" width="11.83984375" bestFit="1" customWidth="1"/>
    <col min="13314" max="13314" width="10.26171875" customWidth="1"/>
    <col min="13315" max="13315" width="15.15625" customWidth="1"/>
    <col min="13316" max="13317" width="11" bestFit="1" customWidth="1"/>
    <col min="13318" max="13318" width="6.26171875" customWidth="1"/>
    <col min="13319" max="13319" width="3.578125" bestFit="1" customWidth="1"/>
    <col min="13569" max="13569" width="11.83984375" bestFit="1" customWidth="1"/>
    <col min="13570" max="13570" width="10.26171875" customWidth="1"/>
    <col min="13571" max="13571" width="15.15625" customWidth="1"/>
    <col min="13572" max="13573" width="11" bestFit="1" customWidth="1"/>
    <col min="13574" max="13574" width="6.26171875" customWidth="1"/>
    <col min="13575" max="13575" width="3.578125" bestFit="1" customWidth="1"/>
    <col min="13825" max="13825" width="11.83984375" bestFit="1" customWidth="1"/>
    <col min="13826" max="13826" width="10.26171875" customWidth="1"/>
    <col min="13827" max="13827" width="15.15625" customWidth="1"/>
    <col min="13828" max="13829" width="11" bestFit="1" customWidth="1"/>
    <col min="13830" max="13830" width="6.26171875" customWidth="1"/>
    <col min="13831" max="13831" width="3.578125" bestFit="1" customWidth="1"/>
    <col min="14081" max="14081" width="11.83984375" bestFit="1" customWidth="1"/>
    <col min="14082" max="14082" width="10.26171875" customWidth="1"/>
    <col min="14083" max="14083" width="15.15625" customWidth="1"/>
    <col min="14084" max="14085" width="11" bestFit="1" customWidth="1"/>
    <col min="14086" max="14086" width="6.26171875" customWidth="1"/>
    <col min="14087" max="14087" width="3.578125" bestFit="1" customWidth="1"/>
    <col min="14337" max="14337" width="11.83984375" bestFit="1" customWidth="1"/>
    <col min="14338" max="14338" width="10.26171875" customWidth="1"/>
    <col min="14339" max="14339" width="15.15625" customWidth="1"/>
    <col min="14340" max="14341" width="11" bestFit="1" customWidth="1"/>
    <col min="14342" max="14342" width="6.26171875" customWidth="1"/>
    <col min="14343" max="14343" width="3.578125" bestFit="1" customWidth="1"/>
    <col min="14593" max="14593" width="11.83984375" bestFit="1" customWidth="1"/>
    <col min="14594" max="14594" width="10.26171875" customWidth="1"/>
    <col min="14595" max="14595" width="15.15625" customWidth="1"/>
    <col min="14596" max="14597" width="11" bestFit="1" customWidth="1"/>
    <col min="14598" max="14598" width="6.26171875" customWidth="1"/>
    <col min="14599" max="14599" width="3.578125" bestFit="1" customWidth="1"/>
    <col min="14849" max="14849" width="11.83984375" bestFit="1" customWidth="1"/>
    <col min="14850" max="14850" width="10.26171875" customWidth="1"/>
    <col min="14851" max="14851" width="15.15625" customWidth="1"/>
    <col min="14852" max="14853" width="11" bestFit="1" customWidth="1"/>
    <col min="14854" max="14854" width="6.26171875" customWidth="1"/>
    <col min="14855" max="14855" width="3.578125" bestFit="1" customWidth="1"/>
    <col min="15105" max="15105" width="11.83984375" bestFit="1" customWidth="1"/>
    <col min="15106" max="15106" width="10.26171875" customWidth="1"/>
    <col min="15107" max="15107" width="15.15625" customWidth="1"/>
    <col min="15108" max="15109" width="11" bestFit="1" customWidth="1"/>
    <col min="15110" max="15110" width="6.26171875" customWidth="1"/>
    <col min="15111" max="15111" width="3.578125" bestFit="1" customWidth="1"/>
    <col min="15361" max="15361" width="11.83984375" bestFit="1" customWidth="1"/>
    <col min="15362" max="15362" width="10.26171875" customWidth="1"/>
    <col min="15363" max="15363" width="15.15625" customWidth="1"/>
    <col min="15364" max="15365" width="11" bestFit="1" customWidth="1"/>
    <col min="15366" max="15366" width="6.26171875" customWidth="1"/>
    <col min="15367" max="15367" width="3.578125" bestFit="1" customWidth="1"/>
    <col min="15617" max="15617" width="11.83984375" bestFit="1" customWidth="1"/>
    <col min="15618" max="15618" width="10.26171875" customWidth="1"/>
    <col min="15619" max="15619" width="15.15625" customWidth="1"/>
    <col min="15620" max="15621" width="11" bestFit="1" customWidth="1"/>
    <col min="15622" max="15622" width="6.26171875" customWidth="1"/>
    <col min="15623" max="15623" width="3.578125" bestFit="1" customWidth="1"/>
    <col min="15873" max="15873" width="11.83984375" bestFit="1" customWidth="1"/>
    <col min="15874" max="15874" width="10.26171875" customWidth="1"/>
    <col min="15875" max="15875" width="15.15625" customWidth="1"/>
    <col min="15876" max="15877" width="11" bestFit="1" customWidth="1"/>
    <col min="15878" max="15878" width="6.26171875" customWidth="1"/>
    <col min="15879" max="15879" width="3.578125" bestFit="1" customWidth="1"/>
    <col min="16129" max="16129" width="11.83984375" bestFit="1" customWidth="1"/>
    <col min="16130" max="16130" width="10.26171875" customWidth="1"/>
    <col min="16131" max="16131" width="15.15625" customWidth="1"/>
    <col min="16132" max="16133" width="11" bestFit="1" customWidth="1"/>
    <col min="16134" max="16134" width="6.26171875" customWidth="1"/>
    <col min="16135" max="16135" width="3.578125" bestFit="1" customWidth="1"/>
  </cols>
  <sheetData>
    <row r="1" spans="1:5" x14ac:dyDescent="0.55000000000000004">
      <c r="A1" t="s">
        <v>61</v>
      </c>
    </row>
    <row r="4" spans="1:5" ht="28.8" x14ac:dyDescent="0.55000000000000004">
      <c r="A4" s="23" t="s">
        <v>60</v>
      </c>
      <c r="B4" s="23" t="s">
        <v>59</v>
      </c>
      <c r="D4" s="22" t="s">
        <v>58</v>
      </c>
      <c r="E4" s="1"/>
    </row>
    <row r="5" spans="1:5" x14ac:dyDescent="0.55000000000000004">
      <c r="A5" s="4" t="s">
        <v>57</v>
      </c>
      <c r="B5" s="21" t="e">
        <f t="shared" ref="B5:B13" si="0">MATCH(A5,$D$5:$D$15,0)</f>
        <v>#N/A</v>
      </c>
      <c r="D5" s="4" t="s">
        <v>56</v>
      </c>
    </row>
    <row r="6" spans="1:5" x14ac:dyDescent="0.55000000000000004">
      <c r="A6" s="4" t="s">
        <v>55</v>
      </c>
      <c r="B6" s="21">
        <f t="shared" si="0"/>
        <v>2</v>
      </c>
      <c r="D6" s="4" t="s">
        <v>55</v>
      </c>
    </row>
    <row r="7" spans="1:5" x14ac:dyDescent="0.55000000000000004">
      <c r="A7" s="4" t="s">
        <v>54</v>
      </c>
      <c r="B7" s="21" t="e">
        <f t="shared" si="0"/>
        <v>#N/A</v>
      </c>
      <c r="D7" s="4" t="s">
        <v>53</v>
      </c>
    </row>
    <row r="8" spans="1:5" x14ac:dyDescent="0.55000000000000004">
      <c r="A8" s="4" t="s">
        <v>42</v>
      </c>
      <c r="B8" s="21">
        <f t="shared" si="0"/>
        <v>10</v>
      </c>
      <c r="D8" s="4" t="s">
        <v>52</v>
      </c>
    </row>
    <row r="9" spans="1:5" x14ac:dyDescent="0.55000000000000004">
      <c r="A9" s="4" t="s">
        <v>51</v>
      </c>
      <c r="B9" s="21" t="e">
        <f t="shared" si="0"/>
        <v>#N/A</v>
      </c>
      <c r="D9" s="4" t="s">
        <v>48</v>
      </c>
    </row>
    <row r="10" spans="1:5" x14ac:dyDescent="0.55000000000000004">
      <c r="A10" s="4" t="s">
        <v>50</v>
      </c>
      <c r="B10" s="21" t="e">
        <f t="shared" si="0"/>
        <v>#N/A</v>
      </c>
      <c r="D10" s="4" t="s">
        <v>49</v>
      </c>
    </row>
    <row r="11" spans="1:5" x14ac:dyDescent="0.55000000000000004">
      <c r="A11" s="4" t="s">
        <v>48</v>
      </c>
      <c r="B11" s="21">
        <f t="shared" si="0"/>
        <v>5</v>
      </c>
      <c r="D11" s="4" t="s">
        <v>47</v>
      </c>
    </row>
    <row r="12" spans="1:5" x14ac:dyDescent="0.55000000000000004">
      <c r="A12" s="4" t="s">
        <v>46</v>
      </c>
      <c r="B12" s="21" t="e">
        <f t="shared" si="0"/>
        <v>#N/A</v>
      </c>
      <c r="D12" s="4" t="s">
        <v>45</v>
      </c>
    </row>
    <row r="13" spans="1:5" x14ac:dyDescent="0.55000000000000004">
      <c r="A13" s="4" t="s">
        <v>44</v>
      </c>
      <c r="B13" s="21" t="e">
        <f t="shared" si="0"/>
        <v>#N/A</v>
      </c>
      <c r="D13" s="4" t="s">
        <v>43</v>
      </c>
    </row>
    <row r="14" spans="1:5" x14ac:dyDescent="0.55000000000000004">
      <c r="D14" s="4" t="s">
        <v>42</v>
      </c>
    </row>
    <row r="15" spans="1:5" x14ac:dyDescent="0.55000000000000004">
      <c r="D15" s="4" t="s">
        <v>41</v>
      </c>
    </row>
    <row r="25" spans="9:9" x14ac:dyDescent="0.55000000000000004">
      <c r="I25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D13"/>
  <sheetViews>
    <sheetView zoomScale="130" zoomScaleNormal="130" workbookViewId="0"/>
  </sheetViews>
  <sheetFormatPr defaultRowHeight="14.4" x14ac:dyDescent="0.55000000000000004"/>
  <cols>
    <col min="1" max="1" width="22.41796875" bestFit="1" customWidth="1"/>
    <col min="2" max="2" width="13.41796875" customWidth="1"/>
    <col min="3" max="3" width="11" customWidth="1"/>
    <col min="4" max="4" width="21.83984375" customWidth="1"/>
    <col min="5" max="5" width="9.15625" customWidth="1"/>
    <col min="6" max="6" width="13.68359375" customWidth="1"/>
    <col min="7" max="7" width="18.83984375" customWidth="1"/>
    <col min="8" max="8" width="17" customWidth="1"/>
    <col min="9" max="9" width="17.15625" customWidth="1"/>
    <col min="253" max="253" width="11.83984375" bestFit="1" customWidth="1"/>
    <col min="254" max="254" width="10.26171875" customWidth="1"/>
    <col min="255" max="255" width="15.15625" customWidth="1"/>
    <col min="256" max="257" width="11" bestFit="1" customWidth="1"/>
    <col min="258" max="258" width="6.26171875" customWidth="1"/>
    <col min="259" max="259" width="3.578125" bestFit="1" customWidth="1"/>
    <col min="509" max="509" width="11.83984375" bestFit="1" customWidth="1"/>
    <col min="510" max="510" width="10.26171875" customWidth="1"/>
    <col min="511" max="511" width="15.15625" customWidth="1"/>
    <col min="512" max="513" width="11" bestFit="1" customWidth="1"/>
    <col min="514" max="514" width="6.26171875" customWidth="1"/>
    <col min="515" max="515" width="3.578125" bestFit="1" customWidth="1"/>
    <col min="765" max="765" width="11.83984375" bestFit="1" customWidth="1"/>
    <col min="766" max="766" width="10.26171875" customWidth="1"/>
    <col min="767" max="767" width="15.15625" customWidth="1"/>
    <col min="768" max="769" width="11" bestFit="1" customWidth="1"/>
    <col min="770" max="770" width="6.26171875" customWidth="1"/>
    <col min="771" max="771" width="3.578125" bestFit="1" customWidth="1"/>
    <col min="1021" max="1021" width="11.83984375" bestFit="1" customWidth="1"/>
    <col min="1022" max="1022" width="10.26171875" customWidth="1"/>
    <col min="1023" max="1023" width="15.15625" customWidth="1"/>
    <col min="1024" max="1025" width="11" bestFit="1" customWidth="1"/>
    <col min="1026" max="1026" width="6.26171875" customWidth="1"/>
    <col min="1027" max="1027" width="3.578125" bestFit="1" customWidth="1"/>
    <col min="1277" max="1277" width="11.83984375" bestFit="1" customWidth="1"/>
    <col min="1278" max="1278" width="10.26171875" customWidth="1"/>
    <col min="1279" max="1279" width="15.15625" customWidth="1"/>
    <col min="1280" max="1281" width="11" bestFit="1" customWidth="1"/>
    <col min="1282" max="1282" width="6.26171875" customWidth="1"/>
    <col min="1283" max="1283" width="3.578125" bestFit="1" customWidth="1"/>
    <col min="1533" max="1533" width="11.83984375" bestFit="1" customWidth="1"/>
    <col min="1534" max="1534" width="10.26171875" customWidth="1"/>
    <col min="1535" max="1535" width="15.15625" customWidth="1"/>
    <col min="1536" max="1537" width="11" bestFit="1" customWidth="1"/>
    <col min="1538" max="1538" width="6.26171875" customWidth="1"/>
    <col min="1539" max="1539" width="3.578125" bestFit="1" customWidth="1"/>
    <col min="1789" max="1789" width="11.83984375" bestFit="1" customWidth="1"/>
    <col min="1790" max="1790" width="10.26171875" customWidth="1"/>
    <col min="1791" max="1791" width="15.15625" customWidth="1"/>
    <col min="1792" max="1793" width="11" bestFit="1" customWidth="1"/>
    <col min="1794" max="1794" width="6.26171875" customWidth="1"/>
    <col min="1795" max="1795" width="3.578125" bestFit="1" customWidth="1"/>
    <col min="2045" max="2045" width="11.83984375" bestFit="1" customWidth="1"/>
    <col min="2046" max="2046" width="10.26171875" customWidth="1"/>
    <col min="2047" max="2047" width="15.15625" customWidth="1"/>
    <col min="2048" max="2049" width="11" bestFit="1" customWidth="1"/>
    <col min="2050" max="2050" width="6.26171875" customWidth="1"/>
    <col min="2051" max="2051" width="3.578125" bestFit="1" customWidth="1"/>
    <col min="2301" max="2301" width="11.83984375" bestFit="1" customWidth="1"/>
    <col min="2302" max="2302" width="10.26171875" customWidth="1"/>
    <col min="2303" max="2303" width="15.15625" customWidth="1"/>
    <col min="2304" max="2305" width="11" bestFit="1" customWidth="1"/>
    <col min="2306" max="2306" width="6.26171875" customWidth="1"/>
    <col min="2307" max="2307" width="3.578125" bestFit="1" customWidth="1"/>
    <col min="2557" max="2557" width="11.83984375" bestFit="1" customWidth="1"/>
    <col min="2558" max="2558" width="10.26171875" customWidth="1"/>
    <col min="2559" max="2559" width="15.15625" customWidth="1"/>
    <col min="2560" max="2561" width="11" bestFit="1" customWidth="1"/>
    <col min="2562" max="2562" width="6.26171875" customWidth="1"/>
    <col min="2563" max="2563" width="3.578125" bestFit="1" customWidth="1"/>
    <col min="2813" max="2813" width="11.83984375" bestFit="1" customWidth="1"/>
    <col min="2814" max="2814" width="10.26171875" customWidth="1"/>
    <col min="2815" max="2815" width="15.15625" customWidth="1"/>
    <col min="2816" max="2817" width="11" bestFit="1" customWidth="1"/>
    <col min="2818" max="2818" width="6.26171875" customWidth="1"/>
    <col min="2819" max="2819" width="3.578125" bestFit="1" customWidth="1"/>
    <col min="3069" max="3069" width="11.83984375" bestFit="1" customWidth="1"/>
    <col min="3070" max="3070" width="10.26171875" customWidth="1"/>
    <col min="3071" max="3071" width="15.15625" customWidth="1"/>
    <col min="3072" max="3073" width="11" bestFit="1" customWidth="1"/>
    <col min="3074" max="3074" width="6.26171875" customWidth="1"/>
    <col min="3075" max="3075" width="3.578125" bestFit="1" customWidth="1"/>
    <col min="3325" max="3325" width="11.83984375" bestFit="1" customWidth="1"/>
    <col min="3326" max="3326" width="10.26171875" customWidth="1"/>
    <col min="3327" max="3327" width="15.15625" customWidth="1"/>
    <col min="3328" max="3329" width="11" bestFit="1" customWidth="1"/>
    <col min="3330" max="3330" width="6.26171875" customWidth="1"/>
    <col min="3331" max="3331" width="3.578125" bestFit="1" customWidth="1"/>
    <col min="3581" max="3581" width="11.83984375" bestFit="1" customWidth="1"/>
    <col min="3582" max="3582" width="10.26171875" customWidth="1"/>
    <col min="3583" max="3583" width="15.15625" customWidth="1"/>
    <col min="3584" max="3585" width="11" bestFit="1" customWidth="1"/>
    <col min="3586" max="3586" width="6.26171875" customWidth="1"/>
    <col min="3587" max="3587" width="3.578125" bestFit="1" customWidth="1"/>
    <col min="3837" max="3837" width="11.83984375" bestFit="1" customWidth="1"/>
    <col min="3838" max="3838" width="10.26171875" customWidth="1"/>
    <col min="3839" max="3839" width="15.15625" customWidth="1"/>
    <col min="3840" max="3841" width="11" bestFit="1" customWidth="1"/>
    <col min="3842" max="3842" width="6.26171875" customWidth="1"/>
    <col min="3843" max="3843" width="3.578125" bestFit="1" customWidth="1"/>
    <col min="4093" max="4093" width="11.83984375" bestFit="1" customWidth="1"/>
    <col min="4094" max="4094" width="10.26171875" customWidth="1"/>
    <col min="4095" max="4095" width="15.15625" customWidth="1"/>
    <col min="4096" max="4097" width="11" bestFit="1" customWidth="1"/>
    <col min="4098" max="4098" width="6.26171875" customWidth="1"/>
    <col min="4099" max="4099" width="3.578125" bestFit="1" customWidth="1"/>
    <col min="4349" max="4349" width="11.83984375" bestFit="1" customWidth="1"/>
    <col min="4350" max="4350" width="10.26171875" customWidth="1"/>
    <col min="4351" max="4351" width="15.15625" customWidth="1"/>
    <col min="4352" max="4353" width="11" bestFit="1" customWidth="1"/>
    <col min="4354" max="4354" width="6.26171875" customWidth="1"/>
    <col min="4355" max="4355" width="3.578125" bestFit="1" customWidth="1"/>
    <col min="4605" max="4605" width="11.83984375" bestFit="1" customWidth="1"/>
    <col min="4606" max="4606" width="10.26171875" customWidth="1"/>
    <col min="4607" max="4607" width="15.15625" customWidth="1"/>
    <col min="4608" max="4609" width="11" bestFit="1" customWidth="1"/>
    <col min="4610" max="4610" width="6.26171875" customWidth="1"/>
    <col min="4611" max="4611" width="3.578125" bestFit="1" customWidth="1"/>
    <col min="4861" max="4861" width="11.83984375" bestFit="1" customWidth="1"/>
    <col min="4862" max="4862" width="10.26171875" customWidth="1"/>
    <col min="4863" max="4863" width="15.15625" customWidth="1"/>
    <col min="4864" max="4865" width="11" bestFit="1" customWidth="1"/>
    <col min="4866" max="4866" width="6.26171875" customWidth="1"/>
    <col min="4867" max="4867" width="3.578125" bestFit="1" customWidth="1"/>
    <col min="5117" max="5117" width="11.83984375" bestFit="1" customWidth="1"/>
    <col min="5118" max="5118" width="10.26171875" customWidth="1"/>
    <col min="5119" max="5119" width="15.15625" customWidth="1"/>
    <col min="5120" max="5121" width="11" bestFit="1" customWidth="1"/>
    <col min="5122" max="5122" width="6.26171875" customWidth="1"/>
    <col min="5123" max="5123" width="3.578125" bestFit="1" customWidth="1"/>
    <col min="5373" max="5373" width="11.83984375" bestFit="1" customWidth="1"/>
    <col min="5374" max="5374" width="10.26171875" customWidth="1"/>
    <col min="5375" max="5375" width="15.15625" customWidth="1"/>
    <col min="5376" max="5377" width="11" bestFit="1" customWidth="1"/>
    <col min="5378" max="5378" width="6.26171875" customWidth="1"/>
    <col min="5379" max="5379" width="3.578125" bestFit="1" customWidth="1"/>
    <col min="5629" max="5629" width="11.83984375" bestFit="1" customWidth="1"/>
    <col min="5630" max="5630" width="10.26171875" customWidth="1"/>
    <col min="5631" max="5631" width="15.15625" customWidth="1"/>
    <col min="5632" max="5633" width="11" bestFit="1" customWidth="1"/>
    <col min="5634" max="5634" width="6.26171875" customWidth="1"/>
    <col min="5635" max="5635" width="3.578125" bestFit="1" customWidth="1"/>
    <col min="5885" max="5885" width="11.83984375" bestFit="1" customWidth="1"/>
    <col min="5886" max="5886" width="10.26171875" customWidth="1"/>
    <col min="5887" max="5887" width="15.15625" customWidth="1"/>
    <col min="5888" max="5889" width="11" bestFit="1" customWidth="1"/>
    <col min="5890" max="5890" width="6.26171875" customWidth="1"/>
    <col min="5891" max="5891" width="3.578125" bestFit="1" customWidth="1"/>
    <col min="6141" max="6141" width="11.83984375" bestFit="1" customWidth="1"/>
    <col min="6142" max="6142" width="10.26171875" customWidth="1"/>
    <col min="6143" max="6143" width="15.15625" customWidth="1"/>
    <col min="6144" max="6145" width="11" bestFit="1" customWidth="1"/>
    <col min="6146" max="6146" width="6.26171875" customWidth="1"/>
    <col min="6147" max="6147" width="3.578125" bestFit="1" customWidth="1"/>
    <col min="6397" max="6397" width="11.83984375" bestFit="1" customWidth="1"/>
    <col min="6398" max="6398" width="10.26171875" customWidth="1"/>
    <col min="6399" max="6399" width="15.15625" customWidth="1"/>
    <col min="6400" max="6401" width="11" bestFit="1" customWidth="1"/>
    <col min="6402" max="6402" width="6.26171875" customWidth="1"/>
    <col min="6403" max="6403" width="3.578125" bestFit="1" customWidth="1"/>
    <col min="6653" max="6653" width="11.83984375" bestFit="1" customWidth="1"/>
    <col min="6654" max="6654" width="10.26171875" customWidth="1"/>
    <col min="6655" max="6655" width="15.15625" customWidth="1"/>
    <col min="6656" max="6657" width="11" bestFit="1" customWidth="1"/>
    <col min="6658" max="6658" width="6.26171875" customWidth="1"/>
    <col min="6659" max="6659" width="3.578125" bestFit="1" customWidth="1"/>
    <col min="6909" max="6909" width="11.83984375" bestFit="1" customWidth="1"/>
    <col min="6910" max="6910" width="10.26171875" customWidth="1"/>
    <col min="6911" max="6911" width="15.15625" customWidth="1"/>
    <col min="6912" max="6913" width="11" bestFit="1" customWidth="1"/>
    <col min="6914" max="6914" width="6.26171875" customWidth="1"/>
    <col min="6915" max="6915" width="3.578125" bestFit="1" customWidth="1"/>
    <col min="7165" max="7165" width="11.83984375" bestFit="1" customWidth="1"/>
    <col min="7166" max="7166" width="10.26171875" customWidth="1"/>
    <col min="7167" max="7167" width="15.15625" customWidth="1"/>
    <col min="7168" max="7169" width="11" bestFit="1" customWidth="1"/>
    <col min="7170" max="7170" width="6.26171875" customWidth="1"/>
    <col min="7171" max="7171" width="3.578125" bestFit="1" customWidth="1"/>
    <col min="7421" max="7421" width="11.83984375" bestFit="1" customWidth="1"/>
    <col min="7422" max="7422" width="10.26171875" customWidth="1"/>
    <col min="7423" max="7423" width="15.15625" customWidth="1"/>
    <col min="7424" max="7425" width="11" bestFit="1" customWidth="1"/>
    <col min="7426" max="7426" width="6.26171875" customWidth="1"/>
    <col min="7427" max="7427" width="3.578125" bestFit="1" customWidth="1"/>
    <col min="7677" max="7677" width="11.83984375" bestFit="1" customWidth="1"/>
    <col min="7678" max="7678" width="10.26171875" customWidth="1"/>
    <col min="7679" max="7679" width="15.15625" customWidth="1"/>
    <col min="7680" max="7681" width="11" bestFit="1" customWidth="1"/>
    <col min="7682" max="7682" width="6.26171875" customWidth="1"/>
    <col min="7683" max="7683" width="3.578125" bestFit="1" customWidth="1"/>
    <col min="7933" max="7933" width="11.83984375" bestFit="1" customWidth="1"/>
    <col min="7934" max="7934" width="10.26171875" customWidth="1"/>
    <col min="7935" max="7935" width="15.15625" customWidth="1"/>
    <col min="7936" max="7937" width="11" bestFit="1" customWidth="1"/>
    <col min="7938" max="7938" width="6.26171875" customWidth="1"/>
    <col min="7939" max="7939" width="3.578125" bestFit="1" customWidth="1"/>
    <col min="8189" max="8189" width="11.83984375" bestFit="1" customWidth="1"/>
    <col min="8190" max="8190" width="10.26171875" customWidth="1"/>
    <col min="8191" max="8191" width="15.15625" customWidth="1"/>
    <col min="8192" max="8193" width="11" bestFit="1" customWidth="1"/>
    <col min="8194" max="8194" width="6.26171875" customWidth="1"/>
    <col min="8195" max="8195" width="3.578125" bestFit="1" customWidth="1"/>
    <col min="8445" max="8445" width="11.83984375" bestFit="1" customWidth="1"/>
    <col min="8446" max="8446" width="10.26171875" customWidth="1"/>
    <col min="8447" max="8447" width="15.15625" customWidth="1"/>
    <col min="8448" max="8449" width="11" bestFit="1" customWidth="1"/>
    <col min="8450" max="8450" width="6.26171875" customWidth="1"/>
    <col min="8451" max="8451" width="3.578125" bestFit="1" customWidth="1"/>
    <col min="8701" max="8701" width="11.83984375" bestFit="1" customWidth="1"/>
    <col min="8702" max="8702" width="10.26171875" customWidth="1"/>
    <col min="8703" max="8703" width="15.15625" customWidth="1"/>
    <col min="8704" max="8705" width="11" bestFit="1" customWidth="1"/>
    <col min="8706" max="8706" width="6.26171875" customWidth="1"/>
    <col min="8707" max="8707" width="3.578125" bestFit="1" customWidth="1"/>
    <col min="8957" max="8957" width="11.83984375" bestFit="1" customWidth="1"/>
    <col min="8958" max="8958" width="10.26171875" customWidth="1"/>
    <col min="8959" max="8959" width="15.15625" customWidth="1"/>
    <col min="8960" max="8961" width="11" bestFit="1" customWidth="1"/>
    <col min="8962" max="8962" width="6.26171875" customWidth="1"/>
    <col min="8963" max="8963" width="3.578125" bestFit="1" customWidth="1"/>
    <col min="9213" max="9213" width="11.83984375" bestFit="1" customWidth="1"/>
    <col min="9214" max="9214" width="10.26171875" customWidth="1"/>
    <col min="9215" max="9215" width="15.15625" customWidth="1"/>
    <col min="9216" max="9217" width="11" bestFit="1" customWidth="1"/>
    <col min="9218" max="9218" width="6.26171875" customWidth="1"/>
    <col min="9219" max="9219" width="3.578125" bestFit="1" customWidth="1"/>
    <col min="9469" max="9469" width="11.83984375" bestFit="1" customWidth="1"/>
    <col min="9470" max="9470" width="10.26171875" customWidth="1"/>
    <col min="9471" max="9471" width="15.15625" customWidth="1"/>
    <col min="9472" max="9473" width="11" bestFit="1" customWidth="1"/>
    <col min="9474" max="9474" width="6.26171875" customWidth="1"/>
    <col min="9475" max="9475" width="3.578125" bestFit="1" customWidth="1"/>
    <col min="9725" max="9725" width="11.83984375" bestFit="1" customWidth="1"/>
    <col min="9726" max="9726" width="10.26171875" customWidth="1"/>
    <col min="9727" max="9727" width="15.15625" customWidth="1"/>
    <col min="9728" max="9729" width="11" bestFit="1" customWidth="1"/>
    <col min="9730" max="9730" width="6.26171875" customWidth="1"/>
    <col min="9731" max="9731" width="3.578125" bestFit="1" customWidth="1"/>
    <col min="9981" max="9981" width="11.83984375" bestFit="1" customWidth="1"/>
    <col min="9982" max="9982" width="10.26171875" customWidth="1"/>
    <col min="9983" max="9983" width="15.15625" customWidth="1"/>
    <col min="9984" max="9985" width="11" bestFit="1" customWidth="1"/>
    <col min="9986" max="9986" width="6.26171875" customWidth="1"/>
    <col min="9987" max="9987" width="3.578125" bestFit="1" customWidth="1"/>
    <col min="10237" max="10237" width="11.83984375" bestFit="1" customWidth="1"/>
    <col min="10238" max="10238" width="10.26171875" customWidth="1"/>
    <col min="10239" max="10239" width="15.15625" customWidth="1"/>
    <col min="10240" max="10241" width="11" bestFit="1" customWidth="1"/>
    <col min="10242" max="10242" width="6.26171875" customWidth="1"/>
    <col min="10243" max="10243" width="3.578125" bestFit="1" customWidth="1"/>
    <col min="10493" max="10493" width="11.83984375" bestFit="1" customWidth="1"/>
    <col min="10494" max="10494" width="10.26171875" customWidth="1"/>
    <col min="10495" max="10495" width="15.15625" customWidth="1"/>
    <col min="10496" max="10497" width="11" bestFit="1" customWidth="1"/>
    <col min="10498" max="10498" width="6.26171875" customWidth="1"/>
    <col min="10499" max="10499" width="3.578125" bestFit="1" customWidth="1"/>
    <col min="10749" max="10749" width="11.83984375" bestFit="1" customWidth="1"/>
    <col min="10750" max="10750" width="10.26171875" customWidth="1"/>
    <col min="10751" max="10751" width="15.15625" customWidth="1"/>
    <col min="10752" max="10753" width="11" bestFit="1" customWidth="1"/>
    <col min="10754" max="10754" width="6.26171875" customWidth="1"/>
    <col min="10755" max="10755" width="3.578125" bestFit="1" customWidth="1"/>
    <col min="11005" max="11005" width="11.83984375" bestFit="1" customWidth="1"/>
    <col min="11006" max="11006" width="10.26171875" customWidth="1"/>
    <col min="11007" max="11007" width="15.15625" customWidth="1"/>
    <col min="11008" max="11009" width="11" bestFit="1" customWidth="1"/>
    <col min="11010" max="11010" width="6.26171875" customWidth="1"/>
    <col min="11011" max="11011" width="3.578125" bestFit="1" customWidth="1"/>
    <col min="11261" max="11261" width="11.83984375" bestFit="1" customWidth="1"/>
    <col min="11262" max="11262" width="10.26171875" customWidth="1"/>
    <col min="11263" max="11263" width="15.15625" customWidth="1"/>
    <col min="11264" max="11265" width="11" bestFit="1" customWidth="1"/>
    <col min="11266" max="11266" width="6.26171875" customWidth="1"/>
    <col min="11267" max="11267" width="3.578125" bestFit="1" customWidth="1"/>
    <col min="11517" max="11517" width="11.83984375" bestFit="1" customWidth="1"/>
    <col min="11518" max="11518" width="10.26171875" customWidth="1"/>
    <col min="11519" max="11519" width="15.15625" customWidth="1"/>
    <col min="11520" max="11521" width="11" bestFit="1" customWidth="1"/>
    <col min="11522" max="11522" width="6.26171875" customWidth="1"/>
    <col min="11523" max="11523" width="3.578125" bestFit="1" customWidth="1"/>
    <col min="11773" max="11773" width="11.83984375" bestFit="1" customWidth="1"/>
    <col min="11774" max="11774" width="10.26171875" customWidth="1"/>
    <col min="11775" max="11775" width="15.15625" customWidth="1"/>
    <col min="11776" max="11777" width="11" bestFit="1" customWidth="1"/>
    <col min="11778" max="11778" width="6.26171875" customWidth="1"/>
    <col min="11779" max="11779" width="3.578125" bestFit="1" customWidth="1"/>
    <col min="12029" max="12029" width="11.83984375" bestFit="1" customWidth="1"/>
    <col min="12030" max="12030" width="10.26171875" customWidth="1"/>
    <col min="12031" max="12031" width="15.15625" customWidth="1"/>
    <col min="12032" max="12033" width="11" bestFit="1" customWidth="1"/>
    <col min="12034" max="12034" width="6.26171875" customWidth="1"/>
    <col min="12035" max="12035" width="3.578125" bestFit="1" customWidth="1"/>
    <col min="12285" max="12285" width="11.83984375" bestFit="1" customWidth="1"/>
    <col min="12286" max="12286" width="10.26171875" customWidth="1"/>
    <col min="12287" max="12287" width="15.15625" customWidth="1"/>
    <col min="12288" max="12289" width="11" bestFit="1" customWidth="1"/>
    <col min="12290" max="12290" width="6.26171875" customWidth="1"/>
    <col min="12291" max="12291" width="3.578125" bestFit="1" customWidth="1"/>
    <col min="12541" max="12541" width="11.83984375" bestFit="1" customWidth="1"/>
    <col min="12542" max="12542" width="10.26171875" customWidth="1"/>
    <col min="12543" max="12543" width="15.15625" customWidth="1"/>
    <col min="12544" max="12545" width="11" bestFit="1" customWidth="1"/>
    <col min="12546" max="12546" width="6.26171875" customWidth="1"/>
    <col min="12547" max="12547" width="3.578125" bestFit="1" customWidth="1"/>
    <col min="12797" max="12797" width="11.83984375" bestFit="1" customWidth="1"/>
    <col min="12798" max="12798" width="10.26171875" customWidth="1"/>
    <col min="12799" max="12799" width="15.15625" customWidth="1"/>
    <col min="12800" max="12801" width="11" bestFit="1" customWidth="1"/>
    <col min="12802" max="12802" width="6.26171875" customWidth="1"/>
    <col min="12803" max="12803" width="3.578125" bestFit="1" customWidth="1"/>
    <col min="13053" max="13053" width="11.83984375" bestFit="1" customWidth="1"/>
    <col min="13054" max="13054" width="10.26171875" customWidth="1"/>
    <col min="13055" max="13055" width="15.15625" customWidth="1"/>
    <col min="13056" max="13057" width="11" bestFit="1" customWidth="1"/>
    <col min="13058" max="13058" width="6.26171875" customWidth="1"/>
    <col min="13059" max="13059" width="3.578125" bestFit="1" customWidth="1"/>
    <col min="13309" max="13309" width="11.83984375" bestFit="1" customWidth="1"/>
    <col min="13310" max="13310" width="10.26171875" customWidth="1"/>
    <col min="13311" max="13311" width="15.15625" customWidth="1"/>
    <col min="13312" max="13313" width="11" bestFit="1" customWidth="1"/>
    <col min="13314" max="13314" width="6.26171875" customWidth="1"/>
    <col min="13315" max="13315" width="3.578125" bestFit="1" customWidth="1"/>
    <col min="13565" max="13565" width="11.83984375" bestFit="1" customWidth="1"/>
    <col min="13566" max="13566" width="10.26171875" customWidth="1"/>
    <col min="13567" max="13567" width="15.15625" customWidth="1"/>
    <col min="13568" max="13569" width="11" bestFit="1" customWidth="1"/>
    <col min="13570" max="13570" width="6.26171875" customWidth="1"/>
    <col min="13571" max="13571" width="3.578125" bestFit="1" customWidth="1"/>
    <col min="13821" max="13821" width="11.83984375" bestFit="1" customWidth="1"/>
    <col min="13822" max="13822" width="10.26171875" customWidth="1"/>
    <col min="13823" max="13823" width="15.15625" customWidth="1"/>
    <col min="13824" max="13825" width="11" bestFit="1" customWidth="1"/>
    <col min="13826" max="13826" width="6.26171875" customWidth="1"/>
    <col min="13827" max="13827" width="3.578125" bestFit="1" customWidth="1"/>
    <col min="14077" max="14077" width="11.83984375" bestFit="1" customWidth="1"/>
    <col min="14078" max="14078" width="10.26171875" customWidth="1"/>
    <col min="14079" max="14079" width="15.15625" customWidth="1"/>
    <col min="14080" max="14081" width="11" bestFit="1" customWidth="1"/>
    <col min="14082" max="14082" width="6.26171875" customWidth="1"/>
    <col min="14083" max="14083" width="3.578125" bestFit="1" customWidth="1"/>
    <col min="14333" max="14333" width="11.83984375" bestFit="1" customWidth="1"/>
    <col min="14334" max="14334" width="10.26171875" customWidth="1"/>
    <col min="14335" max="14335" width="15.15625" customWidth="1"/>
    <col min="14336" max="14337" width="11" bestFit="1" customWidth="1"/>
    <col min="14338" max="14338" width="6.26171875" customWidth="1"/>
    <col min="14339" max="14339" width="3.578125" bestFit="1" customWidth="1"/>
    <col min="14589" max="14589" width="11.83984375" bestFit="1" customWidth="1"/>
    <col min="14590" max="14590" width="10.26171875" customWidth="1"/>
    <col min="14591" max="14591" width="15.15625" customWidth="1"/>
    <col min="14592" max="14593" width="11" bestFit="1" customWidth="1"/>
    <col min="14594" max="14594" width="6.26171875" customWidth="1"/>
    <col min="14595" max="14595" width="3.578125" bestFit="1" customWidth="1"/>
    <col min="14845" max="14845" width="11.83984375" bestFit="1" customWidth="1"/>
    <col min="14846" max="14846" width="10.26171875" customWidth="1"/>
    <col min="14847" max="14847" width="15.15625" customWidth="1"/>
    <col min="14848" max="14849" width="11" bestFit="1" customWidth="1"/>
    <col min="14850" max="14850" width="6.26171875" customWidth="1"/>
    <col min="14851" max="14851" width="3.578125" bestFit="1" customWidth="1"/>
    <col min="15101" max="15101" width="11.83984375" bestFit="1" customWidth="1"/>
    <col min="15102" max="15102" width="10.26171875" customWidth="1"/>
    <col min="15103" max="15103" width="15.15625" customWidth="1"/>
    <col min="15104" max="15105" width="11" bestFit="1" customWidth="1"/>
    <col min="15106" max="15106" width="6.26171875" customWidth="1"/>
    <col min="15107" max="15107" width="3.578125" bestFit="1" customWidth="1"/>
    <col min="15357" max="15357" width="11.83984375" bestFit="1" customWidth="1"/>
    <col min="15358" max="15358" width="10.26171875" customWidth="1"/>
    <col min="15359" max="15359" width="15.15625" customWidth="1"/>
    <col min="15360" max="15361" width="11" bestFit="1" customWidth="1"/>
    <col min="15362" max="15362" width="6.26171875" customWidth="1"/>
    <col min="15363" max="15363" width="3.578125" bestFit="1" customWidth="1"/>
    <col min="15613" max="15613" width="11.83984375" bestFit="1" customWidth="1"/>
    <col min="15614" max="15614" width="10.26171875" customWidth="1"/>
    <col min="15615" max="15615" width="15.15625" customWidth="1"/>
    <col min="15616" max="15617" width="11" bestFit="1" customWidth="1"/>
    <col min="15618" max="15618" width="6.26171875" customWidth="1"/>
    <col min="15619" max="15619" width="3.578125" bestFit="1" customWidth="1"/>
    <col min="15869" max="15869" width="11.83984375" bestFit="1" customWidth="1"/>
    <col min="15870" max="15870" width="10.26171875" customWidth="1"/>
    <col min="15871" max="15871" width="15.15625" customWidth="1"/>
    <col min="15872" max="15873" width="11" bestFit="1" customWidth="1"/>
    <col min="15874" max="15874" width="6.26171875" customWidth="1"/>
    <col min="15875" max="15875" width="3.578125" bestFit="1" customWidth="1"/>
    <col min="16125" max="16125" width="11.83984375" bestFit="1" customWidth="1"/>
    <col min="16126" max="16126" width="10.26171875" customWidth="1"/>
    <col min="16127" max="16127" width="15.15625" customWidth="1"/>
    <col min="16128" max="16129" width="11" bestFit="1" customWidth="1"/>
    <col min="16130" max="16130" width="6.26171875" customWidth="1"/>
    <col min="16131" max="16131" width="3.578125" bestFit="1" customWidth="1"/>
  </cols>
  <sheetData>
    <row r="1" spans="1:4" x14ac:dyDescent="0.55000000000000004">
      <c r="A1" t="s">
        <v>138</v>
      </c>
    </row>
    <row r="3" spans="1:4" x14ac:dyDescent="0.55000000000000004">
      <c r="A3" s="24" t="s">
        <v>139</v>
      </c>
      <c r="B3" s="24" t="s">
        <v>140</v>
      </c>
    </row>
    <row r="4" spans="1:4" x14ac:dyDescent="0.55000000000000004">
      <c r="A4" s="4" t="s">
        <v>141</v>
      </c>
      <c r="B4" s="21">
        <f t="shared" ref="B4:B13" ca="1" si="0">RANDBETWEEN(1,10)</f>
        <v>10</v>
      </c>
      <c r="D4" s="43" t="s">
        <v>187</v>
      </c>
    </row>
    <row r="5" spans="1:4" x14ac:dyDescent="0.55000000000000004">
      <c r="A5" s="4" t="s">
        <v>149</v>
      </c>
      <c r="B5" s="21">
        <f t="shared" ca="1" si="0"/>
        <v>5</v>
      </c>
      <c r="D5" s="43" t="s">
        <v>188</v>
      </c>
    </row>
    <row r="6" spans="1:4" x14ac:dyDescent="0.55000000000000004">
      <c r="A6" s="4" t="s">
        <v>147</v>
      </c>
      <c r="B6" s="21">
        <f t="shared" ca="1" si="0"/>
        <v>6</v>
      </c>
    </row>
    <row r="7" spans="1:4" x14ac:dyDescent="0.55000000000000004">
      <c r="A7" s="4" t="s">
        <v>144</v>
      </c>
      <c r="B7" s="21">
        <f t="shared" ca="1" si="0"/>
        <v>1</v>
      </c>
    </row>
    <row r="8" spans="1:4" x14ac:dyDescent="0.55000000000000004">
      <c r="A8" s="4" t="s">
        <v>150</v>
      </c>
      <c r="B8" s="21">
        <f t="shared" ca="1" si="0"/>
        <v>7</v>
      </c>
    </row>
    <row r="9" spans="1:4" x14ac:dyDescent="0.55000000000000004">
      <c r="A9" s="4" t="s">
        <v>143</v>
      </c>
      <c r="B9" s="21">
        <f t="shared" ca="1" si="0"/>
        <v>3</v>
      </c>
    </row>
    <row r="10" spans="1:4" x14ac:dyDescent="0.55000000000000004">
      <c r="A10" s="4" t="s">
        <v>142</v>
      </c>
      <c r="B10" s="21">
        <f t="shared" ca="1" si="0"/>
        <v>10</v>
      </c>
    </row>
    <row r="11" spans="1:4" x14ac:dyDescent="0.55000000000000004">
      <c r="A11" s="4" t="s">
        <v>148</v>
      </c>
      <c r="B11" s="21">
        <f t="shared" ca="1" si="0"/>
        <v>10</v>
      </c>
    </row>
    <row r="12" spans="1:4" x14ac:dyDescent="0.55000000000000004">
      <c r="A12" s="4" t="s">
        <v>146</v>
      </c>
      <c r="B12" s="21">
        <f t="shared" ca="1" si="0"/>
        <v>9</v>
      </c>
    </row>
    <row r="13" spans="1:4" x14ac:dyDescent="0.55000000000000004">
      <c r="A13" s="4" t="s">
        <v>145</v>
      </c>
      <c r="B13" s="21">
        <f t="shared" ca="1" si="0"/>
        <v>4</v>
      </c>
    </row>
  </sheetData>
  <sortState xmlns:xlrd2="http://schemas.microsoft.com/office/spreadsheetml/2017/richdata2" ref="A4:B13">
    <sortCondition ref="B3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K19"/>
  <sheetViews>
    <sheetView topLeftCell="A19" zoomScale="145" zoomScaleNormal="145" workbookViewId="0">
      <selection activeCell="M8" sqref="M8"/>
    </sheetView>
  </sheetViews>
  <sheetFormatPr defaultColWidth="11" defaultRowHeight="14.4" x14ac:dyDescent="0.55000000000000004"/>
  <cols>
    <col min="1" max="1" width="12" bestFit="1" customWidth="1"/>
    <col min="2" max="2" width="10.578125" customWidth="1"/>
    <col min="3" max="11" width="6.41796875" customWidth="1"/>
    <col min="12" max="12" width="11" bestFit="1" customWidth="1"/>
  </cols>
  <sheetData>
    <row r="1" spans="1:11" x14ac:dyDescent="0.55000000000000004">
      <c r="A1" t="s">
        <v>76</v>
      </c>
    </row>
    <row r="4" spans="1:11" x14ac:dyDescent="0.55000000000000004">
      <c r="A4" s="28" t="s">
        <v>75</v>
      </c>
      <c r="B4" s="4">
        <v>1.1000000000000001</v>
      </c>
      <c r="C4" s="4">
        <v>1.3</v>
      </c>
      <c r="D4" s="4">
        <v>1.7</v>
      </c>
      <c r="E4" s="4">
        <v>2.2999999999999998</v>
      </c>
      <c r="F4" s="4">
        <v>2.2999999999999998</v>
      </c>
      <c r="G4" s="4">
        <v>2.7</v>
      </c>
      <c r="H4" s="4">
        <v>4.3</v>
      </c>
      <c r="I4" s="4">
        <v>5.2</v>
      </c>
      <c r="J4" s="4">
        <v>6.4</v>
      </c>
      <c r="K4" s="4">
        <v>6.8</v>
      </c>
    </row>
    <row r="7" spans="1:11" x14ac:dyDescent="0.55000000000000004">
      <c r="A7" t="s">
        <v>74</v>
      </c>
    </row>
    <row r="9" spans="1:11" x14ac:dyDescent="0.55000000000000004">
      <c r="A9" s="24" t="s">
        <v>73</v>
      </c>
      <c r="B9" s="24" t="s">
        <v>72</v>
      </c>
    </row>
    <row r="10" spans="1:11" x14ac:dyDescent="0.55000000000000004">
      <c r="A10" s="26">
        <v>40560</v>
      </c>
      <c r="B10" s="4" t="s">
        <v>68</v>
      </c>
    </row>
    <row r="11" spans="1:11" x14ac:dyDescent="0.55000000000000004">
      <c r="A11" s="26">
        <v>40564</v>
      </c>
      <c r="B11" s="4" t="s">
        <v>67</v>
      </c>
    </row>
    <row r="12" spans="1:11" x14ac:dyDescent="0.55000000000000004">
      <c r="A12" s="27">
        <v>40559</v>
      </c>
      <c r="B12" s="4" t="s">
        <v>71</v>
      </c>
    </row>
    <row r="13" spans="1:11" x14ac:dyDescent="0.55000000000000004">
      <c r="A13" s="27">
        <v>40562</v>
      </c>
      <c r="B13" s="4" t="s">
        <v>70</v>
      </c>
    </row>
    <row r="14" spans="1:11" x14ac:dyDescent="0.55000000000000004">
      <c r="A14" s="27">
        <v>40565</v>
      </c>
      <c r="B14" s="4" t="s">
        <v>69</v>
      </c>
    </row>
    <row r="15" spans="1:11" x14ac:dyDescent="0.55000000000000004">
      <c r="A15" s="25">
        <v>40558</v>
      </c>
      <c r="B15" s="4" t="s">
        <v>66</v>
      </c>
    </row>
    <row r="16" spans="1:11" x14ac:dyDescent="0.55000000000000004">
      <c r="A16" s="25">
        <v>40561</v>
      </c>
      <c r="B16" s="4" t="s">
        <v>65</v>
      </c>
    </row>
    <row r="17" spans="1:2" x14ac:dyDescent="0.55000000000000004">
      <c r="A17" s="25">
        <v>40563</v>
      </c>
      <c r="B17" s="4" t="s">
        <v>64</v>
      </c>
    </row>
    <row r="18" spans="1:2" x14ac:dyDescent="0.55000000000000004">
      <c r="A18" s="25">
        <v>40566</v>
      </c>
      <c r="B18" s="4" t="s">
        <v>63</v>
      </c>
    </row>
    <row r="19" spans="1:2" x14ac:dyDescent="0.55000000000000004">
      <c r="A19" s="25">
        <v>40567</v>
      </c>
      <c r="B19" s="4" t="s">
        <v>62</v>
      </c>
    </row>
  </sheetData>
  <sortState xmlns:xlrd2="http://schemas.microsoft.com/office/spreadsheetml/2017/richdata2" columnSort="1" ref="B3:K4">
    <sortCondition ref="B4:K4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I116"/>
  <sheetViews>
    <sheetView zoomScale="115" zoomScaleNormal="115" workbookViewId="0">
      <selection activeCell="B118" sqref="B118"/>
    </sheetView>
  </sheetViews>
  <sheetFormatPr defaultRowHeight="14.4" outlineLevelRow="2" x14ac:dyDescent="0.55000000000000004"/>
  <cols>
    <col min="1" max="1" width="8.83984375" customWidth="1"/>
    <col min="2" max="2" width="9.15625" bestFit="1" customWidth="1"/>
    <col min="3" max="4" width="9" bestFit="1" customWidth="1"/>
    <col min="5" max="5" width="9.578125" bestFit="1" customWidth="1"/>
    <col min="6" max="6" width="5.68359375" bestFit="1" customWidth="1"/>
    <col min="7" max="7" width="10.578125" bestFit="1" customWidth="1"/>
    <col min="8" max="8" width="9" bestFit="1" customWidth="1"/>
    <col min="257" max="257" width="11.83984375" bestFit="1" customWidth="1"/>
    <col min="258" max="258" width="10.26171875" customWidth="1"/>
    <col min="259" max="259" width="15.15625" customWidth="1"/>
    <col min="260" max="261" width="11" bestFit="1" customWidth="1"/>
    <col min="262" max="262" width="6.26171875" customWidth="1"/>
    <col min="263" max="263" width="3.578125" bestFit="1" customWidth="1"/>
    <col min="513" max="513" width="11.83984375" bestFit="1" customWidth="1"/>
    <col min="514" max="514" width="10.26171875" customWidth="1"/>
    <col min="515" max="515" width="15.15625" customWidth="1"/>
    <col min="516" max="517" width="11" bestFit="1" customWidth="1"/>
    <col min="518" max="518" width="6.26171875" customWidth="1"/>
    <col min="519" max="519" width="3.578125" bestFit="1" customWidth="1"/>
    <col min="769" max="769" width="11.83984375" bestFit="1" customWidth="1"/>
    <col min="770" max="770" width="10.26171875" customWidth="1"/>
    <col min="771" max="771" width="15.15625" customWidth="1"/>
    <col min="772" max="773" width="11" bestFit="1" customWidth="1"/>
    <col min="774" max="774" width="6.26171875" customWidth="1"/>
    <col min="775" max="775" width="3.578125" bestFit="1" customWidth="1"/>
    <col min="1025" max="1025" width="11.83984375" bestFit="1" customWidth="1"/>
    <col min="1026" max="1026" width="10.26171875" customWidth="1"/>
    <col min="1027" max="1027" width="15.15625" customWidth="1"/>
    <col min="1028" max="1029" width="11" bestFit="1" customWidth="1"/>
    <col min="1030" max="1030" width="6.26171875" customWidth="1"/>
    <col min="1031" max="1031" width="3.578125" bestFit="1" customWidth="1"/>
    <col min="1281" max="1281" width="11.83984375" bestFit="1" customWidth="1"/>
    <col min="1282" max="1282" width="10.26171875" customWidth="1"/>
    <col min="1283" max="1283" width="15.15625" customWidth="1"/>
    <col min="1284" max="1285" width="11" bestFit="1" customWidth="1"/>
    <col min="1286" max="1286" width="6.26171875" customWidth="1"/>
    <col min="1287" max="1287" width="3.578125" bestFit="1" customWidth="1"/>
    <col min="1537" max="1537" width="11.83984375" bestFit="1" customWidth="1"/>
    <col min="1538" max="1538" width="10.26171875" customWidth="1"/>
    <col min="1539" max="1539" width="15.15625" customWidth="1"/>
    <col min="1540" max="1541" width="11" bestFit="1" customWidth="1"/>
    <col min="1542" max="1542" width="6.26171875" customWidth="1"/>
    <col min="1543" max="1543" width="3.578125" bestFit="1" customWidth="1"/>
    <col min="1793" max="1793" width="11.83984375" bestFit="1" customWidth="1"/>
    <col min="1794" max="1794" width="10.26171875" customWidth="1"/>
    <col min="1795" max="1795" width="15.15625" customWidth="1"/>
    <col min="1796" max="1797" width="11" bestFit="1" customWidth="1"/>
    <col min="1798" max="1798" width="6.26171875" customWidth="1"/>
    <col min="1799" max="1799" width="3.578125" bestFit="1" customWidth="1"/>
    <col min="2049" max="2049" width="11.83984375" bestFit="1" customWidth="1"/>
    <col min="2050" max="2050" width="10.26171875" customWidth="1"/>
    <col min="2051" max="2051" width="15.15625" customWidth="1"/>
    <col min="2052" max="2053" width="11" bestFit="1" customWidth="1"/>
    <col min="2054" max="2054" width="6.26171875" customWidth="1"/>
    <col min="2055" max="2055" width="3.578125" bestFit="1" customWidth="1"/>
    <col min="2305" max="2305" width="11.83984375" bestFit="1" customWidth="1"/>
    <col min="2306" max="2306" width="10.26171875" customWidth="1"/>
    <col min="2307" max="2307" width="15.15625" customWidth="1"/>
    <col min="2308" max="2309" width="11" bestFit="1" customWidth="1"/>
    <col min="2310" max="2310" width="6.26171875" customWidth="1"/>
    <col min="2311" max="2311" width="3.578125" bestFit="1" customWidth="1"/>
    <col min="2561" max="2561" width="11.83984375" bestFit="1" customWidth="1"/>
    <col min="2562" max="2562" width="10.26171875" customWidth="1"/>
    <col min="2563" max="2563" width="15.15625" customWidth="1"/>
    <col min="2564" max="2565" width="11" bestFit="1" customWidth="1"/>
    <col min="2566" max="2566" width="6.26171875" customWidth="1"/>
    <col min="2567" max="2567" width="3.578125" bestFit="1" customWidth="1"/>
    <col min="2817" max="2817" width="11.83984375" bestFit="1" customWidth="1"/>
    <col min="2818" max="2818" width="10.26171875" customWidth="1"/>
    <col min="2819" max="2819" width="15.15625" customWidth="1"/>
    <col min="2820" max="2821" width="11" bestFit="1" customWidth="1"/>
    <col min="2822" max="2822" width="6.26171875" customWidth="1"/>
    <col min="2823" max="2823" width="3.578125" bestFit="1" customWidth="1"/>
    <col min="3073" max="3073" width="11.83984375" bestFit="1" customWidth="1"/>
    <col min="3074" max="3074" width="10.26171875" customWidth="1"/>
    <col min="3075" max="3075" width="15.15625" customWidth="1"/>
    <col min="3076" max="3077" width="11" bestFit="1" customWidth="1"/>
    <col min="3078" max="3078" width="6.26171875" customWidth="1"/>
    <col min="3079" max="3079" width="3.578125" bestFit="1" customWidth="1"/>
    <col min="3329" max="3329" width="11.83984375" bestFit="1" customWidth="1"/>
    <col min="3330" max="3330" width="10.26171875" customWidth="1"/>
    <col min="3331" max="3331" width="15.15625" customWidth="1"/>
    <col min="3332" max="3333" width="11" bestFit="1" customWidth="1"/>
    <col min="3334" max="3334" width="6.26171875" customWidth="1"/>
    <col min="3335" max="3335" width="3.578125" bestFit="1" customWidth="1"/>
    <col min="3585" max="3585" width="11.83984375" bestFit="1" customWidth="1"/>
    <col min="3586" max="3586" width="10.26171875" customWidth="1"/>
    <col min="3587" max="3587" width="15.15625" customWidth="1"/>
    <col min="3588" max="3589" width="11" bestFit="1" customWidth="1"/>
    <col min="3590" max="3590" width="6.26171875" customWidth="1"/>
    <col min="3591" max="3591" width="3.578125" bestFit="1" customWidth="1"/>
    <col min="3841" max="3841" width="11.83984375" bestFit="1" customWidth="1"/>
    <col min="3842" max="3842" width="10.26171875" customWidth="1"/>
    <col min="3843" max="3843" width="15.15625" customWidth="1"/>
    <col min="3844" max="3845" width="11" bestFit="1" customWidth="1"/>
    <col min="3846" max="3846" width="6.26171875" customWidth="1"/>
    <col min="3847" max="3847" width="3.578125" bestFit="1" customWidth="1"/>
    <col min="4097" max="4097" width="11.83984375" bestFit="1" customWidth="1"/>
    <col min="4098" max="4098" width="10.26171875" customWidth="1"/>
    <col min="4099" max="4099" width="15.15625" customWidth="1"/>
    <col min="4100" max="4101" width="11" bestFit="1" customWidth="1"/>
    <col min="4102" max="4102" width="6.26171875" customWidth="1"/>
    <col min="4103" max="4103" width="3.578125" bestFit="1" customWidth="1"/>
    <col min="4353" max="4353" width="11.83984375" bestFit="1" customWidth="1"/>
    <col min="4354" max="4354" width="10.26171875" customWidth="1"/>
    <col min="4355" max="4355" width="15.15625" customWidth="1"/>
    <col min="4356" max="4357" width="11" bestFit="1" customWidth="1"/>
    <col min="4358" max="4358" width="6.26171875" customWidth="1"/>
    <col min="4359" max="4359" width="3.578125" bestFit="1" customWidth="1"/>
    <col min="4609" max="4609" width="11.83984375" bestFit="1" customWidth="1"/>
    <col min="4610" max="4610" width="10.26171875" customWidth="1"/>
    <col min="4611" max="4611" width="15.15625" customWidth="1"/>
    <col min="4612" max="4613" width="11" bestFit="1" customWidth="1"/>
    <col min="4614" max="4614" width="6.26171875" customWidth="1"/>
    <col min="4615" max="4615" width="3.578125" bestFit="1" customWidth="1"/>
    <col min="4865" max="4865" width="11.83984375" bestFit="1" customWidth="1"/>
    <col min="4866" max="4866" width="10.26171875" customWidth="1"/>
    <col min="4867" max="4867" width="15.15625" customWidth="1"/>
    <col min="4868" max="4869" width="11" bestFit="1" customWidth="1"/>
    <col min="4870" max="4870" width="6.26171875" customWidth="1"/>
    <col min="4871" max="4871" width="3.578125" bestFit="1" customWidth="1"/>
    <col min="5121" max="5121" width="11.83984375" bestFit="1" customWidth="1"/>
    <col min="5122" max="5122" width="10.26171875" customWidth="1"/>
    <col min="5123" max="5123" width="15.15625" customWidth="1"/>
    <col min="5124" max="5125" width="11" bestFit="1" customWidth="1"/>
    <col min="5126" max="5126" width="6.26171875" customWidth="1"/>
    <col min="5127" max="5127" width="3.578125" bestFit="1" customWidth="1"/>
    <col min="5377" max="5377" width="11.83984375" bestFit="1" customWidth="1"/>
    <col min="5378" max="5378" width="10.26171875" customWidth="1"/>
    <col min="5379" max="5379" width="15.15625" customWidth="1"/>
    <col min="5380" max="5381" width="11" bestFit="1" customWidth="1"/>
    <col min="5382" max="5382" width="6.26171875" customWidth="1"/>
    <col min="5383" max="5383" width="3.578125" bestFit="1" customWidth="1"/>
    <col min="5633" max="5633" width="11.83984375" bestFit="1" customWidth="1"/>
    <col min="5634" max="5634" width="10.26171875" customWidth="1"/>
    <col min="5635" max="5635" width="15.15625" customWidth="1"/>
    <col min="5636" max="5637" width="11" bestFit="1" customWidth="1"/>
    <col min="5638" max="5638" width="6.26171875" customWidth="1"/>
    <col min="5639" max="5639" width="3.578125" bestFit="1" customWidth="1"/>
    <col min="5889" max="5889" width="11.83984375" bestFit="1" customWidth="1"/>
    <col min="5890" max="5890" width="10.26171875" customWidth="1"/>
    <col min="5891" max="5891" width="15.15625" customWidth="1"/>
    <col min="5892" max="5893" width="11" bestFit="1" customWidth="1"/>
    <col min="5894" max="5894" width="6.26171875" customWidth="1"/>
    <col min="5895" max="5895" width="3.578125" bestFit="1" customWidth="1"/>
    <col min="6145" max="6145" width="11.83984375" bestFit="1" customWidth="1"/>
    <col min="6146" max="6146" width="10.26171875" customWidth="1"/>
    <col min="6147" max="6147" width="15.15625" customWidth="1"/>
    <col min="6148" max="6149" width="11" bestFit="1" customWidth="1"/>
    <col min="6150" max="6150" width="6.26171875" customWidth="1"/>
    <col min="6151" max="6151" width="3.578125" bestFit="1" customWidth="1"/>
    <col min="6401" max="6401" width="11.83984375" bestFit="1" customWidth="1"/>
    <col min="6402" max="6402" width="10.26171875" customWidth="1"/>
    <col min="6403" max="6403" width="15.15625" customWidth="1"/>
    <col min="6404" max="6405" width="11" bestFit="1" customWidth="1"/>
    <col min="6406" max="6406" width="6.26171875" customWidth="1"/>
    <col min="6407" max="6407" width="3.578125" bestFit="1" customWidth="1"/>
    <col min="6657" max="6657" width="11.83984375" bestFit="1" customWidth="1"/>
    <col min="6658" max="6658" width="10.26171875" customWidth="1"/>
    <col min="6659" max="6659" width="15.15625" customWidth="1"/>
    <col min="6660" max="6661" width="11" bestFit="1" customWidth="1"/>
    <col min="6662" max="6662" width="6.26171875" customWidth="1"/>
    <col min="6663" max="6663" width="3.578125" bestFit="1" customWidth="1"/>
    <col min="6913" max="6913" width="11.83984375" bestFit="1" customWidth="1"/>
    <col min="6914" max="6914" width="10.26171875" customWidth="1"/>
    <col min="6915" max="6915" width="15.15625" customWidth="1"/>
    <col min="6916" max="6917" width="11" bestFit="1" customWidth="1"/>
    <col min="6918" max="6918" width="6.26171875" customWidth="1"/>
    <col min="6919" max="6919" width="3.578125" bestFit="1" customWidth="1"/>
    <col min="7169" max="7169" width="11.83984375" bestFit="1" customWidth="1"/>
    <col min="7170" max="7170" width="10.26171875" customWidth="1"/>
    <col min="7171" max="7171" width="15.15625" customWidth="1"/>
    <col min="7172" max="7173" width="11" bestFit="1" customWidth="1"/>
    <col min="7174" max="7174" width="6.26171875" customWidth="1"/>
    <col min="7175" max="7175" width="3.578125" bestFit="1" customWidth="1"/>
    <col min="7425" max="7425" width="11.83984375" bestFit="1" customWidth="1"/>
    <col min="7426" max="7426" width="10.26171875" customWidth="1"/>
    <col min="7427" max="7427" width="15.15625" customWidth="1"/>
    <col min="7428" max="7429" width="11" bestFit="1" customWidth="1"/>
    <col min="7430" max="7430" width="6.26171875" customWidth="1"/>
    <col min="7431" max="7431" width="3.578125" bestFit="1" customWidth="1"/>
    <col min="7681" max="7681" width="11.83984375" bestFit="1" customWidth="1"/>
    <col min="7682" max="7682" width="10.26171875" customWidth="1"/>
    <col min="7683" max="7683" width="15.15625" customWidth="1"/>
    <col min="7684" max="7685" width="11" bestFit="1" customWidth="1"/>
    <col min="7686" max="7686" width="6.26171875" customWidth="1"/>
    <col min="7687" max="7687" width="3.578125" bestFit="1" customWidth="1"/>
    <col min="7937" max="7937" width="11.83984375" bestFit="1" customWidth="1"/>
    <col min="7938" max="7938" width="10.26171875" customWidth="1"/>
    <col min="7939" max="7939" width="15.15625" customWidth="1"/>
    <col min="7940" max="7941" width="11" bestFit="1" customWidth="1"/>
    <col min="7942" max="7942" width="6.26171875" customWidth="1"/>
    <col min="7943" max="7943" width="3.578125" bestFit="1" customWidth="1"/>
    <col min="8193" max="8193" width="11.83984375" bestFit="1" customWidth="1"/>
    <col min="8194" max="8194" width="10.26171875" customWidth="1"/>
    <col min="8195" max="8195" width="15.15625" customWidth="1"/>
    <col min="8196" max="8197" width="11" bestFit="1" customWidth="1"/>
    <col min="8198" max="8198" width="6.26171875" customWidth="1"/>
    <col min="8199" max="8199" width="3.578125" bestFit="1" customWidth="1"/>
    <col min="8449" max="8449" width="11.83984375" bestFit="1" customWidth="1"/>
    <col min="8450" max="8450" width="10.26171875" customWidth="1"/>
    <col min="8451" max="8451" width="15.15625" customWidth="1"/>
    <col min="8452" max="8453" width="11" bestFit="1" customWidth="1"/>
    <col min="8454" max="8454" width="6.26171875" customWidth="1"/>
    <col min="8455" max="8455" width="3.578125" bestFit="1" customWidth="1"/>
    <col min="8705" max="8705" width="11.83984375" bestFit="1" customWidth="1"/>
    <col min="8706" max="8706" width="10.26171875" customWidth="1"/>
    <col min="8707" max="8707" width="15.15625" customWidth="1"/>
    <col min="8708" max="8709" width="11" bestFit="1" customWidth="1"/>
    <col min="8710" max="8710" width="6.26171875" customWidth="1"/>
    <col min="8711" max="8711" width="3.578125" bestFit="1" customWidth="1"/>
    <col min="8961" max="8961" width="11.83984375" bestFit="1" customWidth="1"/>
    <col min="8962" max="8962" width="10.26171875" customWidth="1"/>
    <col min="8963" max="8963" width="15.15625" customWidth="1"/>
    <col min="8964" max="8965" width="11" bestFit="1" customWidth="1"/>
    <col min="8966" max="8966" width="6.26171875" customWidth="1"/>
    <col min="8967" max="8967" width="3.578125" bestFit="1" customWidth="1"/>
    <col min="9217" max="9217" width="11.83984375" bestFit="1" customWidth="1"/>
    <col min="9218" max="9218" width="10.26171875" customWidth="1"/>
    <col min="9219" max="9219" width="15.15625" customWidth="1"/>
    <col min="9220" max="9221" width="11" bestFit="1" customWidth="1"/>
    <col min="9222" max="9222" width="6.26171875" customWidth="1"/>
    <col min="9223" max="9223" width="3.578125" bestFit="1" customWidth="1"/>
    <col min="9473" max="9473" width="11.83984375" bestFit="1" customWidth="1"/>
    <col min="9474" max="9474" width="10.26171875" customWidth="1"/>
    <col min="9475" max="9475" width="15.15625" customWidth="1"/>
    <col min="9476" max="9477" width="11" bestFit="1" customWidth="1"/>
    <col min="9478" max="9478" width="6.26171875" customWidth="1"/>
    <col min="9479" max="9479" width="3.578125" bestFit="1" customWidth="1"/>
    <col min="9729" max="9729" width="11.83984375" bestFit="1" customWidth="1"/>
    <col min="9730" max="9730" width="10.26171875" customWidth="1"/>
    <col min="9731" max="9731" width="15.15625" customWidth="1"/>
    <col min="9732" max="9733" width="11" bestFit="1" customWidth="1"/>
    <col min="9734" max="9734" width="6.26171875" customWidth="1"/>
    <col min="9735" max="9735" width="3.578125" bestFit="1" customWidth="1"/>
    <col min="9985" max="9985" width="11.83984375" bestFit="1" customWidth="1"/>
    <col min="9986" max="9986" width="10.26171875" customWidth="1"/>
    <col min="9987" max="9987" width="15.15625" customWidth="1"/>
    <col min="9988" max="9989" width="11" bestFit="1" customWidth="1"/>
    <col min="9990" max="9990" width="6.26171875" customWidth="1"/>
    <col min="9991" max="9991" width="3.578125" bestFit="1" customWidth="1"/>
    <col min="10241" max="10241" width="11.83984375" bestFit="1" customWidth="1"/>
    <col min="10242" max="10242" width="10.26171875" customWidth="1"/>
    <col min="10243" max="10243" width="15.15625" customWidth="1"/>
    <col min="10244" max="10245" width="11" bestFit="1" customWidth="1"/>
    <col min="10246" max="10246" width="6.26171875" customWidth="1"/>
    <col min="10247" max="10247" width="3.578125" bestFit="1" customWidth="1"/>
    <col min="10497" max="10497" width="11.83984375" bestFit="1" customWidth="1"/>
    <col min="10498" max="10498" width="10.26171875" customWidth="1"/>
    <col min="10499" max="10499" width="15.15625" customWidth="1"/>
    <col min="10500" max="10501" width="11" bestFit="1" customWidth="1"/>
    <col min="10502" max="10502" width="6.26171875" customWidth="1"/>
    <col min="10503" max="10503" width="3.578125" bestFit="1" customWidth="1"/>
    <col min="10753" max="10753" width="11.83984375" bestFit="1" customWidth="1"/>
    <col min="10754" max="10754" width="10.26171875" customWidth="1"/>
    <col min="10755" max="10755" width="15.15625" customWidth="1"/>
    <col min="10756" max="10757" width="11" bestFit="1" customWidth="1"/>
    <col min="10758" max="10758" width="6.26171875" customWidth="1"/>
    <col min="10759" max="10759" width="3.578125" bestFit="1" customWidth="1"/>
    <col min="11009" max="11009" width="11.83984375" bestFit="1" customWidth="1"/>
    <col min="11010" max="11010" width="10.26171875" customWidth="1"/>
    <col min="11011" max="11011" width="15.15625" customWidth="1"/>
    <col min="11012" max="11013" width="11" bestFit="1" customWidth="1"/>
    <col min="11014" max="11014" width="6.26171875" customWidth="1"/>
    <col min="11015" max="11015" width="3.578125" bestFit="1" customWidth="1"/>
    <col min="11265" max="11265" width="11.83984375" bestFit="1" customWidth="1"/>
    <col min="11266" max="11266" width="10.26171875" customWidth="1"/>
    <col min="11267" max="11267" width="15.15625" customWidth="1"/>
    <col min="11268" max="11269" width="11" bestFit="1" customWidth="1"/>
    <col min="11270" max="11270" width="6.26171875" customWidth="1"/>
    <col min="11271" max="11271" width="3.578125" bestFit="1" customWidth="1"/>
    <col min="11521" max="11521" width="11.83984375" bestFit="1" customWidth="1"/>
    <col min="11522" max="11522" width="10.26171875" customWidth="1"/>
    <col min="11523" max="11523" width="15.15625" customWidth="1"/>
    <col min="11524" max="11525" width="11" bestFit="1" customWidth="1"/>
    <col min="11526" max="11526" width="6.26171875" customWidth="1"/>
    <col min="11527" max="11527" width="3.578125" bestFit="1" customWidth="1"/>
    <col min="11777" max="11777" width="11.83984375" bestFit="1" customWidth="1"/>
    <col min="11778" max="11778" width="10.26171875" customWidth="1"/>
    <col min="11779" max="11779" width="15.15625" customWidth="1"/>
    <col min="11780" max="11781" width="11" bestFit="1" customWidth="1"/>
    <col min="11782" max="11782" width="6.26171875" customWidth="1"/>
    <col min="11783" max="11783" width="3.578125" bestFit="1" customWidth="1"/>
    <col min="12033" max="12033" width="11.83984375" bestFit="1" customWidth="1"/>
    <col min="12034" max="12034" width="10.26171875" customWidth="1"/>
    <col min="12035" max="12035" width="15.15625" customWidth="1"/>
    <col min="12036" max="12037" width="11" bestFit="1" customWidth="1"/>
    <col min="12038" max="12038" width="6.26171875" customWidth="1"/>
    <col min="12039" max="12039" width="3.578125" bestFit="1" customWidth="1"/>
    <col min="12289" max="12289" width="11.83984375" bestFit="1" customWidth="1"/>
    <col min="12290" max="12290" width="10.26171875" customWidth="1"/>
    <col min="12291" max="12291" width="15.15625" customWidth="1"/>
    <col min="12292" max="12293" width="11" bestFit="1" customWidth="1"/>
    <col min="12294" max="12294" width="6.26171875" customWidth="1"/>
    <col min="12295" max="12295" width="3.578125" bestFit="1" customWidth="1"/>
    <col min="12545" max="12545" width="11.83984375" bestFit="1" customWidth="1"/>
    <col min="12546" max="12546" width="10.26171875" customWidth="1"/>
    <col min="12547" max="12547" width="15.15625" customWidth="1"/>
    <col min="12548" max="12549" width="11" bestFit="1" customWidth="1"/>
    <col min="12550" max="12550" width="6.26171875" customWidth="1"/>
    <col min="12551" max="12551" width="3.578125" bestFit="1" customWidth="1"/>
    <col min="12801" max="12801" width="11.83984375" bestFit="1" customWidth="1"/>
    <col min="12802" max="12802" width="10.26171875" customWidth="1"/>
    <col min="12803" max="12803" width="15.15625" customWidth="1"/>
    <col min="12804" max="12805" width="11" bestFit="1" customWidth="1"/>
    <col min="12806" max="12806" width="6.26171875" customWidth="1"/>
    <col min="12807" max="12807" width="3.578125" bestFit="1" customWidth="1"/>
    <col min="13057" max="13057" width="11.83984375" bestFit="1" customWidth="1"/>
    <col min="13058" max="13058" width="10.26171875" customWidth="1"/>
    <col min="13059" max="13059" width="15.15625" customWidth="1"/>
    <col min="13060" max="13061" width="11" bestFit="1" customWidth="1"/>
    <col min="13062" max="13062" width="6.26171875" customWidth="1"/>
    <col min="13063" max="13063" width="3.578125" bestFit="1" customWidth="1"/>
    <col min="13313" max="13313" width="11.83984375" bestFit="1" customWidth="1"/>
    <col min="13314" max="13314" width="10.26171875" customWidth="1"/>
    <col min="13315" max="13315" width="15.15625" customWidth="1"/>
    <col min="13316" max="13317" width="11" bestFit="1" customWidth="1"/>
    <col min="13318" max="13318" width="6.26171875" customWidth="1"/>
    <col min="13319" max="13319" width="3.578125" bestFit="1" customWidth="1"/>
    <col min="13569" max="13569" width="11.83984375" bestFit="1" customWidth="1"/>
    <col min="13570" max="13570" width="10.26171875" customWidth="1"/>
    <col min="13571" max="13571" width="15.15625" customWidth="1"/>
    <col min="13572" max="13573" width="11" bestFit="1" customWidth="1"/>
    <col min="13574" max="13574" width="6.26171875" customWidth="1"/>
    <col min="13575" max="13575" width="3.578125" bestFit="1" customWidth="1"/>
    <col min="13825" max="13825" width="11.83984375" bestFit="1" customWidth="1"/>
    <col min="13826" max="13826" width="10.26171875" customWidth="1"/>
    <col min="13827" max="13827" width="15.15625" customWidth="1"/>
    <col min="13828" max="13829" width="11" bestFit="1" customWidth="1"/>
    <col min="13830" max="13830" width="6.26171875" customWidth="1"/>
    <col min="13831" max="13831" width="3.578125" bestFit="1" customWidth="1"/>
    <col min="14081" max="14081" width="11.83984375" bestFit="1" customWidth="1"/>
    <col min="14082" max="14082" width="10.26171875" customWidth="1"/>
    <col min="14083" max="14083" width="15.15625" customWidth="1"/>
    <col min="14084" max="14085" width="11" bestFit="1" customWidth="1"/>
    <col min="14086" max="14086" width="6.26171875" customWidth="1"/>
    <col min="14087" max="14087" width="3.578125" bestFit="1" customWidth="1"/>
    <col min="14337" max="14337" width="11.83984375" bestFit="1" customWidth="1"/>
    <col min="14338" max="14338" width="10.26171875" customWidth="1"/>
    <col min="14339" max="14339" width="15.15625" customWidth="1"/>
    <col min="14340" max="14341" width="11" bestFit="1" customWidth="1"/>
    <col min="14342" max="14342" width="6.26171875" customWidth="1"/>
    <col min="14343" max="14343" width="3.578125" bestFit="1" customWidth="1"/>
    <col min="14593" max="14593" width="11.83984375" bestFit="1" customWidth="1"/>
    <col min="14594" max="14594" width="10.26171875" customWidth="1"/>
    <col min="14595" max="14595" width="15.15625" customWidth="1"/>
    <col min="14596" max="14597" width="11" bestFit="1" customWidth="1"/>
    <col min="14598" max="14598" width="6.26171875" customWidth="1"/>
    <col min="14599" max="14599" width="3.578125" bestFit="1" customWidth="1"/>
    <col min="14849" max="14849" width="11.83984375" bestFit="1" customWidth="1"/>
    <col min="14850" max="14850" width="10.26171875" customWidth="1"/>
    <col min="14851" max="14851" width="15.15625" customWidth="1"/>
    <col min="14852" max="14853" width="11" bestFit="1" customWidth="1"/>
    <col min="14854" max="14854" width="6.26171875" customWidth="1"/>
    <col min="14855" max="14855" width="3.578125" bestFit="1" customWidth="1"/>
    <col min="15105" max="15105" width="11.83984375" bestFit="1" customWidth="1"/>
    <col min="15106" max="15106" width="10.26171875" customWidth="1"/>
    <col min="15107" max="15107" width="15.15625" customWidth="1"/>
    <col min="15108" max="15109" width="11" bestFit="1" customWidth="1"/>
    <col min="15110" max="15110" width="6.26171875" customWidth="1"/>
    <col min="15111" max="15111" width="3.578125" bestFit="1" customWidth="1"/>
    <col min="15361" max="15361" width="11.83984375" bestFit="1" customWidth="1"/>
    <col min="15362" max="15362" width="10.26171875" customWidth="1"/>
    <col min="15363" max="15363" width="15.15625" customWidth="1"/>
    <col min="15364" max="15365" width="11" bestFit="1" customWidth="1"/>
    <col min="15366" max="15366" width="6.26171875" customWidth="1"/>
    <col min="15367" max="15367" width="3.578125" bestFit="1" customWidth="1"/>
    <col min="15617" max="15617" width="11.83984375" bestFit="1" customWidth="1"/>
    <col min="15618" max="15618" width="10.26171875" customWidth="1"/>
    <col min="15619" max="15619" width="15.15625" customWidth="1"/>
    <col min="15620" max="15621" width="11" bestFit="1" customWidth="1"/>
    <col min="15622" max="15622" width="6.26171875" customWidth="1"/>
    <col min="15623" max="15623" width="3.578125" bestFit="1" customWidth="1"/>
    <col min="15873" max="15873" width="11.83984375" bestFit="1" customWidth="1"/>
    <col min="15874" max="15874" width="10.26171875" customWidth="1"/>
    <col min="15875" max="15875" width="15.15625" customWidth="1"/>
    <col min="15876" max="15877" width="11" bestFit="1" customWidth="1"/>
    <col min="15878" max="15878" width="6.26171875" customWidth="1"/>
    <col min="15879" max="15879" width="3.578125" bestFit="1" customWidth="1"/>
    <col min="16129" max="16129" width="11.83984375" bestFit="1" customWidth="1"/>
    <col min="16130" max="16130" width="10.26171875" customWidth="1"/>
    <col min="16131" max="16131" width="15.15625" customWidth="1"/>
    <col min="16132" max="16133" width="11" bestFit="1" customWidth="1"/>
    <col min="16134" max="16134" width="6.26171875" customWidth="1"/>
    <col min="16135" max="16135" width="3.578125" bestFit="1" customWidth="1"/>
  </cols>
  <sheetData>
    <row r="1" spans="1:9" x14ac:dyDescent="0.55000000000000004">
      <c r="A1" t="s">
        <v>113</v>
      </c>
    </row>
    <row r="3" spans="1:9" x14ac:dyDescent="0.55000000000000004">
      <c r="A3" t="s">
        <v>112</v>
      </c>
    </row>
    <row r="4" spans="1:9" x14ac:dyDescent="0.55000000000000004">
      <c r="A4" t="s">
        <v>111</v>
      </c>
    </row>
    <row r="6" spans="1:9" x14ac:dyDescent="0.55000000000000004">
      <c r="A6" s="7" t="s">
        <v>73</v>
      </c>
      <c r="B6" s="7" t="s">
        <v>9</v>
      </c>
      <c r="C6" s="7" t="s">
        <v>8</v>
      </c>
      <c r="D6" s="7" t="s">
        <v>110</v>
      </c>
      <c r="E6" s="7" t="s">
        <v>72</v>
      </c>
      <c r="F6" s="7" t="s">
        <v>109</v>
      </c>
      <c r="G6" s="7" t="s">
        <v>10</v>
      </c>
      <c r="H6" s="7" t="s">
        <v>108</v>
      </c>
    </row>
    <row r="7" spans="1:9" outlineLevel="2" x14ac:dyDescent="0.55000000000000004">
      <c r="A7" s="29">
        <v>40566</v>
      </c>
      <c r="B7" s="4" t="s">
        <v>14</v>
      </c>
      <c r="C7" s="4" t="s">
        <v>11</v>
      </c>
      <c r="D7" s="4" t="s">
        <v>120</v>
      </c>
      <c r="E7" s="4" t="s">
        <v>89</v>
      </c>
      <c r="F7" s="4">
        <v>9</v>
      </c>
      <c r="G7" s="33">
        <v>198</v>
      </c>
      <c r="H7" s="33">
        <v>90</v>
      </c>
      <c r="I7" s="32"/>
    </row>
    <row r="8" spans="1:9" outlineLevel="2" x14ac:dyDescent="0.55000000000000004">
      <c r="A8" s="29">
        <v>40563</v>
      </c>
      <c r="B8" s="4" t="s">
        <v>14</v>
      </c>
      <c r="C8" s="4" t="s">
        <v>11</v>
      </c>
      <c r="D8" s="4" t="s">
        <v>120</v>
      </c>
      <c r="E8" s="4" t="s">
        <v>90</v>
      </c>
      <c r="F8" s="4">
        <v>10</v>
      </c>
      <c r="G8" s="33">
        <v>220</v>
      </c>
      <c r="H8" s="33">
        <v>100</v>
      </c>
      <c r="I8" s="32"/>
    </row>
    <row r="9" spans="1:9" outlineLevel="2" x14ac:dyDescent="0.55000000000000004">
      <c r="A9" s="29">
        <v>40561</v>
      </c>
      <c r="B9" s="4" t="s">
        <v>19</v>
      </c>
      <c r="C9" s="4" t="s">
        <v>11</v>
      </c>
      <c r="D9" s="4" t="s">
        <v>120</v>
      </c>
      <c r="E9" s="4" t="s">
        <v>87</v>
      </c>
      <c r="F9" s="4">
        <v>12</v>
      </c>
      <c r="G9" s="33">
        <v>252</v>
      </c>
      <c r="H9" s="33">
        <v>111</v>
      </c>
      <c r="I9" s="32"/>
    </row>
    <row r="10" spans="1:9" outlineLevel="2" x14ac:dyDescent="0.55000000000000004">
      <c r="A10" s="29">
        <v>40553</v>
      </c>
      <c r="B10" s="4" t="s">
        <v>19</v>
      </c>
      <c r="C10" s="4" t="s">
        <v>11</v>
      </c>
      <c r="D10" s="4" t="s">
        <v>120</v>
      </c>
      <c r="E10" s="4" t="s">
        <v>98</v>
      </c>
      <c r="F10" s="4">
        <v>27</v>
      </c>
      <c r="G10" s="33">
        <v>567</v>
      </c>
      <c r="H10" s="33">
        <v>249.75</v>
      </c>
      <c r="I10" s="32"/>
    </row>
    <row r="11" spans="1:9" outlineLevel="2" x14ac:dyDescent="0.55000000000000004">
      <c r="A11" s="29">
        <v>40560</v>
      </c>
      <c r="B11" s="4" t="s">
        <v>12</v>
      </c>
      <c r="C11" s="4" t="s">
        <v>11</v>
      </c>
      <c r="D11" s="4" t="s">
        <v>120</v>
      </c>
      <c r="E11" s="4" t="s">
        <v>103</v>
      </c>
      <c r="F11" s="4">
        <v>43</v>
      </c>
      <c r="G11" s="33">
        <v>1161</v>
      </c>
      <c r="H11" s="33">
        <v>623.5</v>
      </c>
      <c r="I11" s="32"/>
    </row>
    <row r="12" spans="1:9" outlineLevel="2" x14ac:dyDescent="0.55000000000000004">
      <c r="A12" s="29">
        <v>40558</v>
      </c>
      <c r="B12" s="4" t="s">
        <v>19</v>
      </c>
      <c r="C12" s="4" t="s">
        <v>11</v>
      </c>
      <c r="D12" s="4" t="s">
        <v>120</v>
      </c>
      <c r="E12" s="4" t="s">
        <v>80</v>
      </c>
      <c r="F12" s="4">
        <v>63</v>
      </c>
      <c r="G12" s="33">
        <v>1323</v>
      </c>
      <c r="H12" s="33">
        <v>582.75</v>
      </c>
      <c r="I12" s="32"/>
    </row>
    <row r="13" spans="1:9" outlineLevel="2" x14ac:dyDescent="0.55000000000000004">
      <c r="A13" s="29">
        <v>40554</v>
      </c>
      <c r="B13" s="4" t="s">
        <v>12</v>
      </c>
      <c r="C13" s="4" t="s">
        <v>11</v>
      </c>
      <c r="D13" s="4" t="s">
        <v>126</v>
      </c>
      <c r="E13" s="4" t="s">
        <v>100</v>
      </c>
      <c r="F13" s="4">
        <v>14</v>
      </c>
      <c r="G13" s="33">
        <v>378</v>
      </c>
      <c r="H13" s="33">
        <v>203</v>
      </c>
      <c r="I13" s="32"/>
    </row>
    <row r="14" spans="1:9" outlineLevel="2" x14ac:dyDescent="0.55000000000000004">
      <c r="A14" s="29">
        <v>40561</v>
      </c>
      <c r="B14" s="4" t="s">
        <v>14</v>
      </c>
      <c r="C14" s="4" t="s">
        <v>11</v>
      </c>
      <c r="D14" s="4" t="s">
        <v>126</v>
      </c>
      <c r="E14" s="4" t="s">
        <v>89</v>
      </c>
      <c r="F14" s="4">
        <v>20</v>
      </c>
      <c r="G14" s="33">
        <v>440</v>
      </c>
      <c r="H14" s="33">
        <v>200</v>
      </c>
      <c r="I14" s="32"/>
    </row>
    <row r="15" spans="1:9" outlineLevel="2" x14ac:dyDescent="0.55000000000000004">
      <c r="A15" s="29">
        <v>40561</v>
      </c>
      <c r="B15" s="4" t="s">
        <v>16</v>
      </c>
      <c r="C15" s="4" t="s">
        <v>11</v>
      </c>
      <c r="D15" s="4" t="s">
        <v>126</v>
      </c>
      <c r="E15" s="4" t="s">
        <v>102</v>
      </c>
      <c r="F15" s="4">
        <v>24</v>
      </c>
      <c r="G15" s="33">
        <v>456</v>
      </c>
      <c r="H15" s="33">
        <v>192</v>
      </c>
      <c r="I15" s="32"/>
    </row>
    <row r="16" spans="1:9" outlineLevel="2" x14ac:dyDescent="0.55000000000000004">
      <c r="A16" s="29">
        <v>40557</v>
      </c>
      <c r="B16" s="4" t="s">
        <v>18</v>
      </c>
      <c r="C16" s="4" t="s">
        <v>11</v>
      </c>
      <c r="D16" s="4" t="s">
        <v>126</v>
      </c>
      <c r="E16" s="4" t="s">
        <v>92</v>
      </c>
      <c r="F16" s="4">
        <v>34</v>
      </c>
      <c r="G16" s="33">
        <v>782</v>
      </c>
      <c r="H16" s="33">
        <v>374</v>
      </c>
      <c r="I16" s="32"/>
    </row>
    <row r="17" spans="1:9" outlineLevel="2" x14ac:dyDescent="0.55000000000000004">
      <c r="A17" s="29">
        <v>40552</v>
      </c>
      <c r="B17" s="4" t="s">
        <v>18</v>
      </c>
      <c r="C17" s="4" t="s">
        <v>11</v>
      </c>
      <c r="D17" s="4" t="s">
        <v>126</v>
      </c>
      <c r="E17" s="4" t="s">
        <v>106</v>
      </c>
      <c r="F17" s="4">
        <v>38</v>
      </c>
      <c r="G17" s="33">
        <v>874</v>
      </c>
      <c r="H17" s="33">
        <v>418</v>
      </c>
      <c r="I17" s="32"/>
    </row>
    <row r="18" spans="1:9" outlineLevel="2" x14ac:dyDescent="0.55000000000000004">
      <c r="A18" s="29">
        <v>40549</v>
      </c>
      <c r="B18" s="4" t="s">
        <v>16</v>
      </c>
      <c r="C18" s="4" t="s">
        <v>11</v>
      </c>
      <c r="D18" s="4" t="s">
        <v>126</v>
      </c>
      <c r="E18" s="4" t="s">
        <v>90</v>
      </c>
      <c r="F18" s="4">
        <v>54</v>
      </c>
      <c r="G18" s="33">
        <v>1026</v>
      </c>
      <c r="H18" s="33">
        <v>432</v>
      </c>
      <c r="I18" s="32"/>
    </row>
    <row r="19" spans="1:9" outlineLevel="2" x14ac:dyDescent="0.55000000000000004">
      <c r="A19" s="29">
        <v>40566</v>
      </c>
      <c r="B19" s="4" t="s">
        <v>12</v>
      </c>
      <c r="C19" s="4" t="s">
        <v>11</v>
      </c>
      <c r="D19" s="4" t="s">
        <v>126</v>
      </c>
      <c r="E19" s="4" t="s">
        <v>96</v>
      </c>
      <c r="F19" s="4">
        <v>44</v>
      </c>
      <c r="G19" s="33">
        <v>1188</v>
      </c>
      <c r="H19" s="33">
        <v>638</v>
      </c>
      <c r="I19" s="32"/>
    </row>
    <row r="20" spans="1:9" outlineLevel="2" x14ac:dyDescent="0.55000000000000004">
      <c r="A20" s="29">
        <v>40560</v>
      </c>
      <c r="B20" s="4" t="s">
        <v>12</v>
      </c>
      <c r="C20" s="4" t="s">
        <v>11</v>
      </c>
      <c r="D20" s="4" t="s">
        <v>126</v>
      </c>
      <c r="E20" s="4" t="s">
        <v>93</v>
      </c>
      <c r="F20" s="4">
        <v>62</v>
      </c>
      <c r="G20" s="33">
        <v>1674</v>
      </c>
      <c r="H20" s="33">
        <v>899</v>
      </c>
      <c r="I20" s="32"/>
    </row>
    <row r="21" spans="1:9" outlineLevel="2" x14ac:dyDescent="0.55000000000000004">
      <c r="A21" s="29">
        <v>40566</v>
      </c>
      <c r="B21" s="4" t="s">
        <v>12</v>
      </c>
      <c r="C21" s="4" t="s">
        <v>11</v>
      </c>
      <c r="D21" s="4" t="s">
        <v>121</v>
      </c>
      <c r="E21" s="4" t="s">
        <v>95</v>
      </c>
      <c r="F21" s="4">
        <v>22</v>
      </c>
      <c r="G21" s="33">
        <v>594</v>
      </c>
      <c r="H21" s="33">
        <v>319</v>
      </c>
      <c r="I21" s="32"/>
    </row>
    <row r="22" spans="1:9" outlineLevel="2" x14ac:dyDescent="0.55000000000000004">
      <c r="A22" s="29">
        <v>40546</v>
      </c>
      <c r="B22" s="4" t="s">
        <v>16</v>
      </c>
      <c r="C22" s="4" t="s">
        <v>11</v>
      </c>
      <c r="D22" s="4" t="s">
        <v>121</v>
      </c>
      <c r="E22" s="4" t="s">
        <v>88</v>
      </c>
      <c r="F22" s="4">
        <v>38</v>
      </c>
      <c r="G22" s="33">
        <v>722</v>
      </c>
      <c r="H22" s="33">
        <v>304</v>
      </c>
      <c r="I22" s="32"/>
    </row>
    <row r="23" spans="1:9" outlineLevel="2" x14ac:dyDescent="0.55000000000000004">
      <c r="A23" s="29">
        <v>40552</v>
      </c>
      <c r="B23" s="4" t="s">
        <v>14</v>
      </c>
      <c r="C23" s="4" t="s">
        <v>11</v>
      </c>
      <c r="D23" s="4" t="s">
        <v>121</v>
      </c>
      <c r="E23" s="4" t="s">
        <v>104</v>
      </c>
      <c r="F23" s="4">
        <v>40</v>
      </c>
      <c r="G23" s="33">
        <v>880</v>
      </c>
      <c r="H23" s="33">
        <v>400</v>
      </c>
      <c r="I23" s="32"/>
    </row>
    <row r="24" spans="1:9" outlineLevel="2" x14ac:dyDescent="0.55000000000000004">
      <c r="A24" s="29">
        <v>40561</v>
      </c>
      <c r="B24" s="4" t="s">
        <v>14</v>
      </c>
      <c r="C24" s="4" t="s">
        <v>11</v>
      </c>
      <c r="D24" s="4" t="s">
        <v>121</v>
      </c>
      <c r="E24" s="4" t="s">
        <v>78</v>
      </c>
      <c r="F24" s="4">
        <v>59</v>
      </c>
      <c r="G24" s="33">
        <v>1298</v>
      </c>
      <c r="H24" s="33">
        <v>590</v>
      </c>
      <c r="I24" s="32"/>
    </row>
    <row r="25" spans="1:9" outlineLevel="2" x14ac:dyDescent="0.55000000000000004">
      <c r="A25" s="29">
        <v>40553</v>
      </c>
      <c r="B25" s="4" t="s">
        <v>18</v>
      </c>
      <c r="C25" s="4" t="s">
        <v>11</v>
      </c>
      <c r="D25" s="4" t="s">
        <v>121</v>
      </c>
      <c r="E25" s="4" t="s">
        <v>102</v>
      </c>
      <c r="F25" s="4">
        <v>63</v>
      </c>
      <c r="G25" s="33">
        <v>1449</v>
      </c>
      <c r="H25" s="33">
        <v>693</v>
      </c>
      <c r="I25" s="32"/>
    </row>
    <row r="26" spans="1:9" outlineLevel="2" x14ac:dyDescent="0.55000000000000004">
      <c r="A26" s="29">
        <v>40553</v>
      </c>
      <c r="B26" s="4" t="s">
        <v>19</v>
      </c>
      <c r="C26" s="4" t="s">
        <v>11</v>
      </c>
      <c r="D26" s="4" t="s">
        <v>127</v>
      </c>
      <c r="E26" s="4" t="s">
        <v>105</v>
      </c>
      <c r="F26" s="4">
        <v>17</v>
      </c>
      <c r="G26" s="33">
        <v>357</v>
      </c>
      <c r="H26" s="33">
        <v>157.25</v>
      </c>
      <c r="I26" s="32"/>
    </row>
    <row r="27" spans="1:9" outlineLevel="2" x14ac:dyDescent="0.55000000000000004">
      <c r="A27" s="29">
        <v>40553</v>
      </c>
      <c r="B27" s="4" t="s">
        <v>12</v>
      </c>
      <c r="C27" s="4" t="s">
        <v>11</v>
      </c>
      <c r="D27" s="4" t="s">
        <v>127</v>
      </c>
      <c r="E27" s="4" t="s">
        <v>78</v>
      </c>
      <c r="F27" s="4">
        <v>17</v>
      </c>
      <c r="G27" s="33">
        <v>459</v>
      </c>
      <c r="H27" s="33">
        <v>246.5</v>
      </c>
      <c r="I27" s="32"/>
    </row>
    <row r="28" spans="1:9" outlineLevel="2" x14ac:dyDescent="0.55000000000000004">
      <c r="A28" s="29">
        <v>40571</v>
      </c>
      <c r="B28" s="4" t="s">
        <v>19</v>
      </c>
      <c r="C28" s="4" t="s">
        <v>11</v>
      </c>
      <c r="D28" s="4" t="s">
        <v>127</v>
      </c>
      <c r="E28" s="4" t="s">
        <v>84</v>
      </c>
      <c r="F28" s="4">
        <v>36</v>
      </c>
      <c r="G28" s="33">
        <v>756</v>
      </c>
      <c r="H28" s="33">
        <v>333</v>
      </c>
      <c r="I28" s="32"/>
    </row>
    <row r="29" spans="1:9" outlineLevel="2" x14ac:dyDescent="0.55000000000000004">
      <c r="A29" s="29">
        <v>40552</v>
      </c>
      <c r="B29" s="4" t="s">
        <v>16</v>
      </c>
      <c r="C29" s="4" t="s">
        <v>11</v>
      </c>
      <c r="D29" s="4" t="s">
        <v>127</v>
      </c>
      <c r="E29" s="4" t="s">
        <v>96</v>
      </c>
      <c r="F29" s="4">
        <v>42</v>
      </c>
      <c r="G29" s="33">
        <v>798</v>
      </c>
      <c r="H29" s="33">
        <v>336</v>
      </c>
      <c r="I29" s="32"/>
    </row>
    <row r="30" spans="1:9" outlineLevel="2" x14ac:dyDescent="0.55000000000000004">
      <c r="A30" s="29">
        <v>40554</v>
      </c>
      <c r="B30" s="4" t="s">
        <v>12</v>
      </c>
      <c r="C30" s="4" t="s">
        <v>11</v>
      </c>
      <c r="D30" s="4" t="s">
        <v>127</v>
      </c>
      <c r="E30" s="4" t="s">
        <v>94</v>
      </c>
      <c r="F30" s="4">
        <v>49</v>
      </c>
      <c r="G30" s="33">
        <v>1323</v>
      </c>
      <c r="H30" s="33">
        <v>710.5</v>
      </c>
      <c r="I30" s="32"/>
    </row>
    <row r="31" spans="1:9" outlineLevel="2" x14ac:dyDescent="0.55000000000000004">
      <c r="A31" s="29">
        <v>40569</v>
      </c>
      <c r="B31" s="4" t="s">
        <v>14</v>
      </c>
      <c r="C31" s="4" t="s">
        <v>11</v>
      </c>
      <c r="D31" s="4" t="s">
        <v>122</v>
      </c>
      <c r="E31" s="4" t="s">
        <v>91</v>
      </c>
      <c r="F31" s="4">
        <v>17</v>
      </c>
      <c r="G31" s="33">
        <v>374</v>
      </c>
      <c r="H31" s="33">
        <v>170</v>
      </c>
      <c r="I31" s="32"/>
    </row>
    <row r="32" spans="1:9" outlineLevel="2" x14ac:dyDescent="0.55000000000000004">
      <c r="A32" s="29">
        <v>40572</v>
      </c>
      <c r="B32" s="4" t="s">
        <v>14</v>
      </c>
      <c r="C32" s="4" t="s">
        <v>11</v>
      </c>
      <c r="D32" s="4" t="s">
        <v>122</v>
      </c>
      <c r="E32" s="4" t="s">
        <v>80</v>
      </c>
      <c r="F32" s="4">
        <v>50</v>
      </c>
      <c r="G32" s="33">
        <v>1100</v>
      </c>
      <c r="H32" s="33">
        <v>500</v>
      </c>
      <c r="I32" s="32"/>
    </row>
    <row r="33" spans="1:9" outlineLevel="2" x14ac:dyDescent="0.55000000000000004">
      <c r="A33" s="29">
        <v>40563</v>
      </c>
      <c r="B33" s="4" t="s">
        <v>18</v>
      </c>
      <c r="C33" s="4" t="s">
        <v>11</v>
      </c>
      <c r="D33" s="4" t="s">
        <v>122</v>
      </c>
      <c r="E33" s="4" t="s">
        <v>101</v>
      </c>
      <c r="F33" s="4">
        <v>59</v>
      </c>
      <c r="G33" s="33">
        <v>1357</v>
      </c>
      <c r="H33" s="33">
        <v>649</v>
      </c>
      <c r="I33" s="32"/>
    </row>
    <row r="34" spans="1:9" outlineLevel="2" x14ac:dyDescent="0.55000000000000004">
      <c r="A34" s="29">
        <v>40564</v>
      </c>
      <c r="B34" s="4" t="s">
        <v>12</v>
      </c>
      <c r="C34" s="4" t="s">
        <v>11</v>
      </c>
      <c r="D34" s="4" t="s">
        <v>122</v>
      </c>
      <c r="E34" s="4" t="s">
        <v>88</v>
      </c>
      <c r="F34" s="4">
        <v>58</v>
      </c>
      <c r="G34" s="33">
        <v>1566</v>
      </c>
      <c r="H34" s="33">
        <v>841</v>
      </c>
      <c r="I34" s="32"/>
    </row>
    <row r="35" spans="1:9" outlineLevel="2" x14ac:dyDescent="0.55000000000000004">
      <c r="A35" s="29">
        <v>40544</v>
      </c>
      <c r="B35" s="4" t="s">
        <v>12</v>
      </c>
      <c r="C35" s="4" t="s">
        <v>11</v>
      </c>
      <c r="D35" s="4" t="s">
        <v>116</v>
      </c>
      <c r="E35" s="4" t="s">
        <v>102</v>
      </c>
      <c r="F35" s="4">
        <v>16</v>
      </c>
      <c r="G35" s="33">
        <v>432</v>
      </c>
      <c r="H35" s="33">
        <v>232</v>
      </c>
      <c r="I35" s="32"/>
    </row>
    <row r="36" spans="1:9" outlineLevel="2" x14ac:dyDescent="0.55000000000000004">
      <c r="A36" s="29">
        <v>40560</v>
      </c>
      <c r="B36" s="4" t="s">
        <v>18</v>
      </c>
      <c r="C36" s="4" t="s">
        <v>11</v>
      </c>
      <c r="D36" s="4" t="s">
        <v>116</v>
      </c>
      <c r="E36" s="4" t="s">
        <v>96</v>
      </c>
      <c r="F36" s="4">
        <v>39</v>
      </c>
      <c r="G36" s="33">
        <v>897</v>
      </c>
      <c r="H36" s="33">
        <v>429</v>
      </c>
      <c r="I36" s="32"/>
    </row>
    <row r="37" spans="1:9" outlineLevel="1" x14ac:dyDescent="0.55000000000000004">
      <c r="A37" s="29"/>
      <c r="B37" s="4"/>
      <c r="C37" s="22" t="s">
        <v>189</v>
      </c>
      <c r="D37" s="4"/>
      <c r="E37" s="4"/>
      <c r="F37" s="4"/>
      <c r="G37" s="33">
        <f>SUBTOTAL(9,G7:G36)</f>
        <v>24901</v>
      </c>
      <c r="H37" s="33"/>
      <c r="I37" s="32"/>
    </row>
    <row r="38" spans="1:9" outlineLevel="2" x14ac:dyDescent="0.55000000000000004">
      <c r="A38" s="29">
        <v>40553</v>
      </c>
      <c r="B38" s="4" t="s">
        <v>14</v>
      </c>
      <c r="C38" s="4" t="s">
        <v>17</v>
      </c>
      <c r="D38" s="4" t="s">
        <v>120</v>
      </c>
      <c r="E38" s="4" t="s">
        <v>88</v>
      </c>
      <c r="F38" s="4">
        <v>7</v>
      </c>
      <c r="G38" s="33">
        <v>154</v>
      </c>
      <c r="H38" s="33">
        <v>70</v>
      </c>
      <c r="I38" s="32"/>
    </row>
    <row r="39" spans="1:9" outlineLevel="2" x14ac:dyDescent="0.55000000000000004">
      <c r="A39" s="29">
        <v>40572</v>
      </c>
      <c r="B39" s="4" t="s">
        <v>12</v>
      </c>
      <c r="C39" s="4" t="s">
        <v>17</v>
      </c>
      <c r="D39" s="4" t="s">
        <v>120</v>
      </c>
      <c r="E39" s="4" t="s">
        <v>79</v>
      </c>
      <c r="F39" s="4">
        <v>10</v>
      </c>
      <c r="G39" s="33">
        <v>270</v>
      </c>
      <c r="H39" s="33">
        <v>145</v>
      </c>
      <c r="I39" s="32"/>
    </row>
    <row r="40" spans="1:9" outlineLevel="2" x14ac:dyDescent="0.55000000000000004">
      <c r="A40" s="29">
        <v>40555</v>
      </c>
      <c r="B40" s="4" t="s">
        <v>19</v>
      </c>
      <c r="C40" s="4" t="s">
        <v>17</v>
      </c>
      <c r="D40" s="4" t="s">
        <v>120</v>
      </c>
      <c r="E40" s="4" t="s">
        <v>100</v>
      </c>
      <c r="F40" s="4">
        <v>19</v>
      </c>
      <c r="G40" s="33">
        <v>399</v>
      </c>
      <c r="H40" s="33">
        <v>175.75</v>
      </c>
      <c r="I40" s="32"/>
    </row>
    <row r="41" spans="1:9" outlineLevel="2" x14ac:dyDescent="0.55000000000000004">
      <c r="A41" s="29">
        <v>40569</v>
      </c>
      <c r="B41" s="4" t="s">
        <v>14</v>
      </c>
      <c r="C41" s="4" t="s">
        <v>17</v>
      </c>
      <c r="D41" s="4" t="s">
        <v>120</v>
      </c>
      <c r="E41" s="4" t="s">
        <v>90</v>
      </c>
      <c r="F41" s="4">
        <v>21</v>
      </c>
      <c r="G41" s="33">
        <v>462</v>
      </c>
      <c r="H41" s="33">
        <v>210</v>
      </c>
      <c r="I41" s="32"/>
    </row>
    <row r="42" spans="1:9" outlineLevel="2" x14ac:dyDescent="0.55000000000000004">
      <c r="A42" s="29">
        <v>40550</v>
      </c>
      <c r="B42" s="4" t="s">
        <v>18</v>
      </c>
      <c r="C42" s="4" t="s">
        <v>17</v>
      </c>
      <c r="D42" s="4" t="s">
        <v>126</v>
      </c>
      <c r="E42" s="4" t="s">
        <v>99</v>
      </c>
      <c r="F42" s="4">
        <v>12</v>
      </c>
      <c r="G42" s="33">
        <v>276</v>
      </c>
      <c r="H42" s="33">
        <v>132</v>
      </c>
      <c r="I42" s="32"/>
    </row>
    <row r="43" spans="1:9" outlineLevel="2" x14ac:dyDescent="0.55000000000000004">
      <c r="A43" s="29">
        <v>40567</v>
      </c>
      <c r="B43" s="4" t="s">
        <v>18</v>
      </c>
      <c r="C43" s="4" t="s">
        <v>17</v>
      </c>
      <c r="D43" s="4" t="s">
        <v>126</v>
      </c>
      <c r="E43" s="4" t="s">
        <v>94</v>
      </c>
      <c r="F43" s="4">
        <v>13</v>
      </c>
      <c r="G43" s="33">
        <v>299</v>
      </c>
      <c r="H43" s="33">
        <v>143</v>
      </c>
      <c r="I43" s="32"/>
    </row>
    <row r="44" spans="1:9" outlineLevel="2" x14ac:dyDescent="0.55000000000000004">
      <c r="A44" s="29">
        <v>40568</v>
      </c>
      <c r="B44" s="4" t="s">
        <v>16</v>
      </c>
      <c r="C44" s="4" t="s">
        <v>17</v>
      </c>
      <c r="D44" s="4" t="s">
        <v>126</v>
      </c>
      <c r="E44" s="4" t="s">
        <v>92</v>
      </c>
      <c r="F44" s="4">
        <v>21</v>
      </c>
      <c r="G44" s="33">
        <v>399</v>
      </c>
      <c r="H44" s="33">
        <v>168</v>
      </c>
      <c r="I44" s="32"/>
    </row>
    <row r="45" spans="1:9" outlineLevel="2" x14ac:dyDescent="0.55000000000000004">
      <c r="A45" s="29">
        <v>40560</v>
      </c>
      <c r="B45" s="4" t="s">
        <v>16</v>
      </c>
      <c r="C45" s="4" t="s">
        <v>17</v>
      </c>
      <c r="D45" s="4" t="s">
        <v>126</v>
      </c>
      <c r="E45" s="4" t="s">
        <v>99</v>
      </c>
      <c r="F45" s="4">
        <v>59</v>
      </c>
      <c r="G45" s="33">
        <v>1121</v>
      </c>
      <c r="H45" s="33">
        <v>472</v>
      </c>
      <c r="I45" s="32"/>
    </row>
    <row r="46" spans="1:9" outlineLevel="2" x14ac:dyDescent="0.55000000000000004">
      <c r="A46" s="29">
        <v>40564</v>
      </c>
      <c r="B46" s="4" t="s">
        <v>16</v>
      </c>
      <c r="C46" s="4" t="s">
        <v>17</v>
      </c>
      <c r="D46" s="4" t="s">
        <v>121</v>
      </c>
      <c r="E46" s="4" t="s">
        <v>78</v>
      </c>
      <c r="F46" s="4">
        <v>23</v>
      </c>
      <c r="G46" s="33">
        <v>437</v>
      </c>
      <c r="H46" s="33">
        <v>184</v>
      </c>
      <c r="I46" s="32"/>
    </row>
    <row r="47" spans="1:9" outlineLevel="2" x14ac:dyDescent="0.55000000000000004">
      <c r="A47" s="29">
        <v>40556</v>
      </c>
      <c r="B47" s="4" t="s">
        <v>16</v>
      </c>
      <c r="C47" s="4" t="s">
        <v>17</v>
      </c>
      <c r="D47" s="4" t="s">
        <v>121</v>
      </c>
      <c r="E47" s="4" t="s">
        <v>90</v>
      </c>
      <c r="F47" s="4">
        <v>33</v>
      </c>
      <c r="G47" s="33">
        <v>627</v>
      </c>
      <c r="H47" s="33">
        <v>264</v>
      </c>
      <c r="I47" s="32"/>
    </row>
    <row r="48" spans="1:9" outlineLevel="2" x14ac:dyDescent="0.55000000000000004">
      <c r="A48" s="29">
        <v>40556</v>
      </c>
      <c r="B48" s="4" t="s">
        <v>14</v>
      </c>
      <c r="C48" s="4" t="s">
        <v>17</v>
      </c>
      <c r="D48" s="4" t="s">
        <v>121</v>
      </c>
      <c r="E48" s="4" t="s">
        <v>90</v>
      </c>
      <c r="F48" s="4">
        <v>40</v>
      </c>
      <c r="G48" s="33">
        <v>880</v>
      </c>
      <c r="H48" s="33">
        <v>400</v>
      </c>
      <c r="I48" s="32"/>
    </row>
    <row r="49" spans="1:9" outlineLevel="2" x14ac:dyDescent="0.55000000000000004">
      <c r="A49" s="29">
        <v>40556</v>
      </c>
      <c r="B49" s="4" t="s">
        <v>14</v>
      </c>
      <c r="C49" s="4" t="s">
        <v>17</v>
      </c>
      <c r="D49" s="4" t="s">
        <v>121</v>
      </c>
      <c r="E49" s="4" t="s">
        <v>79</v>
      </c>
      <c r="F49" s="4">
        <v>57</v>
      </c>
      <c r="G49" s="33">
        <v>1254</v>
      </c>
      <c r="H49" s="33">
        <v>570</v>
      </c>
      <c r="I49" s="32"/>
    </row>
    <row r="50" spans="1:9" outlineLevel="2" x14ac:dyDescent="0.55000000000000004">
      <c r="A50" s="29">
        <v>40553</v>
      </c>
      <c r="B50" s="4" t="s">
        <v>16</v>
      </c>
      <c r="C50" s="4" t="s">
        <v>17</v>
      </c>
      <c r="D50" s="4" t="s">
        <v>127</v>
      </c>
      <c r="E50" s="4" t="s">
        <v>77</v>
      </c>
      <c r="F50" s="4">
        <v>8</v>
      </c>
      <c r="G50" s="33">
        <v>152</v>
      </c>
      <c r="H50" s="33">
        <v>64</v>
      </c>
      <c r="I50" s="32"/>
    </row>
    <row r="51" spans="1:9" outlineLevel="2" x14ac:dyDescent="0.55000000000000004">
      <c r="A51" s="29">
        <v>40560</v>
      </c>
      <c r="B51" s="4" t="s">
        <v>14</v>
      </c>
      <c r="C51" s="4" t="s">
        <v>17</v>
      </c>
      <c r="D51" s="4" t="s">
        <v>127</v>
      </c>
      <c r="E51" s="4" t="s">
        <v>96</v>
      </c>
      <c r="F51" s="4">
        <v>16</v>
      </c>
      <c r="G51" s="33">
        <v>352</v>
      </c>
      <c r="H51" s="33">
        <v>160</v>
      </c>
      <c r="I51" s="32"/>
    </row>
    <row r="52" spans="1:9" outlineLevel="2" x14ac:dyDescent="0.55000000000000004">
      <c r="A52" s="29">
        <v>40561</v>
      </c>
      <c r="B52" s="4" t="s">
        <v>12</v>
      </c>
      <c r="C52" s="4" t="s">
        <v>17</v>
      </c>
      <c r="D52" s="4" t="s">
        <v>127</v>
      </c>
      <c r="E52" s="4" t="s">
        <v>79</v>
      </c>
      <c r="F52" s="4">
        <v>17</v>
      </c>
      <c r="G52" s="33">
        <v>459</v>
      </c>
      <c r="H52" s="33">
        <v>246.5</v>
      </c>
      <c r="I52" s="32"/>
    </row>
    <row r="53" spans="1:9" outlineLevel="2" x14ac:dyDescent="0.55000000000000004">
      <c r="A53" s="29">
        <v>40571</v>
      </c>
      <c r="B53" s="4" t="s">
        <v>12</v>
      </c>
      <c r="C53" s="4" t="s">
        <v>17</v>
      </c>
      <c r="D53" s="4" t="s">
        <v>127</v>
      </c>
      <c r="E53" s="4" t="s">
        <v>83</v>
      </c>
      <c r="F53" s="4">
        <v>42</v>
      </c>
      <c r="G53" s="33">
        <v>1134</v>
      </c>
      <c r="H53" s="33">
        <v>609</v>
      </c>
      <c r="I53" s="32"/>
    </row>
    <row r="54" spans="1:9" outlineLevel="2" x14ac:dyDescent="0.55000000000000004">
      <c r="A54" s="29">
        <v>40564</v>
      </c>
      <c r="B54" s="4" t="s">
        <v>16</v>
      </c>
      <c r="C54" s="4" t="s">
        <v>17</v>
      </c>
      <c r="D54" s="4" t="s">
        <v>127</v>
      </c>
      <c r="E54" s="4" t="s">
        <v>85</v>
      </c>
      <c r="F54" s="4">
        <v>64</v>
      </c>
      <c r="G54" s="33">
        <v>1216</v>
      </c>
      <c r="H54" s="33">
        <v>512</v>
      </c>
      <c r="I54" s="32"/>
    </row>
    <row r="55" spans="1:9" outlineLevel="2" x14ac:dyDescent="0.55000000000000004">
      <c r="A55" s="29">
        <v>40558</v>
      </c>
      <c r="B55" s="4" t="s">
        <v>16</v>
      </c>
      <c r="C55" s="4" t="s">
        <v>17</v>
      </c>
      <c r="D55" s="4" t="s">
        <v>122</v>
      </c>
      <c r="E55" s="4" t="s">
        <v>83</v>
      </c>
      <c r="F55" s="4">
        <v>11</v>
      </c>
      <c r="G55" s="33">
        <v>209</v>
      </c>
      <c r="H55" s="33">
        <v>88</v>
      </c>
      <c r="I55" s="32"/>
    </row>
    <row r="56" spans="1:9" outlineLevel="2" x14ac:dyDescent="0.55000000000000004">
      <c r="A56" s="29">
        <v>40546</v>
      </c>
      <c r="B56" s="4" t="s">
        <v>18</v>
      </c>
      <c r="C56" s="4" t="s">
        <v>17</v>
      </c>
      <c r="D56" s="4" t="s">
        <v>122</v>
      </c>
      <c r="E56" s="4" t="s">
        <v>88</v>
      </c>
      <c r="F56" s="4">
        <v>20</v>
      </c>
      <c r="G56" s="33">
        <v>460</v>
      </c>
      <c r="H56" s="33">
        <v>220</v>
      </c>
      <c r="I56" s="32"/>
    </row>
    <row r="57" spans="1:9" outlineLevel="2" x14ac:dyDescent="0.55000000000000004">
      <c r="A57" s="29">
        <v>40561</v>
      </c>
      <c r="B57" s="4" t="s">
        <v>16</v>
      </c>
      <c r="C57" s="4" t="s">
        <v>17</v>
      </c>
      <c r="D57" s="4" t="s">
        <v>122</v>
      </c>
      <c r="E57" s="4" t="s">
        <v>96</v>
      </c>
      <c r="F57" s="4">
        <v>62</v>
      </c>
      <c r="G57" s="33">
        <v>1178</v>
      </c>
      <c r="H57" s="33">
        <v>496</v>
      </c>
      <c r="I57" s="32"/>
    </row>
    <row r="58" spans="1:9" outlineLevel="2" x14ac:dyDescent="0.55000000000000004">
      <c r="A58" s="29">
        <v>40560</v>
      </c>
      <c r="B58" s="4" t="s">
        <v>12</v>
      </c>
      <c r="C58" s="4" t="s">
        <v>17</v>
      </c>
      <c r="D58" s="4" t="s">
        <v>122</v>
      </c>
      <c r="E58" s="4" t="s">
        <v>104</v>
      </c>
      <c r="F58" s="4">
        <v>61</v>
      </c>
      <c r="G58" s="33">
        <v>1647</v>
      </c>
      <c r="H58" s="33">
        <v>884.5</v>
      </c>
      <c r="I58" s="32"/>
    </row>
    <row r="59" spans="1:9" outlineLevel="2" x14ac:dyDescent="0.55000000000000004">
      <c r="A59" s="29">
        <v>40550</v>
      </c>
      <c r="B59" s="4" t="s">
        <v>19</v>
      </c>
      <c r="C59" s="4" t="s">
        <v>17</v>
      </c>
      <c r="D59" s="4" t="s">
        <v>116</v>
      </c>
      <c r="E59" s="4" t="s">
        <v>96</v>
      </c>
      <c r="F59" s="4">
        <v>22</v>
      </c>
      <c r="G59" s="33">
        <v>462</v>
      </c>
      <c r="H59" s="33">
        <v>203.5</v>
      </c>
      <c r="I59" s="32"/>
    </row>
    <row r="60" spans="1:9" outlineLevel="2" x14ac:dyDescent="0.55000000000000004">
      <c r="A60" s="29">
        <v>40547</v>
      </c>
      <c r="B60" s="4" t="s">
        <v>19</v>
      </c>
      <c r="C60" s="4" t="s">
        <v>17</v>
      </c>
      <c r="D60" s="4" t="s">
        <v>116</v>
      </c>
      <c r="E60" s="4" t="s">
        <v>94</v>
      </c>
      <c r="F60" s="4">
        <v>29</v>
      </c>
      <c r="G60" s="33">
        <v>609</v>
      </c>
      <c r="H60" s="33">
        <v>268.25</v>
      </c>
      <c r="I60" s="32"/>
    </row>
    <row r="61" spans="1:9" outlineLevel="2" x14ac:dyDescent="0.55000000000000004">
      <c r="A61" s="29">
        <v>40559</v>
      </c>
      <c r="B61" s="4" t="s">
        <v>14</v>
      </c>
      <c r="C61" s="4" t="s">
        <v>17</v>
      </c>
      <c r="D61" s="4" t="s">
        <v>116</v>
      </c>
      <c r="E61" s="4" t="s">
        <v>83</v>
      </c>
      <c r="F61" s="4">
        <v>56</v>
      </c>
      <c r="G61" s="33">
        <v>1232</v>
      </c>
      <c r="H61" s="33">
        <v>560</v>
      </c>
      <c r="I61" s="32"/>
    </row>
    <row r="62" spans="1:9" outlineLevel="1" x14ac:dyDescent="0.55000000000000004">
      <c r="A62" s="29"/>
      <c r="B62" s="4"/>
      <c r="C62" s="22" t="s">
        <v>190</v>
      </c>
      <c r="D62" s="4"/>
      <c r="E62" s="4"/>
      <c r="F62" s="4"/>
      <c r="G62" s="33">
        <f>SUBTOTAL(9,G38:G61)</f>
        <v>15688</v>
      </c>
      <c r="H62" s="33"/>
      <c r="I62" s="32"/>
    </row>
    <row r="63" spans="1:9" outlineLevel="2" x14ac:dyDescent="0.55000000000000004">
      <c r="A63" s="29">
        <v>40545</v>
      </c>
      <c r="B63" s="4" t="s">
        <v>14</v>
      </c>
      <c r="C63" s="4" t="s">
        <v>13</v>
      </c>
      <c r="D63" s="4" t="s">
        <v>120</v>
      </c>
      <c r="E63" s="4" t="s">
        <v>86</v>
      </c>
      <c r="F63" s="4">
        <v>24</v>
      </c>
      <c r="G63" s="33">
        <v>528</v>
      </c>
      <c r="H63" s="33">
        <v>240</v>
      </c>
      <c r="I63" s="32"/>
    </row>
    <row r="64" spans="1:9" outlineLevel="2" x14ac:dyDescent="0.55000000000000004">
      <c r="A64" s="29">
        <v>40571</v>
      </c>
      <c r="B64" s="4" t="s">
        <v>12</v>
      </c>
      <c r="C64" s="4" t="s">
        <v>13</v>
      </c>
      <c r="D64" s="4" t="s">
        <v>120</v>
      </c>
      <c r="E64" s="4" t="s">
        <v>86</v>
      </c>
      <c r="F64" s="4">
        <v>56</v>
      </c>
      <c r="G64" s="33">
        <v>1512</v>
      </c>
      <c r="H64" s="33">
        <v>812</v>
      </c>
      <c r="I64" s="32"/>
    </row>
    <row r="65" spans="1:9" outlineLevel="2" x14ac:dyDescent="0.55000000000000004">
      <c r="A65" s="29">
        <v>40565</v>
      </c>
      <c r="B65" s="4" t="s">
        <v>12</v>
      </c>
      <c r="C65" s="4" t="s">
        <v>13</v>
      </c>
      <c r="D65" s="4" t="s">
        <v>126</v>
      </c>
      <c r="E65" s="4" t="s">
        <v>88</v>
      </c>
      <c r="F65" s="4">
        <v>29</v>
      </c>
      <c r="G65" s="33">
        <v>783</v>
      </c>
      <c r="H65" s="33">
        <v>420.5</v>
      </c>
      <c r="I65" s="32"/>
    </row>
    <row r="66" spans="1:9" outlineLevel="2" x14ac:dyDescent="0.55000000000000004">
      <c r="A66" s="29">
        <v>40571</v>
      </c>
      <c r="B66" s="4" t="s">
        <v>18</v>
      </c>
      <c r="C66" s="4" t="s">
        <v>13</v>
      </c>
      <c r="D66" s="4" t="s">
        <v>126</v>
      </c>
      <c r="E66" s="4" t="s">
        <v>87</v>
      </c>
      <c r="F66" s="4">
        <v>46</v>
      </c>
      <c r="G66" s="33">
        <v>1058</v>
      </c>
      <c r="H66" s="33">
        <v>506</v>
      </c>
      <c r="I66" s="32"/>
    </row>
    <row r="67" spans="1:9" outlineLevel="2" x14ac:dyDescent="0.55000000000000004">
      <c r="A67" s="29">
        <v>40571</v>
      </c>
      <c r="B67" s="4" t="s">
        <v>12</v>
      </c>
      <c r="C67" s="4" t="s">
        <v>13</v>
      </c>
      <c r="D67" s="4" t="s">
        <v>126</v>
      </c>
      <c r="E67" s="4" t="s">
        <v>83</v>
      </c>
      <c r="F67" s="4">
        <v>44</v>
      </c>
      <c r="G67" s="33">
        <v>1188</v>
      </c>
      <c r="H67" s="33">
        <v>638</v>
      </c>
      <c r="I67" s="32"/>
    </row>
    <row r="68" spans="1:9" outlineLevel="2" x14ac:dyDescent="0.55000000000000004">
      <c r="A68" s="29">
        <v>40564</v>
      </c>
      <c r="B68" s="4" t="s">
        <v>19</v>
      </c>
      <c r="C68" s="4" t="s">
        <v>13</v>
      </c>
      <c r="D68" s="4" t="s">
        <v>121</v>
      </c>
      <c r="E68" s="4" t="s">
        <v>99</v>
      </c>
      <c r="F68" s="4">
        <v>13</v>
      </c>
      <c r="G68" s="33">
        <v>273</v>
      </c>
      <c r="H68" s="33">
        <v>120.25</v>
      </c>
      <c r="I68" s="32"/>
    </row>
    <row r="69" spans="1:9" outlineLevel="2" x14ac:dyDescent="0.55000000000000004">
      <c r="A69" s="29">
        <v>40546</v>
      </c>
      <c r="B69" s="4" t="s">
        <v>19</v>
      </c>
      <c r="C69" s="4" t="s">
        <v>13</v>
      </c>
      <c r="D69" s="4" t="s">
        <v>121</v>
      </c>
      <c r="E69" s="4" t="s">
        <v>106</v>
      </c>
      <c r="F69" s="4">
        <v>23</v>
      </c>
      <c r="G69" s="33">
        <v>483</v>
      </c>
      <c r="H69" s="33">
        <v>212.75</v>
      </c>
      <c r="I69" s="32"/>
    </row>
    <row r="70" spans="1:9" outlineLevel="2" x14ac:dyDescent="0.55000000000000004">
      <c r="A70" s="29">
        <v>40548</v>
      </c>
      <c r="B70" s="4" t="s">
        <v>19</v>
      </c>
      <c r="C70" s="4" t="s">
        <v>13</v>
      </c>
      <c r="D70" s="4" t="s">
        <v>121</v>
      </c>
      <c r="E70" s="4" t="s">
        <v>77</v>
      </c>
      <c r="F70" s="4">
        <v>57</v>
      </c>
      <c r="G70" s="33">
        <v>1197</v>
      </c>
      <c r="H70" s="33">
        <v>527.25</v>
      </c>
      <c r="I70" s="32"/>
    </row>
    <row r="71" spans="1:9" outlineLevel="2" x14ac:dyDescent="0.55000000000000004">
      <c r="A71" s="29">
        <v>40564</v>
      </c>
      <c r="B71" s="4" t="s">
        <v>14</v>
      </c>
      <c r="C71" s="4" t="s">
        <v>13</v>
      </c>
      <c r="D71" s="4" t="s">
        <v>127</v>
      </c>
      <c r="E71" s="4" t="s">
        <v>98</v>
      </c>
      <c r="F71" s="4">
        <v>11</v>
      </c>
      <c r="G71" s="33">
        <v>242</v>
      </c>
      <c r="H71" s="33">
        <v>110</v>
      </c>
      <c r="I71" s="32"/>
    </row>
    <row r="72" spans="1:9" outlineLevel="2" x14ac:dyDescent="0.55000000000000004">
      <c r="A72" s="29">
        <v>40565</v>
      </c>
      <c r="B72" s="4" t="s">
        <v>18</v>
      </c>
      <c r="C72" s="4" t="s">
        <v>13</v>
      </c>
      <c r="D72" s="4" t="s">
        <v>127</v>
      </c>
      <c r="E72" s="4" t="s">
        <v>86</v>
      </c>
      <c r="F72" s="4">
        <v>29</v>
      </c>
      <c r="G72" s="33">
        <v>667</v>
      </c>
      <c r="H72" s="33">
        <v>319</v>
      </c>
      <c r="I72" s="32"/>
    </row>
    <row r="73" spans="1:9" outlineLevel="2" x14ac:dyDescent="0.55000000000000004">
      <c r="A73" s="29">
        <v>40559</v>
      </c>
      <c r="B73" s="4" t="s">
        <v>18</v>
      </c>
      <c r="C73" s="4" t="s">
        <v>13</v>
      </c>
      <c r="D73" s="4" t="s">
        <v>127</v>
      </c>
      <c r="E73" s="4" t="s">
        <v>85</v>
      </c>
      <c r="F73" s="4">
        <v>31</v>
      </c>
      <c r="G73" s="33">
        <v>713</v>
      </c>
      <c r="H73" s="33">
        <v>341</v>
      </c>
      <c r="I73" s="32"/>
    </row>
    <row r="74" spans="1:9" outlineLevel="2" x14ac:dyDescent="0.55000000000000004">
      <c r="A74" s="29">
        <v>40549</v>
      </c>
      <c r="B74" s="4" t="s">
        <v>16</v>
      </c>
      <c r="C74" s="4" t="s">
        <v>13</v>
      </c>
      <c r="D74" s="4" t="s">
        <v>127</v>
      </c>
      <c r="E74" s="4" t="s">
        <v>85</v>
      </c>
      <c r="F74" s="4">
        <v>40</v>
      </c>
      <c r="G74" s="33">
        <v>760</v>
      </c>
      <c r="H74" s="33">
        <v>320</v>
      </c>
      <c r="I74" s="32"/>
    </row>
    <row r="75" spans="1:9" outlineLevel="2" x14ac:dyDescent="0.55000000000000004">
      <c r="A75" s="29">
        <v>40571</v>
      </c>
      <c r="B75" s="4" t="s">
        <v>16</v>
      </c>
      <c r="C75" s="4" t="s">
        <v>13</v>
      </c>
      <c r="D75" s="4" t="s">
        <v>127</v>
      </c>
      <c r="E75" s="4" t="s">
        <v>82</v>
      </c>
      <c r="F75" s="4">
        <v>51</v>
      </c>
      <c r="G75" s="33">
        <v>969</v>
      </c>
      <c r="H75" s="33">
        <v>408</v>
      </c>
      <c r="I75" s="32"/>
    </row>
    <row r="76" spans="1:9" outlineLevel="2" x14ac:dyDescent="0.55000000000000004">
      <c r="A76" s="29">
        <v>40556</v>
      </c>
      <c r="B76" s="4" t="s">
        <v>18</v>
      </c>
      <c r="C76" s="4" t="s">
        <v>13</v>
      </c>
      <c r="D76" s="4" t="s">
        <v>127</v>
      </c>
      <c r="E76" s="4" t="s">
        <v>88</v>
      </c>
      <c r="F76" s="4">
        <v>52</v>
      </c>
      <c r="G76" s="33">
        <v>1196</v>
      </c>
      <c r="H76" s="33">
        <v>572</v>
      </c>
      <c r="I76" s="32"/>
    </row>
    <row r="77" spans="1:9" outlineLevel="2" x14ac:dyDescent="0.55000000000000004">
      <c r="A77" s="29">
        <v>40561</v>
      </c>
      <c r="B77" s="4" t="s">
        <v>18</v>
      </c>
      <c r="C77" s="4" t="s">
        <v>13</v>
      </c>
      <c r="D77" s="4" t="s">
        <v>127</v>
      </c>
      <c r="E77" s="4" t="s">
        <v>83</v>
      </c>
      <c r="F77" s="4">
        <v>53</v>
      </c>
      <c r="G77" s="33">
        <v>1219</v>
      </c>
      <c r="H77" s="33">
        <v>583</v>
      </c>
      <c r="I77" s="32"/>
    </row>
    <row r="78" spans="1:9" outlineLevel="2" x14ac:dyDescent="0.55000000000000004">
      <c r="A78" s="29">
        <v>40555</v>
      </c>
      <c r="B78" s="4" t="s">
        <v>14</v>
      </c>
      <c r="C78" s="4" t="s">
        <v>13</v>
      </c>
      <c r="D78" s="4" t="s">
        <v>122</v>
      </c>
      <c r="E78" s="4" t="s">
        <v>95</v>
      </c>
      <c r="F78" s="4">
        <v>7</v>
      </c>
      <c r="G78" s="33">
        <v>154</v>
      </c>
      <c r="H78" s="33">
        <v>70</v>
      </c>
      <c r="I78" s="32"/>
    </row>
    <row r="79" spans="1:9" outlineLevel="2" x14ac:dyDescent="0.55000000000000004">
      <c r="A79" s="29">
        <v>40553</v>
      </c>
      <c r="B79" s="4" t="s">
        <v>16</v>
      </c>
      <c r="C79" s="4" t="s">
        <v>13</v>
      </c>
      <c r="D79" s="4" t="s">
        <v>122</v>
      </c>
      <c r="E79" s="4" t="s">
        <v>98</v>
      </c>
      <c r="F79" s="4">
        <v>30</v>
      </c>
      <c r="G79" s="33">
        <v>570</v>
      </c>
      <c r="H79" s="33">
        <v>240</v>
      </c>
      <c r="I79" s="32"/>
    </row>
    <row r="80" spans="1:9" outlineLevel="2" x14ac:dyDescent="0.55000000000000004">
      <c r="A80" s="29">
        <v>40552</v>
      </c>
      <c r="B80" s="4" t="s">
        <v>14</v>
      </c>
      <c r="C80" s="4" t="s">
        <v>13</v>
      </c>
      <c r="D80" s="4" t="s">
        <v>122</v>
      </c>
      <c r="E80" s="4" t="s">
        <v>106</v>
      </c>
      <c r="F80" s="4">
        <v>26</v>
      </c>
      <c r="G80" s="33">
        <v>572</v>
      </c>
      <c r="H80" s="33">
        <v>260</v>
      </c>
      <c r="I80" s="32"/>
    </row>
    <row r="81" spans="1:9" outlineLevel="2" x14ac:dyDescent="0.55000000000000004">
      <c r="A81" s="29">
        <v>40566</v>
      </c>
      <c r="B81" s="4" t="s">
        <v>16</v>
      </c>
      <c r="C81" s="4" t="s">
        <v>13</v>
      </c>
      <c r="D81" s="4" t="s">
        <v>122</v>
      </c>
      <c r="E81" s="4" t="s">
        <v>97</v>
      </c>
      <c r="F81" s="4">
        <v>49</v>
      </c>
      <c r="G81" s="33">
        <v>931</v>
      </c>
      <c r="H81" s="33">
        <v>392</v>
      </c>
      <c r="I81" s="32"/>
    </row>
    <row r="82" spans="1:9" outlineLevel="2" x14ac:dyDescent="0.55000000000000004">
      <c r="A82" s="29">
        <v>40546</v>
      </c>
      <c r="B82" s="4" t="s">
        <v>16</v>
      </c>
      <c r="C82" s="4" t="s">
        <v>13</v>
      </c>
      <c r="D82" s="4" t="s">
        <v>116</v>
      </c>
      <c r="E82" s="4" t="s">
        <v>96</v>
      </c>
      <c r="F82" s="4">
        <v>6</v>
      </c>
      <c r="G82" s="33">
        <v>114</v>
      </c>
      <c r="H82" s="33">
        <v>48</v>
      </c>
      <c r="I82" s="32"/>
    </row>
    <row r="83" spans="1:9" outlineLevel="2" x14ac:dyDescent="0.55000000000000004">
      <c r="A83" s="29">
        <v>40552</v>
      </c>
      <c r="B83" s="4" t="s">
        <v>14</v>
      </c>
      <c r="C83" s="4" t="s">
        <v>13</v>
      </c>
      <c r="D83" s="4" t="s">
        <v>116</v>
      </c>
      <c r="E83" s="4" t="s">
        <v>85</v>
      </c>
      <c r="F83" s="4">
        <v>15</v>
      </c>
      <c r="G83" s="33">
        <v>330</v>
      </c>
      <c r="H83" s="33">
        <v>150</v>
      </c>
      <c r="I83" s="32"/>
    </row>
    <row r="84" spans="1:9" outlineLevel="2" x14ac:dyDescent="0.55000000000000004">
      <c r="A84" s="29">
        <v>40573</v>
      </c>
      <c r="B84" s="4" t="s">
        <v>16</v>
      </c>
      <c r="C84" s="4" t="s">
        <v>13</v>
      </c>
      <c r="D84" s="4" t="s">
        <v>116</v>
      </c>
      <c r="E84" s="4" t="s">
        <v>77</v>
      </c>
      <c r="F84" s="4">
        <v>23</v>
      </c>
      <c r="G84" s="33">
        <v>437</v>
      </c>
      <c r="H84" s="33">
        <v>184</v>
      </c>
      <c r="I84" s="32"/>
    </row>
    <row r="85" spans="1:9" outlineLevel="2" x14ac:dyDescent="0.55000000000000004">
      <c r="A85" s="29">
        <v>40571</v>
      </c>
      <c r="B85" s="4" t="s">
        <v>14</v>
      </c>
      <c r="C85" s="4" t="s">
        <v>13</v>
      </c>
      <c r="D85" s="4" t="s">
        <v>116</v>
      </c>
      <c r="E85" s="4" t="s">
        <v>85</v>
      </c>
      <c r="F85" s="4">
        <v>25</v>
      </c>
      <c r="G85" s="33">
        <v>550</v>
      </c>
      <c r="H85" s="33">
        <v>250</v>
      </c>
      <c r="I85" s="32"/>
    </row>
    <row r="86" spans="1:9" outlineLevel="2" x14ac:dyDescent="0.55000000000000004">
      <c r="A86" s="29">
        <v>40573</v>
      </c>
      <c r="B86" s="4" t="s">
        <v>12</v>
      </c>
      <c r="C86" s="4" t="s">
        <v>13</v>
      </c>
      <c r="D86" s="4" t="s">
        <v>116</v>
      </c>
      <c r="E86" s="4" t="s">
        <v>77</v>
      </c>
      <c r="F86" s="4">
        <v>25</v>
      </c>
      <c r="G86" s="33">
        <v>675</v>
      </c>
      <c r="H86" s="33">
        <v>362.5</v>
      </c>
      <c r="I86" s="32"/>
    </row>
    <row r="87" spans="1:9" outlineLevel="2" x14ac:dyDescent="0.55000000000000004">
      <c r="A87" s="29">
        <v>40562</v>
      </c>
      <c r="B87" s="4" t="s">
        <v>14</v>
      </c>
      <c r="C87" s="4" t="s">
        <v>13</v>
      </c>
      <c r="D87" s="4" t="s">
        <v>116</v>
      </c>
      <c r="E87" s="4" t="s">
        <v>97</v>
      </c>
      <c r="F87" s="4">
        <v>35</v>
      </c>
      <c r="G87" s="33">
        <v>770</v>
      </c>
      <c r="H87" s="33">
        <v>350</v>
      </c>
      <c r="I87" s="32"/>
    </row>
    <row r="88" spans="1:9" outlineLevel="2" x14ac:dyDescent="0.55000000000000004">
      <c r="A88" s="29">
        <v>40569</v>
      </c>
      <c r="B88" s="4" t="s">
        <v>19</v>
      </c>
      <c r="C88" s="4" t="s">
        <v>13</v>
      </c>
      <c r="D88" s="4" t="s">
        <v>116</v>
      </c>
      <c r="E88" s="4" t="s">
        <v>89</v>
      </c>
      <c r="F88" s="4">
        <v>44</v>
      </c>
      <c r="G88" s="33">
        <v>924</v>
      </c>
      <c r="H88" s="33">
        <v>407</v>
      </c>
      <c r="I88" s="32"/>
    </row>
    <row r="89" spans="1:9" outlineLevel="2" x14ac:dyDescent="0.55000000000000004">
      <c r="A89" s="29">
        <v>40553</v>
      </c>
      <c r="B89" s="4" t="s">
        <v>19</v>
      </c>
      <c r="C89" s="4" t="s">
        <v>13</v>
      </c>
      <c r="D89" s="4" t="s">
        <v>116</v>
      </c>
      <c r="E89" s="4" t="s">
        <v>105</v>
      </c>
      <c r="F89" s="4">
        <v>47</v>
      </c>
      <c r="G89" s="33">
        <v>987</v>
      </c>
      <c r="H89" s="33">
        <v>434.75</v>
      </c>
      <c r="I89" s="32"/>
    </row>
    <row r="90" spans="1:9" outlineLevel="1" x14ac:dyDescent="0.55000000000000004">
      <c r="A90" s="29"/>
      <c r="B90" s="4"/>
      <c r="C90" s="22" t="s">
        <v>191</v>
      </c>
      <c r="D90" s="4"/>
      <c r="E90" s="4"/>
      <c r="F90" s="4"/>
      <c r="G90" s="33">
        <f>SUBTOTAL(9,G63:G89)</f>
        <v>19802</v>
      </c>
      <c r="H90" s="33"/>
      <c r="I90" s="32"/>
    </row>
    <row r="91" spans="1:9" outlineLevel="2" x14ac:dyDescent="0.55000000000000004">
      <c r="A91" s="29">
        <v>40570</v>
      </c>
      <c r="B91" s="4" t="s">
        <v>18</v>
      </c>
      <c r="C91" s="4" t="s">
        <v>15</v>
      </c>
      <c r="D91" s="4" t="s">
        <v>120</v>
      </c>
      <c r="E91" s="4" t="s">
        <v>85</v>
      </c>
      <c r="F91" s="4">
        <v>10</v>
      </c>
      <c r="G91" s="33">
        <v>230</v>
      </c>
      <c r="H91" s="33">
        <v>110</v>
      </c>
      <c r="I91" s="32"/>
    </row>
    <row r="92" spans="1:9" outlineLevel="2" x14ac:dyDescent="0.55000000000000004">
      <c r="A92" s="29">
        <v>40573</v>
      </c>
      <c r="B92" s="4" t="s">
        <v>16</v>
      </c>
      <c r="C92" s="4" t="s">
        <v>15</v>
      </c>
      <c r="D92" s="4" t="s">
        <v>120</v>
      </c>
      <c r="E92" s="4" t="s">
        <v>78</v>
      </c>
      <c r="F92" s="4">
        <v>49</v>
      </c>
      <c r="G92" s="33">
        <v>931</v>
      </c>
      <c r="H92" s="33">
        <v>392</v>
      </c>
      <c r="I92" s="32"/>
    </row>
    <row r="93" spans="1:9" outlineLevel="2" x14ac:dyDescent="0.55000000000000004">
      <c r="A93" s="29">
        <v>40564</v>
      </c>
      <c r="B93" s="4" t="s">
        <v>12</v>
      </c>
      <c r="C93" s="4" t="s">
        <v>15</v>
      </c>
      <c r="D93" s="4" t="s">
        <v>120</v>
      </c>
      <c r="E93" s="4" t="s">
        <v>100</v>
      </c>
      <c r="F93" s="4">
        <v>56</v>
      </c>
      <c r="G93" s="33">
        <v>1512</v>
      </c>
      <c r="H93" s="33">
        <v>812</v>
      </c>
      <c r="I93" s="32"/>
    </row>
    <row r="94" spans="1:9" outlineLevel="2" x14ac:dyDescent="0.55000000000000004">
      <c r="A94" s="29">
        <v>40567</v>
      </c>
      <c r="B94" s="4" t="s">
        <v>12</v>
      </c>
      <c r="C94" s="4" t="s">
        <v>15</v>
      </c>
      <c r="D94" s="4" t="s">
        <v>120</v>
      </c>
      <c r="E94" s="4" t="s">
        <v>93</v>
      </c>
      <c r="F94" s="4">
        <v>63</v>
      </c>
      <c r="G94" s="33">
        <v>1701</v>
      </c>
      <c r="H94" s="33">
        <v>913.5</v>
      </c>
      <c r="I94" s="32"/>
    </row>
    <row r="95" spans="1:9" outlineLevel="2" x14ac:dyDescent="0.55000000000000004">
      <c r="A95" s="29">
        <v>40548</v>
      </c>
      <c r="B95" s="4" t="s">
        <v>16</v>
      </c>
      <c r="C95" s="4" t="s">
        <v>15</v>
      </c>
      <c r="D95" s="4" t="s">
        <v>126</v>
      </c>
      <c r="E95" s="4" t="s">
        <v>101</v>
      </c>
      <c r="F95" s="4">
        <v>12</v>
      </c>
      <c r="G95" s="33">
        <v>228</v>
      </c>
      <c r="H95" s="33">
        <v>96</v>
      </c>
      <c r="I95" s="32"/>
    </row>
    <row r="96" spans="1:9" outlineLevel="2" x14ac:dyDescent="0.55000000000000004">
      <c r="A96" s="29">
        <v>40548</v>
      </c>
      <c r="B96" s="4" t="s">
        <v>18</v>
      </c>
      <c r="C96" s="4" t="s">
        <v>15</v>
      </c>
      <c r="D96" s="4" t="s">
        <v>126</v>
      </c>
      <c r="E96" s="4" t="s">
        <v>107</v>
      </c>
      <c r="F96" s="4">
        <v>60</v>
      </c>
      <c r="G96" s="33">
        <v>1380</v>
      </c>
      <c r="H96" s="33">
        <v>660</v>
      </c>
      <c r="I96" s="32"/>
    </row>
    <row r="97" spans="1:9" outlineLevel="2" x14ac:dyDescent="0.55000000000000004">
      <c r="A97" s="29">
        <v>40545</v>
      </c>
      <c r="B97" s="4" t="s">
        <v>14</v>
      </c>
      <c r="C97" s="4" t="s">
        <v>15</v>
      </c>
      <c r="D97" s="4" t="s">
        <v>121</v>
      </c>
      <c r="E97" s="4" t="s">
        <v>103</v>
      </c>
      <c r="F97" s="4">
        <v>19</v>
      </c>
      <c r="G97" s="33">
        <v>418</v>
      </c>
      <c r="H97" s="33">
        <v>190</v>
      </c>
      <c r="I97" s="32"/>
    </row>
    <row r="98" spans="1:9" outlineLevel="2" x14ac:dyDescent="0.55000000000000004">
      <c r="A98" s="29">
        <v>40545</v>
      </c>
      <c r="B98" s="4" t="s">
        <v>12</v>
      </c>
      <c r="C98" s="4" t="s">
        <v>15</v>
      </c>
      <c r="D98" s="4" t="s">
        <v>121</v>
      </c>
      <c r="E98" s="4" t="s">
        <v>80</v>
      </c>
      <c r="F98" s="4">
        <v>30</v>
      </c>
      <c r="G98" s="33">
        <v>810</v>
      </c>
      <c r="H98" s="33">
        <v>435</v>
      </c>
      <c r="I98" s="32"/>
    </row>
    <row r="99" spans="1:9" outlineLevel="2" x14ac:dyDescent="0.55000000000000004">
      <c r="A99" s="29">
        <v>40550</v>
      </c>
      <c r="B99" s="4" t="s">
        <v>19</v>
      </c>
      <c r="C99" s="4" t="s">
        <v>15</v>
      </c>
      <c r="D99" s="4" t="s">
        <v>121</v>
      </c>
      <c r="E99" s="4" t="s">
        <v>95</v>
      </c>
      <c r="F99" s="4">
        <v>53</v>
      </c>
      <c r="G99" s="33">
        <v>1113</v>
      </c>
      <c r="H99" s="33">
        <v>490.25</v>
      </c>
      <c r="I99" s="32"/>
    </row>
    <row r="100" spans="1:9" outlineLevel="2" x14ac:dyDescent="0.55000000000000004">
      <c r="A100" s="29">
        <v>40565</v>
      </c>
      <c r="B100" s="4" t="s">
        <v>14</v>
      </c>
      <c r="C100" s="4" t="s">
        <v>15</v>
      </c>
      <c r="D100" s="4" t="s">
        <v>121</v>
      </c>
      <c r="E100" s="4" t="s">
        <v>80</v>
      </c>
      <c r="F100" s="4">
        <v>53</v>
      </c>
      <c r="G100" s="33">
        <v>1166</v>
      </c>
      <c r="H100" s="33">
        <v>530</v>
      </c>
      <c r="I100" s="32"/>
    </row>
    <row r="101" spans="1:9" outlineLevel="2" x14ac:dyDescent="0.55000000000000004">
      <c r="A101" s="29">
        <v>40550</v>
      </c>
      <c r="B101" s="4" t="s">
        <v>19</v>
      </c>
      <c r="C101" s="4" t="s">
        <v>15</v>
      </c>
      <c r="D101" s="4" t="s">
        <v>121</v>
      </c>
      <c r="E101" s="4" t="s">
        <v>97</v>
      </c>
      <c r="F101" s="4">
        <v>61</v>
      </c>
      <c r="G101" s="33">
        <v>1281</v>
      </c>
      <c r="H101" s="33">
        <v>564.25</v>
      </c>
      <c r="I101" s="32"/>
    </row>
    <row r="102" spans="1:9" outlineLevel="2" x14ac:dyDescent="0.55000000000000004">
      <c r="A102" s="29">
        <v>40569</v>
      </c>
      <c r="B102" s="4" t="s">
        <v>14</v>
      </c>
      <c r="C102" s="4" t="s">
        <v>15</v>
      </c>
      <c r="D102" s="4" t="s">
        <v>121</v>
      </c>
      <c r="E102" s="4" t="s">
        <v>82</v>
      </c>
      <c r="F102" s="4">
        <v>61</v>
      </c>
      <c r="G102" s="33">
        <v>5000</v>
      </c>
      <c r="H102" s="33">
        <v>610</v>
      </c>
      <c r="I102" s="32"/>
    </row>
    <row r="103" spans="1:9" outlineLevel="2" x14ac:dyDescent="0.55000000000000004">
      <c r="A103" s="29">
        <v>40565</v>
      </c>
      <c r="B103" s="4" t="s">
        <v>14</v>
      </c>
      <c r="C103" s="4" t="s">
        <v>15</v>
      </c>
      <c r="D103" s="4" t="s">
        <v>127</v>
      </c>
      <c r="E103" s="4" t="s">
        <v>95</v>
      </c>
      <c r="F103" s="4">
        <v>6</v>
      </c>
      <c r="G103" s="33">
        <v>132</v>
      </c>
      <c r="H103" s="33">
        <v>60</v>
      </c>
      <c r="I103" s="32"/>
    </row>
    <row r="104" spans="1:9" outlineLevel="2" x14ac:dyDescent="0.55000000000000004">
      <c r="A104" s="29">
        <v>40571</v>
      </c>
      <c r="B104" s="4" t="s">
        <v>18</v>
      </c>
      <c r="C104" s="4" t="s">
        <v>15</v>
      </c>
      <c r="D104" s="4" t="s">
        <v>127</v>
      </c>
      <c r="E104" s="4" t="s">
        <v>81</v>
      </c>
      <c r="F104" s="4">
        <v>15</v>
      </c>
      <c r="G104" s="33">
        <v>345</v>
      </c>
      <c r="H104" s="33">
        <v>165</v>
      </c>
      <c r="I104" s="32"/>
    </row>
    <row r="105" spans="1:9" outlineLevel="2" x14ac:dyDescent="0.55000000000000004">
      <c r="A105" s="29">
        <v>40550</v>
      </c>
      <c r="B105" s="4" t="s">
        <v>14</v>
      </c>
      <c r="C105" s="4" t="s">
        <v>15</v>
      </c>
      <c r="D105" s="4" t="s">
        <v>127</v>
      </c>
      <c r="E105" s="4" t="s">
        <v>97</v>
      </c>
      <c r="F105" s="4">
        <v>27</v>
      </c>
      <c r="G105" s="33">
        <v>594</v>
      </c>
      <c r="H105" s="33">
        <v>270</v>
      </c>
      <c r="I105" s="32"/>
    </row>
    <row r="106" spans="1:9" outlineLevel="2" x14ac:dyDescent="0.55000000000000004">
      <c r="A106" s="29">
        <v>40553</v>
      </c>
      <c r="B106" s="4" t="s">
        <v>12</v>
      </c>
      <c r="C106" s="4" t="s">
        <v>15</v>
      </c>
      <c r="D106" s="4" t="s">
        <v>127</v>
      </c>
      <c r="E106" s="4" t="s">
        <v>86</v>
      </c>
      <c r="F106" s="4">
        <v>65</v>
      </c>
      <c r="G106" s="33">
        <v>1755</v>
      </c>
      <c r="H106" s="33">
        <v>942.5</v>
      </c>
      <c r="I106" s="32"/>
    </row>
    <row r="107" spans="1:9" outlineLevel="2" x14ac:dyDescent="0.55000000000000004">
      <c r="A107" s="29">
        <v>40560</v>
      </c>
      <c r="B107" s="4" t="s">
        <v>12</v>
      </c>
      <c r="C107" s="4" t="s">
        <v>15</v>
      </c>
      <c r="D107" s="4" t="s">
        <v>122</v>
      </c>
      <c r="E107" s="4" t="s">
        <v>96</v>
      </c>
      <c r="F107" s="4">
        <v>10</v>
      </c>
      <c r="G107" s="33">
        <v>270</v>
      </c>
      <c r="H107" s="33">
        <v>145</v>
      </c>
      <c r="I107" s="32"/>
    </row>
    <row r="108" spans="1:9" outlineLevel="2" x14ac:dyDescent="0.55000000000000004">
      <c r="A108" s="29">
        <v>40551</v>
      </c>
      <c r="B108" s="4" t="s">
        <v>12</v>
      </c>
      <c r="C108" s="4" t="s">
        <v>15</v>
      </c>
      <c r="D108" s="4" t="s">
        <v>122</v>
      </c>
      <c r="E108" s="4" t="s">
        <v>93</v>
      </c>
      <c r="F108" s="4">
        <v>16</v>
      </c>
      <c r="G108" s="33">
        <v>432</v>
      </c>
      <c r="H108" s="33">
        <v>232</v>
      </c>
      <c r="I108" s="32"/>
    </row>
    <row r="109" spans="1:9" outlineLevel="2" x14ac:dyDescent="0.55000000000000004">
      <c r="A109" s="29">
        <v>40571</v>
      </c>
      <c r="B109" s="4" t="s">
        <v>19</v>
      </c>
      <c r="C109" s="4" t="s">
        <v>15</v>
      </c>
      <c r="D109" s="4" t="s">
        <v>122</v>
      </c>
      <c r="E109" s="4" t="s">
        <v>88</v>
      </c>
      <c r="F109" s="4">
        <v>62</v>
      </c>
      <c r="G109" s="33">
        <v>1302</v>
      </c>
      <c r="H109" s="33">
        <v>573.5</v>
      </c>
      <c r="I109" s="32"/>
    </row>
    <row r="110" spans="1:9" outlineLevel="2" x14ac:dyDescent="0.55000000000000004">
      <c r="A110" s="29">
        <v>40561</v>
      </c>
      <c r="B110" s="4" t="s">
        <v>16</v>
      </c>
      <c r="C110" s="4" t="s">
        <v>15</v>
      </c>
      <c r="D110" s="4" t="s">
        <v>116</v>
      </c>
      <c r="E110" s="4" t="s">
        <v>80</v>
      </c>
      <c r="F110" s="4">
        <v>8</v>
      </c>
      <c r="G110" s="33">
        <v>152</v>
      </c>
      <c r="H110" s="33">
        <v>64</v>
      </c>
      <c r="I110" s="32"/>
    </row>
    <row r="111" spans="1:9" outlineLevel="2" x14ac:dyDescent="0.55000000000000004">
      <c r="A111" s="29">
        <v>40549</v>
      </c>
      <c r="B111" s="4" t="s">
        <v>18</v>
      </c>
      <c r="C111" s="4" t="s">
        <v>15</v>
      </c>
      <c r="D111" s="4" t="s">
        <v>116</v>
      </c>
      <c r="E111" s="4" t="s">
        <v>91</v>
      </c>
      <c r="F111" s="4">
        <v>18</v>
      </c>
      <c r="G111" s="33">
        <v>414</v>
      </c>
      <c r="H111" s="33">
        <v>198</v>
      </c>
      <c r="I111" s="32"/>
    </row>
    <row r="112" spans="1:9" outlineLevel="2" x14ac:dyDescent="0.55000000000000004">
      <c r="A112" s="29">
        <v>40565</v>
      </c>
      <c r="B112" s="4" t="s">
        <v>14</v>
      </c>
      <c r="C112" s="4" t="s">
        <v>15</v>
      </c>
      <c r="D112" s="4" t="s">
        <v>116</v>
      </c>
      <c r="E112" s="4" t="s">
        <v>83</v>
      </c>
      <c r="F112" s="4">
        <v>35</v>
      </c>
      <c r="G112" s="33">
        <v>770</v>
      </c>
      <c r="H112" s="33">
        <v>350</v>
      </c>
      <c r="I112" s="32"/>
    </row>
    <row r="113" spans="1:9" outlineLevel="2" x14ac:dyDescent="0.55000000000000004">
      <c r="A113" s="29">
        <v>40563</v>
      </c>
      <c r="B113" s="4" t="s">
        <v>16</v>
      </c>
      <c r="C113" s="4" t="s">
        <v>15</v>
      </c>
      <c r="D113" s="4" t="s">
        <v>116</v>
      </c>
      <c r="E113" s="4" t="s">
        <v>83</v>
      </c>
      <c r="F113" s="4">
        <v>58</v>
      </c>
      <c r="G113" s="33">
        <v>1102</v>
      </c>
      <c r="H113" s="33">
        <v>464</v>
      </c>
      <c r="I113" s="32"/>
    </row>
    <row r="114" spans="1:9" outlineLevel="2" x14ac:dyDescent="0.55000000000000004">
      <c r="A114" s="29">
        <v>40549</v>
      </c>
      <c r="B114" s="4" t="s">
        <v>12</v>
      </c>
      <c r="C114" s="4" t="s">
        <v>15</v>
      </c>
      <c r="D114" s="4" t="s">
        <v>116</v>
      </c>
      <c r="E114" s="4" t="s">
        <v>96</v>
      </c>
      <c r="F114" s="4">
        <v>64</v>
      </c>
      <c r="G114" s="33">
        <v>1728</v>
      </c>
      <c r="H114" s="33">
        <v>928</v>
      </c>
      <c r="I114" s="32"/>
    </row>
    <row r="115" spans="1:9" outlineLevel="1" x14ac:dyDescent="0.55000000000000004">
      <c r="A115" s="46"/>
      <c r="B115" s="35"/>
      <c r="C115" s="48" t="s">
        <v>192</v>
      </c>
      <c r="D115" s="35"/>
      <c r="E115" s="35"/>
      <c r="F115" s="35"/>
      <c r="G115" s="47">
        <f>SUBTOTAL(9,G91:G114)</f>
        <v>24766</v>
      </c>
      <c r="H115" s="47"/>
      <c r="I115" s="32"/>
    </row>
    <row r="116" spans="1:9" x14ac:dyDescent="0.55000000000000004">
      <c r="A116" s="46"/>
      <c r="B116" s="35"/>
      <c r="C116" s="48" t="s">
        <v>193</v>
      </c>
      <c r="D116" s="35"/>
      <c r="E116" s="35"/>
      <c r="F116" s="35"/>
      <c r="G116" s="47">
        <f>SUBTOTAL(9,G7:G114)</f>
        <v>85157</v>
      </c>
      <c r="H116" s="47"/>
      <c r="I116" s="32"/>
    </row>
  </sheetData>
  <sortState xmlns:xlrd2="http://schemas.microsoft.com/office/spreadsheetml/2017/richdata2" ref="A7:H114">
    <sortCondition ref="C7:C114"/>
    <sortCondition ref="D7:D114"/>
    <sortCondition ref="G7:G114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Q125"/>
  <sheetViews>
    <sheetView topLeftCell="A4" zoomScale="115" zoomScaleNormal="115" workbookViewId="0">
      <selection activeCell="K94" sqref="K94"/>
    </sheetView>
  </sheetViews>
  <sheetFormatPr defaultRowHeight="14.4" outlineLevelRow="2" x14ac:dyDescent="0.55000000000000004"/>
  <cols>
    <col min="3" max="3" width="14.26171875" bestFit="1" customWidth="1"/>
    <col min="7" max="8" width="12.83984375" customWidth="1"/>
    <col min="13" max="13" width="9.41796875" customWidth="1"/>
    <col min="14" max="14" width="6.68359375" customWidth="1"/>
  </cols>
  <sheetData>
    <row r="1" spans="1:14" x14ac:dyDescent="0.55000000000000004">
      <c r="A1" s="31" t="s">
        <v>115</v>
      </c>
      <c r="B1" s="31"/>
      <c r="C1" s="31"/>
      <c r="D1" s="31"/>
      <c r="E1" s="31"/>
      <c r="F1" s="31"/>
      <c r="G1" s="31"/>
    </row>
    <row r="2" spans="1:14" x14ac:dyDescent="0.55000000000000004">
      <c r="A2" s="31" t="s">
        <v>115</v>
      </c>
      <c r="B2" s="31"/>
      <c r="C2" s="31"/>
      <c r="D2" s="31"/>
      <c r="E2" s="31"/>
      <c r="F2" s="31"/>
      <c r="G2" s="31"/>
      <c r="J2" s="7" t="s">
        <v>8</v>
      </c>
      <c r="K2" s="7" t="s">
        <v>114</v>
      </c>
      <c r="M2" t="s">
        <v>8</v>
      </c>
      <c r="N2" t="s">
        <v>114</v>
      </c>
    </row>
    <row r="3" spans="1:14" x14ac:dyDescent="0.55000000000000004">
      <c r="A3" t="s">
        <v>132</v>
      </c>
      <c r="J3" s="4" t="s">
        <v>11</v>
      </c>
      <c r="K3" s="21">
        <f>SUMIFS($G$11:$G$118,$C$11:$C$118,J3)</f>
        <v>24901</v>
      </c>
      <c r="M3" t="s">
        <v>11</v>
      </c>
      <c r="N3" s="30">
        <v>24901</v>
      </c>
    </row>
    <row r="4" spans="1:14" x14ac:dyDescent="0.55000000000000004">
      <c r="A4" t="s">
        <v>133</v>
      </c>
      <c r="J4" s="4" t="s">
        <v>17</v>
      </c>
      <c r="K4" s="21">
        <f>SUMIFS($G$11:$G$118,$C$11:$C$118,J4)</f>
        <v>15688</v>
      </c>
      <c r="M4" t="s">
        <v>17</v>
      </c>
      <c r="N4" s="30">
        <v>15688</v>
      </c>
    </row>
    <row r="5" spans="1:14" x14ac:dyDescent="0.55000000000000004">
      <c r="A5" t="s">
        <v>134</v>
      </c>
      <c r="J5" s="4" t="s">
        <v>13</v>
      </c>
      <c r="K5" s="21">
        <f>SUMIFS($G$11:$G$118,$C$11:$C$118,J5)</f>
        <v>19802</v>
      </c>
      <c r="M5" t="s">
        <v>13</v>
      </c>
      <c r="N5" s="30">
        <v>19802</v>
      </c>
    </row>
    <row r="6" spans="1:14" x14ac:dyDescent="0.55000000000000004">
      <c r="A6" t="s">
        <v>135</v>
      </c>
      <c r="J6" s="4" t="s">
        <v>15</v>
      </c>
      <c r="K6" s="21">
        <f>SUMIFS($G$11:$G$118,$C$11:$C$118,J6)</f>
        <v>24766</v>
      </c>
      <c r="M6" t="s">
        <v>15</v>
      </c>
      <c r="N6" s="30">
        <v>24766</v>
      </c>
    </row>
    <row r="7" spans="1:14" x14ac:dyDescent="0.55000000000000004">
      <c r="A7" t="s">
        <v>136</v>
      </c>
    </row>
    <row r="8" spans="1:14" x14ac:dyDescent="0.55000000000000004">
      <c r="A8" t="s">
        <v>137</v>
      </c>
      <c r="J8" s="43" t="s">
        <v>194</v>
      </c>
    </row>
    <row r="9" spans="1:14" x14ac:dyDescent="0.55000000000000004">
      <c r="J9" s="43" t="s">
        <v>195</v>
      </c>
    </row>
    <row r="10" spans="1:14" x14ac:dyDescent="0.55000000000000004">
      <c r="A10" s="7" t="s">
        <v>73</v>
      </c>
      <c r="B10" s="7" t="s">
        <v>9</v>
      </c>
      <c r="C10" s="7" t="s">
        <v>8</v>
      </c>
      <c r="D10" s="7" t="s">
        <v>110</v>
      </c>
      <c r="E10" s="7" t="s">
        <v>72</v>
      </c>
      <c r="F10" s="7" t="s">
        <v>109</v>
      </c>
      <c r="G10" s="7" t="s">
        <v>10</v>
      </c>
      <c r="H10" s="7" t="s">
        <v>108</v>
      </c>
    </row>
    <row r="11" spans="1:14" hidden="1" outlineLevel="2" x14ac:dyDescent="0.55000000000000004">
      <c r="A11" s="29">
        <v>40544</v>
      </c>
      <c r="B11" s="4" t="s">
        <v>12</v>
      </c>
      <c r="C11" s="4" t="s">
        <v>11</v>
      </c>
      <c r="D11" s="4" t="s">
        <v>116</v>
      </c>
      <c r="E11" s="4" t="s">
        <v>102</v>
      </c>
      <c r="F11" s="4">
        <v>16</v>
      </c>
      <c r="G11" s="33">
        <v>432</v>
      </c>
      <c r="H11" s="33">
        <v>232</v>
      </c>
    </row>
    <row r="12" spans="1:14" hidden="1" outlineLevel="2" x14ac:dyDescent="0.55000000000000004">
      <c r="A12" s="29">
        <v>40546</v>
      </c>
      <c r="B12" s="4" t="s">
        <v>16</v>
      </c>
      <c r="C12" s="4" t="s">
        <v>11</v>
      </c>
      <c r="D12" s="4" t="s">
        <v>121</v>
      </c>
      <c r="E12" s="4" t="s">
        <v>88</v>
      </c>
      <c r="F12" s="4">
        <v>38</v>
      </c>
      <c r="G12" s="33">
        <v>722</v>
      </c>
      <c r="H12" s="33">
        <v>304</v>
      </c>
    </row>
    <row r="13" spans="1:14" hidden="1" outlineLevel="2" x14ac:dyDescent="0.55000000000000004">
      <c r="A13" s="29">
        <v>40549</v>
      </c>
      <c r="B13" s="4" t="s">
        <v>16</v>
      </c>
      <c r="C13" s="4" t="s">
        <v>11</v>
      </c>
      <c r="D13" s="4" t="s">
        <v>126</v>
      </c>
      <c r="E13" s="4" t="s">
        <v>90</v>
      </c>
      <c r="F13" s="4">
        <v>54</v>
      </c>
      <c r="G13" s="33">
        <v>1026</v>
      </c>
      <c r="H13" s="33">
        <v>432</v>
      </c>
    </row>
    <row r="14" spans="1:14" hidden="1" outlineLevel="2" x14ac:dyDescent="0.55000000000000004">
      <c r="A14" s="29">
        <v>40552</v>
      </c>
      <c r="B14" s="4" t="s">
        <v>18</v>
      </c>
      <c r="C14" s="4" t="s">
        <v>11</v>
      </c>
      <c r="D14" s="4" t="s">
        <v>126</v>
      </c>
      <c r="E14" s="4" t="s">
        <v>106</v>
      </c>
      <c r="F14" s="4">
        <v>38</v>
      </c>
      <c r="G14" s="33">
        <v>874</v>
      </c>
      <c r="H14" s="33">
        <v>418</v>
      </c>
    </row>
    <row r="15" spans="1:14" hidden="1" outlineLevel="2" x14ac:dyDescent="0.55000000000000004">
      <c r="A15" s="29">
        <v>40552</v>
      </c>
      <c r="B15" s="4" t="s">
        <v>14</v>
      </c>
      <c r="C15" s="4" t="s">
        <v>11</v>
      </c>
      <c r="D15" s="4" t="s">
        <v>121</v>
      </c>
      <c r="E15" s="4" t="s">
        <v>104</v>
      </c>
      <c r="F15" s="4">
        <v>40</v>
      </c>
      <c r="G15" s="33">
        <v>880</v>
      </c>
      <c r="H15" s="33">
        <v>400</v>
      </c>
    </row>
    <row r="16" spans="1:14" hidden="1" outlineLevel="2" x14ac:dyDescent="0.55000000000000004">
      <c r="A16" s="29">
        <v>40552</v>
      </c>
      <c r="B16" s="4" t="s">
        <v>16</v>
      </c>
      <c r="C16" s="4" t="s">
        <v>11</v>
      </c>
      <c r="D16" s="4" t="s">
        <v>127</v>
      </c>
      <c r="E16" s="4" t="s">
        <v>96</v>
      </c>
      <c r="F16" s="4">
        <v>42</v>
      </c>
      <c r="G16" s="33">
        <v>798</v>
      </c>
      <c r="H16" s="33">
        <v>336</v>
      </c>
    </row>
    <row r="17" spans="1:8" hidden="1" outlineLevel="2" x14ac:dyDescent="0.55000000000000004">
      <c r="A17" s="29">
        <v>40553</v>
      </c>
      <c r="B17" s="4" t="s">
        <v>19</v>
      </c>
      <c r="C17" s="4" t="s">
        <v>11</v>
      </c>
      <c r="D17" s="4" t="s">
        <v>120</v>
      </c>
      <c r="E17" s="4" t="s">
        <v>98</v>
      </c>
      <c r="F17" s="4">
        <v>27</v>
      </c>
      <c r="G17" s="33">
        <v>567</v>
      </c>
      <c r="H17" s="33">
        <v>249.75</v>
      </c>
    </row>
    <row r="18" spans="1:8" hidden="1" outlineLevel="2" x14ac:dyDescent="0.55000000000000004">
      <c r="A18" s="29">
        <v>40553</v>
      </c>
      <c r="B18" s="4" t="s">
        <v>18</v>
      </c>
      <c r="C18" s="4" t="s">
        <v>11</v>
      </c>
      <c r="D18" s="4" t="s">
        <v>121</v>
      </c>
      <c r="E18" s="4" t="s">
        <v>102</v>
      </c>
      <c r="F18" s="4">
        <v>63</v>
      </c>
      <c r="G18" s="33">
        <v>1449</v>
      </c>
      <c r="H18" s="33">
        <v>693</v>
      </c>
    </row>
    <row r="19" spans="1:8" hidden="1" outlineLevel="2" x14ac:dyDescent="0.55000000000000004">
      <c r="A19" s="29">
        <v>40553</v>
      </c>
      <c r="B19" s="4" t="s">
        <v>12</v>
      </c>
      <c r="C19" s="4" t="s">
        <v>11</v>
      </c>
      <c r="D19" s="4" t="s">
        <v>127</v>
      </c>
      <c r="E19" s="4" t="s">
        <v>78</v>
      </c>
      <c r="F19" s="4">
        <v>17</v>
      </c>
      <c r="G19" s="33">
        <v>459</v>
      </c>
      <c r="H19" s="33">
        <v>246.5</v>
      </c>
    </row>
    <row r="20" spans="1:8" hidden="1" outlineLevel="2" x14ac:dyDescent="0.55000000000000004">
      <c r="A20" s="29">
        <v>40553</v>
      </c>
      <c r="B20" s="4" t="s">
        <v>19</v>
      </c>
      <c r="C20" s="4" t="s">
        <v>11</v>
      </c>
      <c r="D20" s="4" t="s">
        <v>127</v>
      </c>
      <c r="E20" s="4" t="s">
        <v>105</v>
      </c>
      <c r="F20" s="4">
        <v>17</v>
      </c>
      <c r="G20" s="33">
        <v>357</v>
      </c>
      <c r="H20" s="33">
        <v>157.25</v>
      </c>
    </row>
    <row r="21" spans="1:8" hidden="1" outlineLevel="2" x14ac:dyDescent="0.55000000000000004">
      <c r="A21" s="29">
        <v>40554</v>
      </c>
      <c r="B21" s="4" t="s">
        <v>12</v>
      </c>
      <c r="C21" s="4" t="s">
        <v>11</v>
      </c>
      <c r="D21" s="4" t="s">
        <v>126</v>
      </c>
      <c r="E21" s="4" t="s">
        <v>100</v>
      </c>
      <c r="F21" s="4">
        <v>14</v>
      </c>
      <c r="G21" s="33">
        <v>378</v>
      </c>
      <c r="H21" s="33">
        <v>203</v>
      </c>
    </row>
    <row r="22" spans="1:8" hidden="1" outlineLevel="2" x14ac:dyDescent="0.55000000000000004">
      <c r="A22" s="29">
        <v>40554</v>
      </c>
      <c r="B22" s="4" t="s">
        <v>12</v>
      </c>
      <c r="C22" s="4" t="s">
        <v>11</v>
      </c>
      <c r="D22" s="4" t="s">
        <v>127</v>
      </c>
      <c r="E22" s="4" t="s">
        <v>94</v>
      </c>
      <c r="F22" s="4">
        <v>49</v>
      </c>
      <c r="G22" s="33">
        <v>1323</v>
      </c>
      <c r="H22" s="33">
        <v>710.5</v>
      </c>
    </row>
    <row r="23" spans="1:8" hidden="1" outlineLevel="2" x14ac:dyDescent="0.55000000000000004">
      <c r="A23" s="29">
        <v>40557</v>
      </c>
      <c r="B23" s="4" t="s">
        <v>18</v>
      </c>
      <c r="C23" s="4" t="s">
        <v>11</v>
      </c>
      <c r="D23" s="4" t="s">
        <v>126</v>
      </c>
      <c r="E23" s="4" t="s">
        <v>92</v>
      </c>
      <c r="F23" s="4">
        <v>34</v>
      </c>
      <c r="G23" s="33">
        <v>782</v>
      </c>
      <c r="H23" s="33">
        <v>374</v>
      </c>
    </row>
    <row r="24" spans="1:8" hidden="1" outlineLevel="2" x14ac:dyDescent="0.55000000000000004">
      <c r="A24" s="29">
        <v>40558</v>
      </c>
      <c r="B24" s="4" t="s">
        <v>19</v>
      </c>
      <c r="C24" s="4" t="s">
        <v>11</v>
      </c>
      <c r="D24" s="4" t="s">
        <v>120</v>
      </c>
      <c r="E24" s="4" t="s">
        <v>80</v>
      </c>
      <c r="F24" s="4">
        <v>63</v>
      </c>
      <c r="G24" s="33">
        <v>1323</v>
      </c>
      <c r="H24" s="33">
        <v>582.75</v>
      </c>
    </row>
    <row r="25" spans="1:8" hidden="1" outlineLevel="2" x14ac:dyDescent="0.55000000000000004">
      <c r="A25" s="29">
        <v>40560</v>
      </c>
      <c r="B25" s="4" t="s">
        <v>12</v>
      </c>
      <c r="C25" s="4" t="s">
        <v>11</v>
      </c>
      <c r="D25" s="4" t="s">
        <v>126</v>
      </c>
      <c r="E25" s="4" t="s">
        <v>93</v>
      </c>
      <c r="F25" s="4">
        <v>62</v>
      </c>
      <c r="G25" s="33">
        <v>1674</v>
      </c>
      <c r="H25" s="33">
        <v>899</v>
      </c>
    </row>
    <row r="26" spans="1:8" hidden="1" outlineLevel="2" x14ac:dyDescent="0.55000000000000004">
      <c r="A26" s="29">
        <v>40560</v>
      </c>
      <c r="B26" s="4" t="s">
        <v>12</v>
      </c>
      <c r="C26" s="4" t="s">
        <v>11</v>
      </c>
      <c r="D26" s="4" t="s">
        <v>120</v>
      </c>
      <c r="E26" s="4" t="s">
        <v>103</v>
      </c>
      <c r="F26" s="4">
        <v>43</v>
      </c>
      <c r="G26" s="33">
        <v>1161</v>
      </c>
      <c r="H26" s="33">
        <v>623.5</v>
      </c>
    </row>
    <row r="27" spans="1:8" hidden="1" outlineLevel="2" x14ac:dyDescent="0.55000000000000004">
      <c r="A27" s="29">
        <v>40560</v>
      </c>
      <c r="B27" s="4" t="s">
        <v>18</v>
      </c>
      <c r="C27" s="4" t="s">
        <v>11</v>
      </c>
      <c r="D27" s="4" t="s">
        <v>116</v>
      </c>
      <c r="E27" s="4" t="s">
        <v>96</v>
      </c>
      <c r="F27" s="4">
        <v>39</v>
      </c>
      <c r="G27" s="33">
        <v>897</v>
      </c>
      <c r="H27" s="33">
        <v>429</v>
      </c>
    </row>
    <row r="28" spans="1:8" hidden="1" outlineLevel="2" x14ac:dyDescent="0.55000000000000004">
      <c r="A28" s="29">
        <v>40561</v>
      </c>
      <c r="B28" s="4" t="s">
        <v>14</v>
      </c>
      <c r="C28" s="4" t="s">
        <v>11</v>
      </c>
      <c r="D28" s="4" t="s">
        <v>126</v>
      </c>
      <c r="E28" s="4" t="s">
        <v>89</v>
      </c>
      <c r="F28" s="4">
        <v>20</v>
      </c>
      <c r="G28" s="33">
        <v>440</v>
      </c>
      <c r="H28" s="33">
        <v>200</v>
      </c>
    </row>
    <row r="29" spans="1:8" hidden="1" outlineLevel="2" x14ac:dyDescent="0.55000000000000004">
      <c r="A29" s="29">
        <v>40561</v>
      </c>
      <c r="B29" s="4" t="s">
        <v>16</v>
      </c>
      <c r="C29" s="4" t="s">
        <v>11</v>
      </c>
      <c r="D29" s="4" t="s">
        <v>126</v>
      </c>
      <c r="E29" s="4" t="s">
        <v>102</v>
      </c>
      <c r="F29" s="4">
        <v>24</v>
      </c>
      <c r="G29" s="33">
        <v>456</v>
      </c>
      <c r="H29" s="33">
        <v>192</v>
      </c>
    </row>
    <row r="30" spans="1:8" hidden="1" outlineLevel="2" x14ac:dyDescent="0.55000000000000004">
      <c r="A30" s="29">
        <v>40561</v>
      </c>
      <c r="B30" s="4" t="s">
        <v>19</v>
      </c>
      <c r="C30" s="4" t="s">
        <v>11</v>
      </c>
      <c r="D30" s="4" t="s">
        <v>120</v>
      </c>
      <c r="E30" s="4" t="s">
        <v>87</v>
      </c>
      <c r="F30" s="4">
        <v>12</v>
      </c>
      <c r="G30" s="33">
        <v>252</v>
      </c>
      <c r="H30" s="33">
        <v>111</v>
      </c>
    </row>
    <row r="31" spans="1:8" hidden="1" outlineLevel="2" x14ac:dyDescent="0.55000000000000004">
      <c r="A31" s="29">
        <v>40561</v>
      </c>
      <c r="B31" s="4" t="s">
        <v>14</v>
      </c>
      <c r="C31" s="4" t="s">
        <v>11</v>
      </c>
      <c r="D31" s="4" t="s">
        <v>121</v>
      </c>
      <c r="E31" s="4" t="s">
        <v>78</v>
      </c>
      <c r="F31" s="4">
        <v>59</v>
      </c>
      <c r="G31" s="33">
        <v>1298</v>
      </c>
      <c r="H31" s="33">
        <v>590</v>
      </c>
    </row>
    <row r="32" spans="1:8" hidden="1" outlineLevel="2" x14ac:dyDescent="0.55000000000000004">
      <c r="A32" s="29">
        <v>40563</v>
      </c>
      <c r="B32" s="4" t="s">
        <v>18</v>
      </c>
      <c r="C32" s="4" t="s">
        <v>11</v>
      </c>
      <c r="D32" s="4" t="s">
        <v>122</v>
      </c>
      <c r="E32" s="4" t="s">
        <v>101</v>
      </c>
      <c r="F32" s="4">
        <v>59</v>
      </c>
      <c r="G32" s="33">
        <v>1357</v>
      </c>
      <c r="H32" s="33">
        <v>649</v>
      </c>
    </row>
    <row r="33" spans="1:8" hidden="1" outlineLevel="2" x14ac:dyDescent="0.55000000000000004">
      <c r="A33" s="29">
        <v>40563</v>
      </c>
      <c r="B33" s="4" t="s">
        <v>14</v>
      </c>
      <c r="C33" s="4" t="s">
        <v>11</v>
      </c>
      <c r="D33" s="4" t="s">
        <v>120</v>
      </c>
      <c r="E33" s="4" t="s">
        <v>90</v>
      </c>
      <c r="F33" s="4">
        <v>10</v>
      </c>
      <c r="G33" s="33">
        <v>220</v>
      </c>
      <c r="H33" s="33">
        <v>100</v>
      </c>
    </row>
    <row r="34" spans="1:8" hidden="1" outlineLevel="2" x14ac:dyDescent="0.55000000000000004">
      <c r="A34" s="29">
        <v>40564</v>
      </c>
      <c r="B34" s="4" t="s">
        <v>12</v>
      </c>
      <c r="C34" s="4" t="s">
        <v>11</v>
      </c>
      <c r="D34" s="4" t="s">
        <v>122</v>
      </c>
      <c r="E34" s="4" t="s">
        <v>88</v>
      </c>
      <c r="F34" s="4">
        <v>58</v>
      </c>
      <c r="G34" s="33">
        <v>1566</v>
      </c>
      <c r="H34" s="33">
        <v>841</v>
      </c>
    </row>
    <row r="35" spans="1:8" hidden="1" outlineLevel="2" x14ac:dyDescent="0.55000000000000004">
      <c r="A35" s="29">
        <v>40566</v>
      </c>
      <c r="B35" s="4" t="s">
        <v>12</v>
      </c>
      <c r="C35" s="4" t="s">
        <v>11</v>
      </c>
      <c r="D35" s="4" t="s">
        <v>126</v>
      </c>
      <c r="E35" s="4" t="s">
        <v>96</v>
      </c>
      <c r="F35" s="4">
        <v>44</v>
      </c>
      <c r="G35" s="33">
        <v>1188</v>
      </c>
      <c r="H35" s="33">
        <v>638</v>
      </c>
    </row>
    <row r="36" spans="1:8" hidden="1" outlineLevel="2" x14ac:dyDescent="0.55000000000000004">
      <c r="A36" s="29">
        <v>40566</v>
      </c>
      <c r="B36" s="4" t="s">
        <v>14</v>
      </c>
      <c r="C36" s="4" t="s">
        <v>11</v>
      </c>
      <c r="D36" s="4" t="s">
        <v>120</v>
      </c>
      <c r="E36" s="4" t="s">
        <v>89</v>
      </c>
      <c r="F36" s="4">
        <v>9</v>
      </c>
      <c r="G36" s="33">
        <v>198</v>
      </c>
      <c r="H36" s="33">
        <v>90</v>
      </c>
    </row>
    <row r="37" spans="1:8" hidden="1" outlineLevel="2" x14ac:dyDescent="0.55000000000000004">
      <c r="A37" s="29">
        <v>40566</v>
      </c>
      <c r="B37" s="4" t="s">
        <v>12</v>
      </c>
      <c r="C37" s="4" t="s">
        <v>11</v>
      </c>
      <c r="D37" s="4" t="s">
        <v>121</v>
      </c>
      <c r="E37" s="4" t="s">
        <v>95</v>
      </c>
      <c r="F37" s="4">
        <v>22</v>
      </c>
      <c r="G37" s="33">
        <v>594</v>
      </c>
      <c r="H37" s="33">
        <v>319</v>
      </c>
    </row>
    <row r="38" spans="1:8" hidden="1" outlineLevel="2" x14ac:dyDescent="0.55000000000000004">
      <c r="A38" s="29">
        <v>40569</v>
      </c>
      <c r="B38" s="4" t="s">
        <v>14</v>
      </c>
      <c r="C38" s="4" t="s">
        <v>11</v>
      </c>
      <c r="D38" s="4" t="s">
        <v>122</v>
      </c>
      <c r="E38" s="4" t="s">
        <v>91</v>
      </c>
      <c r="F38" s="4">
        <v>17</v>
      </c>
      <c r="G38" s="33">
        <v>374</v>
      </c>
      <c r="H38" s="33">
        <v>170</v>
      </c>
    </row>
    <row r="39" spans="1:8" hidden="1" outlineLevel="2" x14ac:dyDescent="0.55000000000000004">
      <c r="A39" s="29">
        <v>40571</v>
      </c>
      <c r="B39" s="4" t="s">
        <v>19</v>
      </c>
      <c r="C39" s="4" t="s">
        <v>11</v>
      </c>
      <c r="D39" s="4" t="s">
        <v>127</v>
      </c>
      <c r="E39" s="4" t="s">
        <v>84</v>
      </c>
      <c r="F39" s="4">
        <v>36</v>
      </c>
      <c r="G39" s="33">
        <v>756</v>
      </c>
      <c r="H39" s="33">
        <v>333</v>
      </c>
    </row>
    <row r="40" spans="1:8" hidden="1" outlineLevel="2" x14ac:dyDescent="0.55000000000000004">
      <c r="A40" s="29">
        <v>40572</v>
      </c>
      <c r="B40" s="4" t="s">
        <v>14</v>
      </c>
      <c r="C40" s="4" t="s">
        <v>11</v>
      </c>
      <c r="D40" s="4" t="s">
        <v>122</v>
      </c>
      <c r="E40" s="4" t="s">
        <v>80</v>
      </c>
      <c r="F40" s="4">
        <v>50</v>
      </c>
      <c r="G40" s="33">
        <v>1100</v>
      </c>
      <c r="H40" s="33">
        <v>500</v>
      </c>
    </row>
    <row r="41" spans="1:8" outlineLevel="1" collapsed="1" x14ac:dyDescent="0.55000000000000004">
      <c r="A41" s="29"/>
      <c r="B41" s="4"/>
      <c r="C41" s="22" t="s">
        <v>189</v>
      </c>
      <c r="D41" s="4"/>
      <c r="E41" s="4"/>
      <c r="F41" s="4"/>
      <c r="G41" s="33">
        <f>SUBTOTAL(9,G11:G40)</f>
        <v>24901</v>
      </c>
      <c r="H41" s="33"/>
    </row>
    <row r="42" spans="1:8" hidden="1" outlineLevel="2" x14ac:dyDescent="0.55000000000000004">
      <c r="A42" s="29">
        <v>40546</v>
      </c>
      <c r="B42" s="4" t="s">
        <v>18</v>
      </c>
      <c r="C42" s="4" t="s">
        <v>17</v>
      </c>
      <c r="D42" s="4" t="s">
        <v>122</v>
      </c>
      <c r="E42" s="4" t="s">
        <v>88</v>
      </c>
      <c r="F42" s="4">
        <v>20</v>
      </c>
      <c r="G42" s="33">
        <v>460</v>
      </c>
      <c r="H42" s="33">
        <v>220</v>
      </c>
    </row>
    <row r="43" spans="1:8" hidden="1" outlineLevel="2" x14ac:dyDescent="0.55000000000000004">
      <c r="A43" s="29">
        <v>40547</v>
      </c>
      <c r="B43" s="4" t="s">
        <v>19</v>
      </c>
      <c r="C43" s="4" t="s">
        <v>17</v>
      </c>
      <c r="D43" s="4" t="s">
        <v>116</v>
      </c>
      <c r="E43" s="4" t="s">
        <v>94</v>
      </c>
      <c r="F43" s="4">
        <v>29</v>
      </c>
      <c r="G43" s="33">
        <v>609</v>
      </c>
      <c r="H43" s="33">
        <v>268.25</v>
      </c>
    </row>
    <row r="44" spans="1:8" hidden="1" outlineLevel="2" x14ac:dyDescent="0.55000000000000004">
      <c r="A44" s="29">
        <v>40550</v>
      </c>
      <c r="B44" s="4" t="s">
        <v>18</v>
      </c>
      <c r="C44" s="4" t="s">
        <v>17</v>
      </c>
      <c r="D44" s="4" t="s">
        <v>126</v>
      </c>
      <c r="E44" s="4" t="s">
        <v>99</v>
      </c>
      <c r="F44" s="4">
        <v>12</v>
      </c>
      <c r="G44" s="33">
        <v>276</v>
      </c>
      <c r="H44" s="33">
        <v>132</v>
      </c>
    </row>
    <row r="45" spans="1:8" hidden="1" outlineLevel="2" x14ac:dyDescent="0.55000000000000004">
      <c r="A45" s="29">
        <v>40550</v>
      </c>
      <c r="B45" s="4" t="s">
        <v>19</v>
      </c>
      <c r="C45" s="4" t="s">
        <v>17</v>
      </c>
      <c r="D45" s="4" t="s">
        <v>116</v>
      </c>
      <c r="E45" s="4" t="s">
        <v>96</v>
      </c>
      <c r="F45" s="4">
        <v>22</v>
      </c>
      <c r="G45" s="33">
        <v>462</v>
      </c>
      <c r="H45" s="33">
        <v>203.5</v>
      </c>
    </row>
    <row r="46" spans="1:8" hidden="1" outlineLevel="2" x14ac:dyDescent="0.55000000000000004">
      <c r="A46" s="29">
        <v>40553</v>
      </c>
      <c r="B46" s="4" t="s">
        <v>14</v>
      </c>
      <c r="C46" s="4" t="s">
        <v>17</v>
      </c>
      <c r="D46" s="4" t="s">
        <v>120</v>
      </c>
      <c r="E46" s="4" t="s">
        <v>88</v>
      </c>
      <c r="F46" s="4">
        <v>7</v>
      </c>
      <c r="G46" s="33">
        <v>154</v>
      </c>
      <c r="H46" s="33">
        <v>70</v>
      </c>
    </row>
    <row r="47" spans="1:8" hidden="1" outlineLevel="2" x14ac:dyDescent="0.55000000000000004">
      <c r="A47" s="29">
        <v>40553</v>
      </c>
      <c r="B47" s="4" t="s">
        <v>16</v>
      </c>
      <c r="C47" s="4" t="s">
        <v>17</v>
      </c>
      <c r="D47" s="4" t="s">
        <v>127</v>
      </c>
      <c r="E47" s="4" t="s">
        <v>77</v>
      </c>
      <c r="F47" s="4">
        <v>8</v>
      </c>
      <c r="G47" s="33">
        <v>152</v>
      </c>
      <c r="H47" s="33">
        <v>64</v>
      </c>
    </row>
    <row r="48" spans="1:8" hidden="1" outlineLevel="2" x14ac:dyDescent="0.55000000000000004">
      <c r="A48" s="29">
        <v>40555</v>
      </c>
      <c r="B48" s="4" t="s">
        <v>19</v>
      </c>
      <c r="C48" s="4" t="s">
        <v>17</v>
      </c>
      <c r="D48" s="4" t="s">
        <v>120</v>
      </c>
      <c r="E48" s="4" t="s">
        <v>100</v>
      </c>
      <c r="F48" s="4">
        <v>19</v>
      </c>
      <c r="G48" s="33">
        <v>399</v>
      </c>
      <c r="H48" s="33">
        <v>175.75</v>
      </c>
    </row>
    <row r="49" spans="1:8" hidden="1" outlineLevel="2" x14ac:dyDescent="0.55000000000000004">
      <c r="A49" s="29">
        <v>40556</v>
      </c>
      <c r="B49" s="4" t="s">
        <v>14</v>
      </c>
      <c r="C49" s="4" t="s">
        <v>17</v>
      </c>
      <c r="D49" s="4" t="s">
        <v>121</v>
      </c>
      <c r="E49" s="4" t="s">
        <v>79</v>
      </c>
      <c r="F49" s="4">
        <v>57</v>
      </c>
      <c r="G49" s="33">
        <v>1254</v>
      </c>
      <c r="H49" s="33">
        <v>570</v>
      </c>
    </row>
    <row r="50" spans="1:8" hidden="1" outlineLevel="2" x14ac:dyDescent="0.55000000000000004">
      <c r="A50" s="29">
        <v>40556</v>
      </c>
      <c r="B50" s="4" t="s">
        <v>14</v>
      </c>
      <c r="C50" s="4" t="s">
        <v>17</v>
      </c>
      <c r="D50" s="4" t="s">
        <v>121</v>
      </c>
      <c r="E50" s="4" t="s">
        <v>90</v>
      </c>
      <c r="F50" s="4">
        <v>40</v>
      </c>
      <c r="G50" s="33">
        <v>880</v>
      </c>
      <c r="H50" s="33">
        <v>400</v>
      </c>
    </row>
    <row r="51" spans="1:8" hidden="1" outlineLevel="2" x14ac:dyDescent="0.55000000000000004">
      <c r="A51" s="29">
        <v>40556</v>
      </c>
      <c r="B51" s="4" t="s">
        <v>16</v>
      </c>
      <c r="C51" s="4" t="s">
        <v>17</v>
      </c>
      <c r="D51" s="4" t="s">
        <v>121</v>
      </c>
      <c r="E51" s="4" t="s">
        <v>90</v>
      </c>
      <c r="F51" s="4">
        <v>33</v>
      </c>
      <c r="G51" s="33">
        <v>627</v>
      </c>
      <c r="H51" s="33">
        <v>264</v>
      </c>
    </row>
    <row r="52" spans="1:8" hidden="1" outlineLevel="2" x14ac:dyDescent="0.55000000000000004">
      <c r="A52" s="29">
        <v>40558</v>
      </c>
      <c r="B52" s="4" t="s">
        <v>16</v>
      </c>
      <c r="C52" s="4" t="s">
        <v>17</v>
      </c>
      <c r="D52" s="4" t="s">
        <v>122</v>
      </c>
      <c r="E52" s="4" t="s">
        <v>83</v>
      </c>
      <c r="F52" s="4">
        <v>11</v>
      </c>
      <c r="G52" s="33">
        <v>209</v>
      </c>
      <c r="H52" s="33">
        <v>88</v>
      </c>
    </row>
    <row r="53" spans="1:8" hidden="1" outlineLevel="2" x14ac:dyDescent="0.55000000000000004">
      <c r="A53" s="29">
        <v>40559</v>
      </c>
      <c r="B53" s="4" t="s">
        <v>14</v>
      </c>
      <c r="C53" s="4" t="s">
        <v>17</v>
      </c>
      <c r="D53" s="4" t="s">
        <v>116</v>
      </c>
      <c r="E53" s="4" t="s">
        <v>83</v>
      </c>
      <c r="F53" s="4">
        <v>56</v>
      </c>
      <c r="G53" s="33">
        <v>1232</v>
      </c>
      <c r="H53" s="33">
        <v>560</v>
      </c>
    </row>
    <row r="54" spans="1:8" hidden="1" outlineLevel="2" x14ac:dyDescent="0.55000000000000004">
      <c r="A54" s="29">
        <v>40560</v>
      </c>
      <c r="B54" s="4" t="s">
        <v>12</v>
      </c>
      <c r="C54" s="4" t="s">
        <v>17</v>
      </c>
      <c r="D54" s="4" t="s">
        <v>122</v>
      </c>
      <c r="E54" s="4" t="s">
        <v>104</v>
      </c>
      <c r="F54" s="4">
        <v>61</v>
      </c>
      <c r="G54" s="33">
        <v>1647</v>
      </c>
      <c r="H54" s="33">
        <v>884.5</v>
      </c>
    </row>
    <row r="55" spans="1:8" hidden="1" outlineLevel="2" x14ac:dyDescent="0.55000000000000004">
      <c r="A55" s="29">
        <v>40560</v>
      </c>
      <c r="B55" s="4" t="s">
        <v>16</v>
      </c>
      <c r="C55" s="4" t="s">
        <v>17</v>
      </c>
      <c r="D55" s="4" t="s">
        <v>126</v>
      </c>
      <c r="E55" s="4" t="s">
        <v>99</v>
      </c>
      <c r="F55" s="4">
        <v>59</v>
      </c>
      <c r="G55" s="33">
        <v>1121</v>
      </c>
      <c r="H55" s="33">
        <v>472</v>
      </c>
    </row>
    <row r="56" spans="1:8" hidden="1" outlineLevel="2" x14ac:dyDescent="0.55000000000000004">
      <c r="A56" s="29">
        <v>40560</v>
      </c>
      <c r="B56" s="4" t="s">
        <v>14</v>
      </c>
      <c r="C56" s="4" t="s">
        <v>17</v>
      </c>
      <c r="D56" s="4" t="s">
        <v>127</v>
      </c>
      <c r="E56" s="4" t="s">
        <v>96</v>
      </c>
      <c r="F56" s="4">
        <v>16</v>
      </c>
      <c r="G56" s="33">
        <v>352</v>
      </c>
      <c r="H56" s="33">
        <v>160</v>
      </c>
    </row>
    <row r="57" spans="1:8" hidden="1" outlineLevel="2" x14ac:dyDescent="0.55000000000000004">
      <c r="A57" s="29">
        <v>40561</v>
      </c>
      <c r="B57" s="4" t="s">
        <v>16</v>
      </c>
      <c r="C57" s="4" t="s">
        <v>17</v>
      </c>
      <c r="D57" s="4" t="s">
        <v>122</v>
      </c>
      <c r="E57" s="4" t="s">
        <v>96</v>
      </c>
      <c r="F57" s="4">
        <v>62</v>
      </c>
      <c r="G57" s="33">
        <v>1178</v>
      </c>
      <c r="H57" s="33">
        <v>496</v>
      </c>
    </row>
    <row r="58" spans="1:8" hidden="1" outlineLevel="2" x14ac:dyDescent="0.55000000000000004">
      <c r="A58" s="29">
        <v>40561</v>
      </c>
      <c r="B58" s="4" t="s">
        <v>12</v>
      </c>
      <c r="C58" s="4" t="s">
        <v>17</v>
      </c>
      <c r="D58" s="4" t="s">
        <v>127</v>
      </c>
      <c r="E58" s="4" t="s">
        <v>79</v>
      </c>
      <c r="F58" s="4">
        <v>17</v>
      </c>
      <c r="G58" s="33">
        <v>459</v>
      </c>
      <c r="H58" s="33">
        <v>246.5</v>
      </c>
    </row>
    <row r="59" spans="1:8" hidden="1" outlineLevel="2" x14ac:dyDescent="0.55000000000000004">
      <c r="A59" s="29">
        <v>40564</v>
      </c>
      <c r="B59" s="4" t="s">
        <v>16</v>
      </c>
      <c r="C59" s="4" t="s">
        <v>17</v>
      </c>
      <c r="D59" s="4" t="s">
        <v>121</v>
      </c>
      <c r="E59" s="4" t="s">
        <v>78</v>
      </c>
      <c r="F59" s="4">
        <v>23</v>
      </c>
      <c r="G59" s="33">
        <v>437</v>
      </c>
      <c r="H59" s="33">
        <v>184</v>
      </c>
    </row>
    <row r="60" spans="1:8" hidden="1" outlineLevel="2" x14ac:dyDescent="0.55000000000000004">
      <c r="A60" s="29">
        <v>40564</v>
      </c>
      <c r="B60" s="4" t="s">
        <v>16</v>
      </c>
      <c r="C60" s="4" t="s">
        <v>17</v>
      </c>
      <c r="D60" s="4" t="s">
        <v>127</v>
      </c>
      <c r="E60" s="4" t="s">
        <v>85</v>
      </c>
      <c r="F60" s="4">
        <v>64</v>
      </c>
      <c r="G60" s="33">
        <v>1216</v>
      </c>
      <c r="H60" s="33">
        <v>512</v>
      </c>
    </row>
    <row r="61" spans="1:8" hidden="1" outlineLevel="2" x14ac:dyDescent="0.55000000000000004">
      <c r="A61" s="29">
        <v>40567</v>
      </c>
      <c r="B61" s="4" t="s">
        <v>18</v>
      </c>
      <c r="C61" s="4" t="s">
        <v>17</v>
      </c>
      <c r="D61" s="4" t="s">
        <v>126</v>
      </c>
      <c r="E61" s="4" t="s">
        <v>94</v>
      </c>
      <c r="F61" s="4">
        <v>13</v>
      </c>
      <c r="G61" s="33">
        <v>299</v>
      </c>
      <c r="H61" s="33">
        <v>143</v>
      </c>
    </row>
    <row r="62" spans="1:8" hidden="1" outlineLevel="2" x14ac:dyDescent="0.55000000000000004">
      <c r="A62" s="29">
        <v>40568</v>
      </c>
      <c r="B62" s="4" t="s">
        <v>16</v>
      </c>
      <c r="C62" s="4" t="s">
        <v>17</v>
      </c>
      <c r="D62" s="4" t="s">
        <v>126</v>
      </c>
      <c r="E62" s="4" t="s">
        <v>92</v>
      </c>
      <c r="F62" s="4">
        <v>21</v>
      </c>
      <c r="G62" s="33">
        <v>399</v>
      </c>
      <c r="H62" s="33">
        <v>168</v>
      </c>
    </row>
    <row r="63" spans="1:8" hidden="1" outlineLevel="2" x14ac:dyDescent="0.55000000000000004">
      <c r="A63" s="29">
        <v>40569</v>
      </c>
      <c r="B63" s="4" t="s">
        <v>14</v>
      </c>
      <c r="C63" s="4" t="s">
        <v>17</v>
      </c>
      <c r="D63" s="4" t="s">
        <v>120</v>
      </c>
      <c r="E63" s="4" t="s">
        <v>90</v>
      </c>
      <c r="F63" s="4">
        <v>21</v>
      </c>
      <c r="G63" s="33">
        <v>462</v>
      </c>
      <c r="H63" s="33">
        <v>210</v>
      </c>
    </row>
    <row r="64" spans="1:8" hidden="1" outlineLevel="2" x14ac:dyDescent="0.55000000000000004">
      <c r="A64" s="29">
        <v>40571</v>
      </c>
      <c r="B64" s="4" t="s">
        <v>12</v>
      </c>
      <c r="C64" s="4" t="s">
        <v>17</v>
      </c>
      <c r="D64" s="4" t="s">
        <v>127</v>
      </c>
      <c r="E64" s="4" t="s">
        <v>83</v>
      </c>
      <c r="F64" s="4">
        <v>42</v>
      </c>
      <c r="G64" s="33">
        <v>1134</v>
      </c>
      <c r="H64" s="33">
        <v>609</v>
      </c>
    </row>
    <row r="65" spans="1:8" hidden="1" outlineLevel="2" x14ac:dyDescent="0.55000000000000004">
      <c r="A65" s="29">
        <v>40572</v>
      </c>
      <c r="B65" s="4" t="s">
        <v>12</v>
      </c>
      <c r="C65" s="4" t="s">
        <v>17</v>
      </c>
      <c r="D65" s="4" t="s">
        <v>120</v>
      </c>
      <c r="E65" s="4" t="s">
        <v>79</v>
      </c>
      <c r="F65" s="4">
        <v>10</v>
      </c>
      <c r="G65" s="33">
        <v>270</v>
      </c>
      <c r="H65" s="33">
        <v>145</v>
      </c>
    </row>
    <row r="66" spans="1:8" outlineLevel="1" collapsed="1" x14ac:dyDescent="0.55000000000000004">
      <c r="A66" s="29"/>
      <c r="B66" s="4"/>
      <c r="C66" s="22" t="s">
        <v>190</v>
      </c>
      <c r="D66" s="4"/>
      <c r="E66" s="4"/>
      <c r="F66" s="4"/>
      <c r="G66" s="33">
        <f>SUBTOTAL(9,G42:G65)</f>
        <v>15688</v>
      </c>
      <c r="H66" s="33"/>
    </row>
    <row r="67" spans="1:8" hidden="1" outlineLevel="2" x14ac:dyDescent="0.55000000000000004">
      <c r="A67" s="29">
        <v>40545</v>
      </c>
      <c r="B67" s="4" t="s">
        <v>14</v>
      </c>
      <c r="C67" s="4" t="s">
        <v>13</v>
      </c>
      <c r="D67" s="4" t="s">
        <v>120</v>
      </c>
      <c r="E67" s="4" t="s">
        <v>86</v>
      </c>
      <c r="F67" s="4">
        <v>24</v>
      </c>
      <c r="G67" s="33">
        <v>528</v>
      </c>
      <c r="H67" s="33">
        <v>240</v>
      </c>
    </row>
    <row r="68" spans="1:8" hidden="1" outlineLevel="2" x14ac:dyDescent="0.55000000000000004">
      <c r="A68" s="29">
        <v>40546</v>
      </c>
      <c r="B68" s="4" t="s">
        <v>19</v>
      </c>
      <c r="C68" s="4" t="s">
        <v>13</v>
      </c>
      <c r="D68" s="4" t="s">
        <v>121</v>
      </c>
      <c r="E68" s="4" t="s">
        <v>106</v>
      </c>
      <c r="F68" s="4">
        <v>23</v>
      </c>
      <c r="G68" s="33">
        <v>483</v>
      </c>
      <c r="H68" s="33">
        <v>212.75</v>
      </c>
    </row>
    <row r="69" spans="1:8" hidden="1" outlineLevel="2" x14ac:dyDescent="0.55000000000000004">
      <c r="A69" s="29">
        <v>40546</v>
      </c>
      <c r="B69" s="4" t="s">
        <v>16</v>
      </c>
      <c r="C69" s="4" t="s">
        <v>13</v>
      </c>
      <c r="D69" s="4" t="s">
        <v>116</v>
      </c>
      <c r="E69" s="4" t="s">
        <v>96</v>
      </c>
      <c r="F69" s="4">
        <v>6</v>
      </c>
      <c r="G69" s="33">
        <v>114</v>
      </c>
      <c r="H69" s="33">
        <v>48</v>
      </c>
    </row>
    <row r="70" spans="1:8" hidden="1" outlineLevel="2" x14ac:dyDescent="0.55000000000000004">
      <c r="A70" s="29">
        <v>40548</v>
      </c>
      <c r="B70" s="4" t="s">
        <v>19</v>
      </c>
      <c r="C70" s="4" t="s">
        <v>13</v>
      </c>
      <c r="D70" s="4" t="s">
        <v>121</v>
      </c>
      <c r="E70" s="4" t="s">
        <v>77</v>
      </c>
      <c r="F70" s="4">
        <v>57</v>
      </c>
      <c r="G70" s="33">
        <v>1197</v>
      </c>
      <c r="H70" s="33">
        <v>527.25</v>
      </c>
    </row>
    <row r="71" spans="1:8" hidden="1" outlineLevel="2" x14ac:dyDescent="0.55000000000000004">
      <c r="A71" s="29">
        <v>40549</v>
      </c>
      <c r="B71" s="4" t="s">
        <v>16</v>
      </c>
      <c r="C71" s="4" t="s">
        <v>13</v>
      </c>
      <c r="D71" s="4" t="s">
        <v>127</v>
      </c>
      <c r="E71" s="4" t="s">
        <v>85</v>
      </c>
      <c r="F71" s="4">
        <v>40</v>
      </c>
      <c r="G71" s="33">
        <v>760</v>
      </c>
      <c r="H71" s="33">
        <v>320</v>
      </c>
    </row>
    <row r="72" spans="1:8" hidden="1" outlineLevel="2" x14ac:dyDescent="0.55000000000000004">
      <c r="A72" s="29">
        <v>40552</v>
      </c>
      <c r="B72" s="4" t="s">
        <v>14</v>
      </c>
      <c r="C72" s="4" t="s">
        <v>13</v>
      </c>
      <c r="D72" s="4" t="s">
        <v>122</v>
      </c>
      <c r="E72" s="4" t="s">
        <v>106</v>
      </c>
      <c r="F72" s="4">
        <v>26</v>
      </c>
      <c r="G72" s="33">
        <v>572</v>
      </c>
      <c r="H72" s="33">
        <v>260</v>
      </c>
    </row>
    <row r="73" spans="1:8" hidden="1" outlineLevel="2" x14ac:dyDescent="0.55000000000000004">
      <c r="A73" s="29">
        <v>40552</v>
      </c>
      <c r="B73" s="4" t="s">
        <v>14</v>
      </c>
      <c r="C73" s="4" t="s">
        <v>13</v>
      </c>
      <c r="D73" s="4" t="s">
        <v>116</v>
      </c>
      <c r="E73" s="4" t="s">
        <v>85</v>
      </c>
      <c r="F73" s="4">
        <v>15</v>
      </c>
      <c r="G73" s="33">
        <v>330</v>
      </c>
      <c r="H73" s="33">
        <v>150</v>
      </c>
    </row>
    <row r="74" spans="1:8" hidden="1" outlineLevel="2" x14ac:dyDescent="0.55000000000000004">
      <c r="A74" s="29">
        <v>40553</v>
      </c>
      <c r="B74" s="4" t="s">
        <v>16</v>
      </c>
      <c r="C74" s="4" t="s">
        <v>13</v>
      </c>
      <c r="D74" s="4" t="s">
        <v>122</v>
      </c>
      <c r="E74" s="4" t="s">
        <v>98</v>
      </c>
      <c r="F74" s="4">
        <v>30</v>
      </c>
      <c r="G74" s="33">
        <v>570</v>
      </c>
      <c r="H74" s="33">
        <v>240</v>
      </c>
    </row>
    <row r="75" spans="1:8" hidden="1" outlineLevel="2" x14ac:dyDescent="0.55000000000000004">
      <c r="A75" s="29">
        <v>40553</v>
      </c>
      <c r="B75" s="4" t="s">
        <v>19</v>
      </c>
      <c r="C75" s="4" t="s">
        <v>13</v>
      </c>
      <c r="D75" s="4" t="s">
        <v>116</v>
      </c>
      <c r="E75" s="4" t="s">
        <v>105</v>
      </c>
      <c r="F75" s="4">
        <v>47</v>
      </c>
      <c r="G75" s="33">
        <v>987</v>
      </c>
      <c r="H75" s="33">
        <v>434.75</v>
      </c>
    </row>
    <row r="76" spans="1:8" hidden="1" outlineLevel="2" x14ac:dyDescent="0.55000000000000004">
      <c r="A76" s="29">
        <v>40555</v>
      </c>
      <c r="B76" s="4" t="s">
        <v>14</v>
      </c>
      <c r="C76" s="4" t="s">
        <v>13</v>
      </c>
      <c r="D76" s="4" t="s">
        <v>122</v>
      </c>
      <c r="E76" s="4" t="s">
        <v>95</v>
      </c>
      <c r="F76" s="4">
        <v>7</v>
      </c>
      <c r="G76" s="33">
        <v>154</v>
      </c>
      <c r="H76" s="33">
        <v>70</v>
      </c>
    </row>
    <row r="77" spans="1:8" hidden="1" outlineLevel="2" x14ac:dyDescent="0.55000000000000004">
      <c r="A77" s="29">
        <v>40556</v>
      </c>
      <c r="B77" s="4" t="s">
        <v>18</v>
      </c>
      <c r="C77" s="4" t="s">
        <v>13</v>
      </c>
      <c r="D77" s="4" t="s">
        <v>127</v>
      </c>
      <c r="E77" s="4" t="s">
        <v>88</v>
      </c>
      <c r="F77" s="4">
        <v>52</v>
      </c>
      <c r="G77" s="33">
        <v>1196</v>
      </c>
      <c r="H77" s="33">
        <v>572</v>
      </c>
    </row>
    <row r="78" spans="1:8" hidden="1" outlineLevel="2" x14ac:dyDescent="0.55000000000000004">
      <c r="A78" s="29">
        <v>40559</v>
      </c>
      <c r="B78" s="4" t="s">
        <v>18</v>
      </c>
      <c r="C78" s="4" t="s">
        <v>13</v>
      </c>
      <c r="D78" s="4" t="s">
        <v>127</v>
      </c>
      <c r="E78" s="4" t="s">
        <v>85</v>
      </c>
      <c r="F78" s="4">
        <v>31</v>
      </c>
      <c r="G78" s="33">
        <v>713</v>
      </c>
      <c r="H78" s="33">
        <v>341</v>
      </c>
    </row>
    <row r="79" spans="1:8" hidden="1" outlineLevel="2" x14ac:dyDescent="0.55000000000000004">
      <c r="A79" s="29">
        <v>40561</v>
      </c>
      <c r="B79" s="4" t="s">
        <v>18</v>
      </c>
      <c r="C79" s="4" t="s">
        <v>13</v>
      </c>
      <c r="D79" s="4" t="s">
        <v>127</v>
      </c>
      <c r="E79" s="4" t="s">
        <v>83</v>
      </c>
      <c r="F79" s="4">
        <v>53</v>
      </c>
      <c r="G79" s="33">
        <v>1219</v>
      </c>
      <c r="H79" s="33">
        <v>583</v>
      </c>
    </row>
    <row r="80" spans="1:8" hidden="1" outlineLevel="2" x14ac:dyDescent="0.55000000000000004">
      <c r="A80" s="29">
        <v>40562</v>
      </c>
      <c r="B80" s="4" t="s">
        <v>14</v>
      </c>
      <c r="C80" s="4" t="s">
        <v>13</v>
      </c>
      <c r="D80" s="4" t="s">
        <v>116</v>
      </c>
      <c r="E80" s="4" t="s">
        <v>97</v>
      </c>
      <c r="F80" s="4">
        <v>35</v>
      </c>
      <c r="G80" s="33">
        <v>770</v>
      </c>
      <c r="H80" s="33">
        <v>350</v>
      </c>
    </row>
    <row r="81" spans="1:8" hidden="1" outlineLevel="2" x14ac:dyDescent="0.55000000000000004">
      <c r="A81" s="29">
        <v>40564</v>
      </c>
      <c r="B81" s="4" t="s">
        <v>19</v>
      </c>
      <c r="C81" s="4" t="s">
        <v>13</v>
      </c>
      <c r="D81" s="4" t="s">
        <v>121</v>
      </c>
      <c r="E81" s="4" t="s">
        <v>99</v>
      </c>
      <c r="F81" s="4">
        <v>13</v>
      </c>
      <c r="G81" s="33">
        <v>273</v>
      </c>
      <c r="H81" s="33">
        <v>120.25</v>
      </c>
    </row>
    <row r="82" spans="1:8" hidden="1" outlineLevel="2" x14ac:dyDescent="0.55000000000000004">
      <c r="A82" s="29">
        <v>40564</v>
      </c>
      <c r="B82" s="4" t="s">
        <v>14</v>
      </c>
      <c r="C82" s="4" t="s">
        <v>13</v>
      </c>
      <c r="D82" s="4" t="s">
        <v>127</v>
      </c>
      <c r="E82" s="4" t="s">
        <v>98</v>
      </c>
      <c r="F82" s="4">
        <v>11</v>
      </c>
      <c r="G82" s="33">
        <v>242</v>
      </c>
      <c r="H82" s="33">
        <v>110</v>
      </c>
    </row>
    <row r="83" spans="1:8" hidden="1" outlineLevel="2" x14ac:dyDescent="0.55000000000000004">
      <c r="A83" s="29">
        <v>40565</v>
      </c>
      <c r="B83" s="4" t="s">
        <v>12</v>
      </c>
      <c r="C83" s="4" t="s">
        <v>13</v>
      </c>
      <c r="D83" s="4" t="s">
        <v>126</v>
      </c>
      <c r="E83" s="4" t="s">
        <v>88</v>
      </c>
      <c r="F83" s="4">
        <v>29</v>
      </c>
      <c r="G83" s="33">
        <v>783</v>
      </c>
      <c r="H83" s="33">
        <v>420.5</v>
      </c>
    </row>
    <row r="84" spans="1:8" hidden="1" outlineLevel="2" x14ac:dyDescent="0.55000000000000004">
      <c r="A84" s="29">
        <v>40565</v>
      </c>
      <c r="B84" s="4" t="s">
        <v>18</v>
      </c>
      <c r="C84" s="4" t="s">
        <v>13</v>
      </c>
      <c r="D84" s="4" t="s">
        <v>127</v>
      </c>
      <c r="E84" s="4" t="s">
        <v>86</v>
      </c>
      <c r="F84" s="4">
        <v>29</v>
      </c>
      <c r="G84" s="33">
        <v>667</v>
      </c>
      <c r="H84" s="33">
        <v>319</v>
      </c>
    </row>
    <row r="85" spans="1:8" hidden="1" outlineLevel="2" x14ac:dyDescent="0.55000000000000004">
      <c r="A85" s="29">
        <v>40566</v>
      </c>
      <c r="B85" s="4" t="s">
        <v>16</v>
      </c>
      <c r="C85" s="4" t="s">
        <v>13</v>
      </c>
      <c r="D85" s="4" t="s">
        <v>122</v>
      </c>
      <c r="E85" s="4" t="s">
        <v>97</v>
      </c>
      <c r="F85" s="4">
        <v>49</v>
      </c>
      <c r="G85" s="33">
        <v>931</v>
      </c>
      <c r="H85" s="33">
        <v>392</v>
      </c>
    </row>
    <row r="86" spans="1:8" hidden="1" outlineLevel="2" x14ac:dyDescent="0.55000000000000004">
      <c r="A86" s="29">
        <v>40569</v>
      </c>
      <c r="B86" s="4" t="s">
        <v>19</v>
      </c>
      <c r="C86" s="4" t="s">
        <v>13</v>
      </c>
      <c r="D86" s="4" t="s">
        <v>116</v>
      </c>
      <c r="E86" s="4" t="s">
        <v>89</v>
      </c>
      <c r="F86" s="4">
        <v>44</v>
      </c>
      <c r="G86" s="33">
        <v>924</v>
      </c>
      <c r="H86" s="33">
        <v>407</v>
      </c>
    </row>
    <row r="87" spans="1:8" hidden="1" outlineLevel="2" x14ac:dyDescent="0.55000000000000004">
      <c r="A87" s="29">
        <v>40571</v>
      </c>
      <c r="B87" s="4" t="s">
        <v>18</v>
      </c>
      <c r="C87" s="4" t="s">
        <v>13</v>
      </c>
      <c r="D87" s="4" t="s">
        <v>126</v>
      </c>
      <c r="E87" s="4" t="s">
        <v>87</v>
      </c>
      <c r="F87" s="4">
        <v>46</v>
      </c>
      <c r="G87" s="33">
        <v>1058</v>
      </c>
      <c r="H87" s="33">
        <v>506</v>
      </c>
    </row>
    <row r="88" spans="1:8" hidden="1" outlineLevel="2" x14ac:dyDescent="0.55000000000000004">
      <c r="A88" s="29">
        <v>40571</v>
      </c>
      <c r="B88" s="4" t="s">
        <v>12</v>
      </c>
      <c r="C88" s="4" t="s">
        <v>13</v>
      </c>
      <c r="D88" s="4" t="s">
        <v>126</v>
      </c>
      <c r="E88" s="4" t="s">
        <v>83</v>
      </c>
      <c r="F88" s="4">
        <v>44</v>
      </c>
      <c r="G88" s="33">
        <v>1188</v>
      </c>
      <c r="H88" s="33">
        <v>638</v>
      </c>
    </row>
    <row r="89" spans="1:8" hidden="1" outlineLevel="2" x14ac:dyDescent="0.55000000000000004">
      <c r="A89" s="29">
        <v>40571</v>
      </c>
      <c r="B89" s="4" t="s">
        <v>12</v>
      </c>
      <c r="C89" s="4" t="s">
        <v>13</v>
      </c>
      <c r="D89" s="4" t="s">
        <v>120</v>
      </c>
      <c r="E89" s="4" t="s">
        <v>86</v>
      </c>
      <c r="F89" s="4">
        <v>56</v>
      </c>
      <c r="G89" s="33">
        <v>1512</v>
      </c>
      <c r="H89" s="33">
        <v>812</v>
      </c>
    </row>
    <row r="90" spans="1:8" hidden="1" outlineLevel="2" x14ac:dyDescent="0.55000000000000004">
      <c r="A90" s="29">
        <v>40571</v>
      </c>
      <c r="B90" s="4" t="s">
        <v>14</v>
      </c>
      <c r="C90" s="4" t="s">
        <v>13</v>
      </c>
      <c r="D90" s="4" t="s">
        <v>116</v>
      </c>
      <c r="E90" s="4" t="s">
        <v>85</v>
      </c>
      <c r="F90" s="4">
        <v>25</v>
      </c>
      <c r="G90" s="33">
        <v>550</v>
      </c>
      <c r="H90" s="33">
        <v>250</v>
      </c>
    </row>
    <row r="91" spans="1:8" hidden="1" outlineLevel="2" x14ac:dyDescent="0.55000000000000004">
      <c r="A91" s="29">
        <v>40571</v>
      </c>
      <c r="B91" s="4" t="s">
        <v>16</v>
      </c>
      <c r="C91" s="4" t="s">
        <v>13</v>
      </c>
      <c r="D91" s="4" t="s">
        <v>127</v>
      </c>
      <c r="E91" s="4" t="s">
        <v>82</v>
      </c>
      <c r="F91" s="4">
        <v>51</v>
      </c>
      <c r="G91" s="33">
        <v>969</v>
      </c>
      <c r="H91" s="33">
        <v>408</v>
      </c>
    </row>
    <row r="92" spans="1:8" hidden="1" outlineLevel="2" x14ac:dyDescent="0.55000000000000004">
      <c r="A92" s="29">
        <v>40573</v>
      </c>
      <c r="B92" s="4" t="s">
        <v>12</v>
      </c>
      <c r="C92" s="4" t="s">
        <v>13</v>
      </c>
      <c r="D92" s="4" t="s">
        <v>116</v>
      </c>
      <c r="E92" s="4" t="s">
        <v>77</v>
      </c>
      <c r="F92" s="4">
        <v>25</v>
      </c>
      <c r="G92" s="33">
        <v>675</v>
      </c>
      <c r="H92" s="33">
        <v>362.5</v>
      </c>
    </row>
    <row r="93" spans="1:8" hidden="1" outlineLevel="2" x14ac:dyDescent="0.55000000000000004">
      <c r="A93" s="29">
        <v>40573</v>
      </c>
      <c r="B93" s="4" t="s">
        <v>16</v>
      </c>
      <c r="C93" s="4" t="s">
        <v>13</v>
      </c>
      <c r="D93" s="4" t="s">
        <v>116</v>
      </c>
      <c r="E93" s="4" t="s">
        <v>77</v>
      </c>
      <c r="F93" s="4">
        <v>23</v>
      </c>
      <c r="G93" s="33">
        <v>437</v>
      </c>
      <c r="H93" s="33">
        <v>184</v>
      </c>
    </row>
    <row r="94" spans="1:8" outlineLevel="1" collapsed="1" x14ac:dyDescent="0.55000000000000004">
      <c r="A94" s="29"/>
      <c r="B94" s="4"/>
      <c r="C94" s="22" t="s">
        <v>191</v>
      </c>
      <c r="D94" s="4"/>
      <c r="E94" s="4"/>
      <c r="F94" s="4"/>
      <c r="G94" s="33">
        <f>SUBTOTAL(9,G67:G93)</f>
        <v>19802</v>
      </c>
      <c r="H94" s="33"/>
    </row>
    <row r="95" spans="1:8" hidden="1" outlineLevel="2" x14ac:dyDescent="0.55000000000000004">
      <c r="A95" s="29">
        <v>40545</v>
      </c>
      <c r="B95" s="4" t="s">
        <v>14</v>
      </c>
      <c r="C95" s="4" t="s">
        <v>15</v>
      </c>
      <c r="D95" s="4" t="s">
        <v>121</v>
      </c>
      <c r="E95" s="4" t="s">
        <v>103</v>
      </c>
      <c r="F95" s="4">
        <v>19</v>
      </c>
      <c r="G95" s="33">
        <v>418</v>
      </c>
      <c r="H95" s="33">
        <v>190</v>
      </c>
    </row>
    <row r="96" spans="1:8" hidden="1" outlineLevel="2" x14ac:dyDescent="0.55000000000000004">
      <c r="A96" s="29">
        <v>40545</v>
      </c>
      <c r="B96" s="4" t="s">
        <v>12</v>
      </c>
      <c r="C96" s="4" t="s">
        <v>15</v>
      </c>
      <c r="D96" s="4" t="s">
        <v>121</v>
      </c>
      <c r="E96" s="4" t="s">
        <v>80</v>
      </c>
      <c r="F96" s="4">
        <v>30</v>
      </c>
      <c r="G96" s="33">
        <v>810</v>
      </c>
      <c r="H96" s="33">
        <v>435</v>
      </c>
    </row>
    <row r="97" spans="1:8" hidden="1" outlineLevel="2" x14ac:dyDescent="0.55000000000000004">
      <c r="A97" s="29">
        <v>40548</v>
      </c>
      <c r="B97" s="4" t="s">
        <v>18</v>
      </c>
      <c r="C97" s="4" t="s">
        <v>15</v>
      </c>
      <c r="D97" s="4" t="s">
        <v>126</v>
      </c>
      <c r="E97" s="4" t="s">
        <v>107</v>
      </c>
      <c r="F97" s="4">
        <v>60</v>
      </c>
      <c r="G97" s="33">
        <v>1380</v>
      </c>
      <c r="H97" s="33">
        <v>660</v>
      </c>
    </row>
    <row r="98" spans="1:8" hidden="1" outlineLevel="2" x14ac:dyDescent="0.55000000000000004">
      <c r="A98" s="29">
        <v>40548</v>
      </c>
      <c r="B98" s="4" t="s">
        <v>16</v>
      </c>
      <c r="C98" s="4" t="s">
        <v>15</v>
      </c>
      <c r="D98" s="4" t="s">
        <v>126</v>
      </c>
      <c r="E98" s="4" t="s">
        <v>101</v>
      </c>
      <c r="F98" s="4">
        <v>12</v>
      </c>
      <c r="G98" s="33">
        <v>228</v>
      </c>
      <c r="H98" s="33">
        <v>96</v>
      </c>
    </row>
    <row r="99" spans="1:8" hidden="1" outlineLevel="2" x14ac:dyDescent="0.55000000000000004">
      <c r="A99" s="29">
        <v>40549</v>
      </c>
      <c r="B99" s="4" t="s">
        <v>18</v>
      </c>
      <c r="C99" s="4" t="s">
        <v>15</v>
      </c>
      <c r="D99" s="4" t="s">
        <v>116</v>
      </c>
      <c r="E99" s="4" t="s">
        <v>91</v>
      </c>
      <c r="F99" s="4">
        <v>18</v>
      </c>
      <c r="G99" s="33">
        <v>414</v>
      </c>
      <c r="H99" s="33">
        <v>198</v>
      </c>
    </row>
    <row r="100" spans="1:8" hidden="1" outlineLevel="2" x14ac:dyDescent="0.55000000000000004">
      <c r="A100" s="29">
        <v>40549</v>
      </c>
      <c r="B100" s="4" t="s">
        <v>12</v>
      </c>
      <c r="C100" s="4" t="s">
        <v>15</v>
      </c>
      <c r="D100" s="4" t="s">
        <v>116</v>
      </c>
      <c r="E100" s="4" t="s">
        <v>96</v>
      </c>
      <c r="F100" s="4">
        <v>64</v>
      </c>
      <c r="G100" s="33">
        <v>1728</v>
      </c>
      <c r="H100" s="33">
        <v>928</v>
      </c>
    </row>
    <row r="101" spans="1:8" hidden="1" outlineLevel="2" x14ac:dyDescent="0.55000000000000004">
      <c r="A101" s="29">
        <v>40550</v>
      </c>
      <c r="B101" s="4" t="s">
        <v>19</v>
      </c>
      <c r="C101" s="4" t="s">
        <v>15</v>
      </c>
      <c r="D101" s="4" t="s">
        <v>121</v>
      </c>
      <c r="E101" s="4" t="s">
        <v>97</v>
      </c>
      <c r="F101" s="4">
        <v>61</v>
      </c>
      <c r="G101" s="33">
        <v>1281</v>
      </c>
      <c r="H101" s="33">
        <v>564.25</v>
      </c>
    </row>
    <row r="102" spans="1:8" hidden="1" outlineLevel="2" x14ac:dyDescent="0.55000000000000004">
      <c r="A102" s="29">
        <v>40550</v>
      </c>
      <c r="B102" s="4" t="s">
        <v>19</v>
      </c>
      <c r="C102" s="4" t="s">
        <v>15</v>
      </c>
      <c r="D102" s="4" t="s">
        <v>121</v>
      </c>
      <c r="E102" s="4" t="s">
        <v>95</v>
      </c>
      <c r="F102" s="4">
        <v>53</v>
      </c>
      <c r="G102" s="33">
        <v>1113</v>
      </c>
      <c r="H102" s="33">
        <v>490.25</v>
      </c>
    </row>
    <row r="103" spans="1:8" hidden="1" outlineLevel="2" x14ac:dyDescent="0.55000000000000004">
      <c r="A103" s="29">
        <v>40550</v>
      </c>
      <c r="B103" s="4" t="s">
        <v>14</v>
      </c>
      <c r="C103" s="4" t="s">
        <v>15</v>
      </c>
      <c r="D103" s="4" t="s">
        <v>127</v>
      </c>
      <c r="E103" s="4" t="s">
        <v>97</v>
      </c>
      <c r="F103" s="4">
        <v>27</v>
      </c>
      <c r="G103" s="33">
        <v>594</v>
      </c>
      <c r="H103" s="33">
        <v>270</v>
      </c>
    </row>
    <row r="104" spans="1:8" hidden="1" outlineLevel="2" x14ac:dyDescent="0.55000000000000004">
      <c r="A104" s="29">
        <v>40551</v>
      </c>
      <c r="B104" s="4" t="s">
        <v>12</v>
      </c>
      <c r="C104" s="4" t="s">
        <v>15</v>
      </c>
      <c r="D104" s="4" t="s">
        <v>122</v>
      </c>
      <c r="E104" s="4" t="s">
        <v>93</v>
      </c>
      <c r="F104" s="4">
        <v>16</v>
      </c>
      <c r="G104" s="33">
        <v>432</v>
      </c>
      <c r="H104" s="33">
        <v>232</v>
      </c>
    </row>
    <row r="105" spans="1:8" hidden="1" outlineLevel="2" x14ac:dyDescent="0.55000000000000004">
      <c r="A105" s="29">
        <v>40553</v>
      </c>
      <c r="B105" s="4" t="s">
        <v>12</v>
      </c>
      <c r="C105" s="4" t="s">
        <v>15</v>
      </c>
      <c r="D105" s="4" t="s">
        <v>127</v>
      </c>
      <c r="E105" s="4" t="s">
        <v>86</v>
      </c>
      <c r="F105" s="4">
        <v>65</v>
      </c>
      <c r="G105" s="33">
        <v>1755</v>
      </c>
      <c r="H105" s="33">
        <v>942.5</v>
      </c>
    </row>
    <row r="106" spans="1:8" hidden="1" outlineLevel="2" x14ac:dyDescent="0.55000000000000004">
      <c r="A106" s="29">
        <v>40560</v>
      </c>
      <c r="B106" s="4" t="s">
        <v>12</v>
      </c>
      <c r="C106" s="4" t="s">
        <v>15</v>
      </c>
      <c r="D106" s="4" t="s">
        <v>122</v>
      </c>
      <c r="E106" s="4" t="s">
        <v>96</v>
      </c>
      <c r="F106" s="4">
        <v>10</v>
      </c>
      <c r="G106" s="33">
        <v>270</v>
      </c>
      <c r="H106" s="33">
        <v>145</v>
      </c>
    </row>
    <row r="107" spans="1:8" hidden="1" outlineLevel="2" x14ac:dyDescent="0.55000000000000004">
      <c r="A107" s="29">
        <v>40561</v>
      </c>
      <c r="B107" s="4" t="s">
        <v>16</v>
      </c>
      <c r="C107" s="4" t="s">
        <v>15</v>
      </c>
      <c r="D107" s="4" t="s">
        <v>116</v>
      </c>
      <c r="E107" s="4" t="s">
        <v>80</v>
      </c>
      <c r="F107" s="4">
        <v>8</v>
      </c>
      <c r="G107" s="33">
        <v>152</v>
      </c>
      <c r="H107" s="33">
        <v>64</v>
      </c>
    </row>
    <row r="108" spans="1:8" hidden="1" outlineLevel="2" x14ac:dyDescent="0.55000000000000004">
      <c r="A108" s="29">
        <v>40563</v>
      </c>
      <c r="B108" s="4" t="s">
        <v>16</v>
      </c>
      <c r="C108" s="4" t="s">
        <v>15</v>
      </c>
      <c r="D108" s="4" t="s">
        <v>116</v>
      </c>
      <c r="E108" s="4" t="s">
        <v>83</v>
      </c>
      <c r="F108" s="4">
        <v>58</v>
      </c>
      <c r="G108" s="33">
        <v>1102</v>
      </c>
      <c r="H108" s="33">
        <v>464</v>
      </c>
    </row>
    <row r="109" spans="1:8" hidden="1" outlineLevel="2" x14ac:dyDescent="0.55000000000000004">
      <c r="A109" s="29">
        <v>40564</v>
      </c>
      <c r="B109" s="4" t="s">
        <v>12</v>
      </c>
      <c r="C109" s="4" t="s">
        <v>15</v>
      </c>
      <c r="D109" s="4" t="s">
        <v>120</v>
      </c>
      <c r="E109" s="4" t="s">
        <v>100</v>
      </c>
      <c r="F109" s="4">
        <v>56</v>
      </c>
      <c r="G109" s="33">
        <v>1512</v>
      </c>
      <c r="H109" s="33">
        <v>812</v>
      </c>
    </row>
    <row r="110" spans="1:8" hidden="1" outlineLevel="2" x14ac:dyDescent="0.55000000000000004">
      <c r="A110" s="29">
        <v>40565</v>
      </c>
      <c r="B110" s="4" t="s">
        <v>14</v>
      </c>
      <c r="C110" s="4" t="s">
        <v>15</v>
      </c>
      <c r="D110" s="4" t="s">
        <v>121</v>
      </c>
      <c r="E110" s="4" t="s">
        <v>80</v>
      </c>
      <c r="F110" s="4">
        <v>53</v>
      </c>
      <c r="G110" s="33">
        <v>1166</v>
      </c>
      <c r="H110" s="33">
        <v>530</v>
      </c>
    </row>
    <row r="111" spans="1:8" hidden="1" outlineLevel="2" x14ac:dyDescent="0.55000000000000004">
      <c r="A111" s="29">
        <v>40565</v>
      </c>
      <c r="B111" s="4" t="s">
        <v>14</v>
      </c>
      <c r="C111" s="4" t="s">
        <v>15</v>
      </c>
      <c r="D111" s="4" t="s">
        <v>116</v>
      </c>
      <c r="E111" s="4" t="s">
        <v>83</v>
      </c>
      <c r="F111" s="4">
        <v>35</v>
      </c>
      <c r="G111" s="33">
        <v>770</v>
      </c>
      <c r="H111" s="33">
        <v>350</v>
      </c>
    </row>
    <row r="112" spans="1:8" hidden="1" outlineLevel="2" x14ac:dyDescent="0.55000000000000004">
      <c r="A112" s="29">
        <v>40565</v>
      </c>
      <c r="B112" s="4" t="s">
        <v>14</v>
      </c>
      <c r="C112" s="4" t="s">
        <v>15</v>
      </c>
      <c r="D112" s="4" t="s">
        <v>127</v>
      </c>
      <c r="E112" s="4" t="s">
        <v>95</v>
      </c>
      <c r="F112" s="4">
        <v>6</v>
      </c>
      <c r="G112" s="33">
        <v>132</v>
      </c>
      <c r="H112" s="33">
        <v>60</v>
      </c>
    </row>
    <row r="113" spans="1:17" hidden="1" outlineLevel="2" x14ac:dyDescent="0.55000000000000004">
      <c r="A113" s="29">
        <v>40567</v>
      </c>
      <c r="B113" s="4" t="s">
        <v>12</v>
      </c>
      <c r="C113" s="4" t="s">
        <v>15</v>
      </c>
      <c r="D113" s="4" t="s">
        <v>120</v>
      </c>
      <c r="E113" s="4" t="s">
        <v>93</v>
      </c>
      <c r="F113" s="4">
        <v>63</v>
      </c>
      <c r="G113" s="33">
        <v>1701</v>
      </c>
      <c r="H113" s="33">
        <v>913.5</v>
      </c>
    </row>
    <row r="114" spans="1:17" hidden="1" outlineLevel="2" x14ac:dyDescent="0.55000000000000004">
      <c r="A114" s="29">
        <v>40569</v>
      </c>
      <c r="B114" s="4" t="s">
        <v>14</v>
      </c>
      <c r="C114" s="4" t="s">
        <v>15</v>
      </c>
      <c r="D114" s="4" t="s">
        <v>121</v>
      </c>
      <c r="E114" s="4" t="s">
        <v>82</v>
      </c>
      <c r="F114" s="4">
        <v>61</v>
      </c>
      <c r="G114" s="33">
        <v>5000</v>
      </c>
      <c r="H114" s="33">
        <v>610</v>
      </c>
    </row>
    <row r="115" spans="1:17" hidden="1" outlineLevel="2" x14ac:dyDescent="0.55000000000000004">
      <c r="A115" s="29">
        <v>40570</v>
      </c>
      <c r="B115" s="4" t="s">
        <v>18</v>
      </c>
      <c r="C115" s="4" t="s">
        <v>15</v>
      </c>
      <c r="D115" s="4" t="s">
        <v>120</v>
      </c>
      <c r="E115" s="4" t="s">
        <v>85</v>
      </c>
      <c r="F115" s="4">
        <v>10</v>
      </c>
      <c r="G115" s="33">
        <v>230</v>
      </c>
      <c r="H115" s="33">
        <v>110</v>
      </c>
    </row>
    <row r="116" spans="1:17" hidden="1" outlineLevel="2" x14ac:dyDescent="0.55000000000000004">
      <c r="A116" s="29">
        <v>40571</v>
      </c>
      <c r="B116" s="4" t="s">
        <v>19</v>
      </c>
      <c r="C116" s="4" t="s">
        <v>15</v>
      </c>
      <c r="D116" s="4" t="s">
        <v>122</v>
      </c>
      <c r="E116" s="4" t="s">
        <v>88</v>
      </c>
      <c r="F116" s="4">
        <v>62</v>
      </c>
      <c r="G116" s="33">
        <v>1302</v>
      </c>
      <c r="H116" s="33">
        <v>573.5</v>
      </c>
    </row>
    <row r="117" spans="1:17" hidden="1" outlineLevel="2" x14ac:dyDescent="0.55000000000000004">
      <c r="A117" s="29">
        <v>40571</v>
      </c>
      <c r="B117" s="4" t="s">
        <v>18</v>
      </c>
      <c r="C117" s="4" t="s">
        <v>15</v>
      </c>
      <c r="D117" s="4" t="s">
        <v>127</v>
      </c>
      <c r="E117" s="4" t="s">
        <v>81</v>
      </c>
      <c r="F117" s="4">
        <v>15</v>
      </c>
      <c r="G117" s="33">
        <v>345</v>
      </c>
      <c r="H117" s="33">
        <v>165</v>
      </c>
    </row>
    <row r="118" spans="1:17" hidden="1" outlineLevel="2" x14ac:dyDescent="0.55000000000000004">
      <c r="A118" s="29">
        <v>40573</v>
      </c>
      <c r="B118" s="4" t="s">
        <v>16</v>
      </c>
      <c r="C118" s="4" t="s">
        <v>15</v>
      </c>
      <c r="D118" s="4" t="s">
        <v>120</v>
      </c>
      <c r="E118" s="4" t="s">
        <v>78</v>
      </c>
      <c r="F118" s="4">
        <v>49</v>
      </c>
      <c r="G118" s="33">
        <v>931</v>
      </c>
      <c r="H118" s="33">
        <v>392</v>
      </c>
    </row>
    <row r="119" spans="1:17" outlineLevel="1" collapsed="1" x14ac:dyDescent="0.55000000000000004">
      <c r="A119" s="46"/>
      <c r="B119" s="35"/>
      <c r="C119" s="48" t="s">
        <v>192</v>
      </c>
      <c r="D119" s="35"/>
      <c r="E119" s="35"/>
      <c r="F119" s="35"/>
      <c r="G119" s="47">
        <f>SUBTOTAL(9,G95:G118)</f>
        <v>24766</v>
      </c>
      <c r="H119" s="47"/>
      <c r="M119" t="s">
        <v>196</v>
      </c>
    </row>
    <row r="120" spans="1:17" x14ac:dyDescent="0.55000000000000004">
      <c r="A120" s="46"/>
      <c r="B120" s="35"/>
      <c r="C120" s="48" t="s">
        <v>193</v>
      </c>
      <c r="D120" s="35"/>
      <c r="E120" s="35"/>
      <c r="F120" s="35"/>
      <c r="G120" s="47">
        <f>SUBTOTAL(9,G11:G118)</f>
        <v>85157</v>
      </c>
      <c r="H120" s="47"/>
      <c r="J120" s="7" t="s">
        <v>73</v>
      </c>
      <c r="K120" s="7" t="s">
        <v>9</v>
      </c>
      <c r="L120" s="7" t="s">
        <v>8</v>
      </c>
      <c r="M120" s="7" t="s">
        <v>110</v>
      </c>
      <c r="N120" s="7" t="s">
        <v>72</v>
      </c>
      <c r="O120" s="7" t="s">
        <v>109</v>
      </c>
      <c r="P120" s="7" t="s">
        <v>10</v>
      </c>
      <c r="Q120" s="7" t="s">
        <v>108</v>
      </c>
    </row>
    <row r="121" spans="1:17" x14ac:dyDescent="0.55000000000000004">
      <c r="J121" s="29"/>
      <c r="K121" s="4"/>
      <c r="L121" s="22" t="s">
        <v>189</v>
      </c>
      <c r="M121" s="4"/>
      <c r="N121" s="4"/>
      <c r="O121" s="4"/>
      <c r="P121" s="33">
        <v>24901</v>
      </c>
      <c r="Q121" s="33"/>
    </row>
    <row r="122" spans="1:17" x14ac:dyDescent="0.55000000000000004">
      <c r="J122" s="29"/>
      <c r="K122" s="4"/>
      <c r="L122" s="22" t="s">
        <v>190</v>
      </c>
      <c r="M122" s="4"/>
      <c r="N122" s="4"/>
      <c r="O122" s="4"/>
      <c r="P122" s="33">
        <v>15688</v>
      </c>
      <c r="Q122" s="33"/>
    </row>
    <row r="123" spans="1:17" x14ac:dyDescent="0.55000000000000004">
      <c r="J123" s="29"/>
      <c r="K123" s="4"/>
      <c r="L123" s="22" t="s">
        <v>191</v>
      </c>
      <c r="M123" s="4"/>
      <c r="N123" s="4"/>
      <c r="O123" s="4"/>
      <c r="P123" s="33">
        <v>19802</v>
      </c>
      <c r="Q123" s="33"/>
    </row>
    <row r="124" spans="1:17" x14ac:dyDescent="0.55000000000000004">
      <c r="J124" s="46"/>
      <c r="K124" s="35"/>
      <c r="L124" s="48" t="s">
        <v>192</v>
      </c>
      <c r="M124" s="35"/>
      <c r="N124" s="35"/>
      <c r="O124" s="35"/>
      <c r="P124" s="47">
        <v>24766</v>
      </c>
      <c r="Q124" s="47"/>
    </row>
    <row r="125" spans="1:17" x14ac:dyDescent="0.55000000000000004">
      <c r="J125" s="46"/>
      <c r="K125" s="35"/>
      <c r="L125" s="48" t="s">
        <v>193</v>
      </c>
      <c r="M125" s="35"/>
      <c r="N125" s="35"/>
      <c r="O125" s="35"/>
      <c r="P125" s="47">
        <v>85157</v>
      </c>
      <c r="Q125" s="47"/>
    </row>
  </sheetData>
  <sortState xmlns:xlrd2="http://schemas.microsoft.com/office/spreadsheetml/2017/richdata2" ref="A11:H118">
    <sortCondition ref="C11:C118"/>
  </sortState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1"/>
  <sheetViews>
    <sheetView tabSelected="1" topLeftCell="A4" workbookViewId="0">
      <selection activeCell="J6" sqref="J6"/>
    </sheetView>
  </sheetViews>
  <sheetFormatPr defaultRowHeight="14.4" outlineLevelRow="3" x14ac:dyDescent="0.55000000000000004"/>
  <sheetData>
    <row r="1" spans="1:10" x14ac:dyDescent="0.55000000000000004">
      <c r="A1" t="s">
        <v>128</v>
      </c>
    </row>
    <row r="2" spans="1:10" x14ac:dyDescent="0.55000000000000004">
      <c r="A2" t="s">
        <v>129</v>
      </c>
    </row>
    <row r="3" spans="1:10" x14ac:dyDescent="0.55000000000000004">
      <c r="A3" t="s">
        <v>130</v>
      </c>
    </row>
    <row r="4" spans="1:10" x14ac:dyDescent="0.55000000000000004">
      <c r="A4" t="s">
        <v>131</v>
      </c>
    </row>
    <row r="5" spans="1:10" x14ac:dyDescent="0.55000000000000004">
      <c r="J5" t="s">
        <v>203</v>
      </c>
    </row>
    <row r="7" spans="1:10" x14ac:dyDescent="0.55000000000000004">
      <c r="A7" s="7" t="s">
        <v>73</v>
      </c>
      <c r="B7" s="7" t="s">
        <v>9</v>
      </c>
      <c r="C7" s="7" t="s">
        <v>8</v>
      </c>
      <c r="D7" s="7" t="s">
        <v>110</v>
      </c>
      <c r="E7" s="7" t="s">
        <v>72</v>
      </c>
      <c r="F7" s="7" t="s">
        <v>109</v>
      </c>
      <c r="G7" s="7" t="s">
        <v>10</v>
      </c>
      <c r="H7" s="7" t="s">
        <v>108</v>
      </c>
    </row>
    <row r="8" spans="1:10" hidden="1" outlineLevel="3" x14ac:dyDescent="0.55000000000000004">
      <c r="A8" s="29">
        <v>40553</v>
      </c>
      <c r="B8" s="4" t="s">
        <v>19</v>
      </c>
      <c r="C8" s="4" t="s">
        <v>11</v>
      </c>
      <c r="D8" s="4" t="s">
        <v>120</v>
      </c>
      <c r="E8" s="4" t="s">
        <v>98</v>
      </c>
      <c r="F8" s="4">
        <v>27</v>
      </c>
      <c r="G8" s="33">
        <v>567</v>
      </c>
      <c r="H8" s="33">
        <v>249.75</v>
      </c>
    </row>
    <row r="9" spans="1:10" hidden="1" outlineLevel="3" x14ac:dyDescent="0.55000000000000004">
      <c r="A9" s="29">
        <v>40558</v>
      </c>
      <c r="B9" s="4" t="s">
        <v>19</v>
      </c>
      <c r="C9" s="4" t="s">
        <v>11</v>
      </c>
      <c r="D9" s="4" t="s">
        <v>120</v>
      </c>
      <c r="E9" s="4" t="s">
        <v>80</v>
      </c>
      <c r="F9" s="4">
        <v>63</v>
      </c>
      <c r="G9" s="33">
        <v>1323</v>
      </c>
      <c r="H9" s="33">
        <v>582.75</v>
      </c>
    </row>
    <row r="10" spans="1:10" hidden="1" outlineLevel="3" x14ac:dyDescent="0.55000000000000004">
      <c r="A10" s="29">
        <v>40560</v>
      </c>
      <c r="B10" s="4" t="s">
        <v>12</v>
      </c>
      <c r="C10" s="4" t="s">
        <v>11</v>
      </c>
      <c r="D10" s="4" t="s">
        <v>120</v>
      </c>
      <c r="E10" s="4" t="s">
        <v>103</v>
      </c>
      <c r="F10" s="4">
        <v>43</v>
      </c>
      <c r="G10" s="33">
        <v>1161</v>
      </c>
      <c r="H10" s="33">
        <v>623.5</v>
      </c>
    </row>
    <row r="11" spans="1:10" hidden="1" outlineLevel="3" x14ac:dyDescent="0.55000000000000004">
      <c r="A11" s="29">
        <v>40561</v>
      </c>
      <c r="B11" s="4" t="s">
        <v>19</v>
      </c>
      <c r="C11" s="4" t="s">
        <v>11</v>
      </c>
      <c r="D11" s="4" t="s">
        <v>120</v>
      </c>
      <c r="E11" s="4" t="s">
        <v>87</v>
      </c>
      <c r="F11" s="4">
        <v>12</v>
      </c>
      <c r="G11" s="33">
        <v>252</v>
      </c>
      <c r="H11" s="33">
        <v>111</v>
      </c>
    </row>
    <row r="12" spans="1:10" hidden="1" outlineLevel="3" x14ac:dyDescent="0.55000000000000004">
      <c r="A12" s="29">
        <v>40563</v>
      </c>
      <c r="B12" s="4" t="s">
        <v>14</v>
      </c>
      <c r="C12" s="4" t="s">
        <v>11</v>
      </c>
      <c r="D12" s="4" t="s">
        <v>120</v>
      </c>
      <c r="E12" s="4" t="s">
        <v>90</v>
      </c>
      <c r="F12" s="4">
        <v>10</v>
      </c>
      <c r="G12" s="33">
        <v>220</v>
      </c>
      <c r="H12" s="33">
        <v>100</v>
      </c>
    </row>
    <row r="13" spans="1:10" hidden="1" outlineLevel="3" x14ac:dyDescent="0.55000000000000004">
      <c r="A13" s="29">
        <v>40566</v>
      </c>
      <c r="B13" s="4" t="s">
        <v>14</v>
      </c>
      <c r="C13" s="4" t="s">
        <v>11</v>
      </c>
      <c r="D13" s="4" t="s">
        <v>120</v>
      </c>
      <c r="E13" s="4" t="s">
        <v>89</v>
      </c>
      <c r="F13" s="4">
        <v>9</v>
      </c>
      <c r="G13" s="33">
        <v>198</v>
      </c>
      <c r="H13" s="33">
        <v>90</v>
      </c>
    </row>
    <row r="14" spans="1:10" hidden="1" outlineLevel="2" collapsed="1" x14ac:dyDescent="0.55000000000000004">
      <c r="A14" s="29"/>
      <c r="B14" s="4"/>
      <c r="C14" s="4"/>
      <c r="D14" s="22" t="s">
        <v>197</v>
      </c>
      <c r="E14" s="4"/>
      <c r="F14" s="4"/>
      <c r="G14" s="33">
        <f>SUBTOTAL(9,G8:G13)</f>
        <v>3721</v>
      </c>
      <c r="H14" s="33"/>
    </row>
    <row r="15" spans="1:10" hidden="1" outlineLevel="3" x14ac:dyDescent="0.55000000000000004">
      <c r="A15" s="29">
        <v>40549</v>
      </c>
      <c r="B15" s="4" t="s">
        <v>16</v>
      </c>
      <c r="C15" s="4" t="s">
        <v>11</v>
      </c>
      <c r="D15" s="4" t="s">
        <v>126</v>
      </c>
      <c r="E15" s="4" t="s">
        <v>90</v>
      </c>
      <c r="F15" s="4">
        <v>54</v>
      </c>
      <c r="G15" s="33">
        <v>1026</v>
      </c>
      <c r="H15" s="33">
        <v>432</v>
      </c>
    </row>
    <row r="16" spans="1:10" hidden="1" outlineLevel="3" x14ac:dyDescent="0.55000000000000004">
      <c r="A16" s="29">
        <v>40552</v>
      </c>
      <c r="B16" s="4" t="s">
        <v>18</v>
      </c>
      <c r="C16" s="4" t="s">
        <v>11</v>
      </c>
      <c r="D16" s="4" t="s">
        <v>126</v>
      </c>
      <c r="E16" s="4" t="s">
        <v>106</v>
      </c>
      <c r="F16" s="4">
        <v>38</v>
      </c>
      <c r="G16" s="33">
        <v>874</v>
      </c>
      <c r="H16" s="33">
        <v>418</v>
      </c>
    </row>
    <row r="17" spans="1:8" hidden="1" outlineLevel="3" x14ac:dyDescent="0.55000000000000004">
      <c r="A17" s="29">
        <v>40554</v>
      </c>
      <c r="B17" s="4" t="s">
        <v>12</v>
      </c>
      <c r="C17" s="4" t="s">
        <v>11</v>
      </c>
      <c r="D17" s="4" t="s">
        <v>126</v>
      </c>
      <c r="E17" s="4" t="s">
        <v>100</v>
      </c>
      <c r="F17" s="4">
        <v>14</v>
      </c>
      <c r="G17" s="33">
        <v>378</v>
      </c>
      <c r="H17" s="33">
        <v>203</v>
      </c>
    </row>
    <row r="18" spans="1:8" hidden="1" outlineLevel="3" x14ac:dyDescent="0.55000000000000004">
      <c r="A18" s="29">
        <v>40557</v>
      </c>
      <c r="B18" s="4" t="s">
        <v>18</v>
      </c>
      <c r="C18" s="4" t="s">
        <v>11</v>
      </c>
      <c r="D18" s="4" t="s">
        <v>126</v>
      </c>
      <c r="E18" s="4" t="s">
        <v>92</v>
      </c>
      <c r="F18" s="4">
        <v>34</v>
      </c>
      <c r="G18" s="33">
        <v>782</v>
      </c>
      <c r="H18" s="33">
        <v>374</v>
      </c>
    </row>
    <row r="19" spans="1:8" hidden="1" outlineLevel="3" x14ac:dyDescent="0.55000000000000004">
      <c r="A19" s="29">
        <v>40560</v>
      </c>
      <c r="B19" s="4" t="s">
        <v>12</v>
      </c>
      <c r="C19" s="4" t="s">
        <v>11</v>
      </c>
      <c r="D19" s="4" t="s">
        <v>126</v>
      </c>
      <c r="E19" s="4" t="s">
        <v>93</v>
      </c>
      <c r="F19" s="4">
        <v>62</v>
      </c>
      <c r="G19" s="33">
        <v>1674</v>
      </c>
      <c r="H19" s="33">
        <v>899</v>
      </c>
    </row>
    <row r="20" spans="1:8" hidden="1" outlineLevel="3" x14ac:dyDescent="0.55000000000000004">
      <c r="A20" s="29">
        <v>40561</v>
      </c>
      <c r="B20" s="4" t="s">
        <v>14</v>
      </c>
      <c r="C20" s="4" t="s">
        <v>11</v>
      </c>
      <c r="D20" s="4" t="s">
        <v>126</v>
      </c>
      <c r="E20" s="4" t="s">
        <v>89</v>
      </c>
      <c r="F20" s="4">
        <v>20</v>
      </c>
      <c r="G20" s="33">
        <v>440</v>
      </c>
      <c r="H20" s="33">
        <v>200</v>
      </c>
    </row>
    <row r="21" spans="1:8" hidden="1" outlineLevel="3" x14ac:dyDescent="0.55000000000000004">
      <c r="A21" s="29">
        <v>40561</v>
      </c>
      <c r="B21" s="4" t="s">
        <v>16</v>
      </c>
      <c r="C21" s="4" t="s">
        <v>11</v>
      </c>
      <c r="D21" s="4" t="s">
        <v>126</v>
      </c>
      <c r="E21" s="4" t="s">
        <v>102</v>
      </c>
      <c r="F21" s="4">
        <v>24</v>
      </c>
      <c r="G21" s="33">
        <v>456</v>
      </c>
      <c r="H21" s="33">
        <v>192</v>
      </c>
    </row>
    <row r="22" spans="1:8" hidden="1" outlineLevel="3" x14ac:dyDescent="0.55000000000000004">
      <c r="A22" s="29">
        <v>40566</v>
      </c>
      <c r="B22" s="4" t="s">
        <v>12</v>
      </c>
      <c r="C22" s="4" t="s">
        <v>11</v>
      </c>
      <c r="D22" s="4" t="s">
        <v>126</v>
      </c>
      <c r="E22" s="4" t="s">
        <v>96</v>
      </c>
      <c r="F22" s="4">
        <v>44</v>
      </c>
      <c r="G22" s="33">
        <v>1188</v>
      </c>
      <c r="H22" s="33">
        <v>638</v>
      </c>
    </row>
    <row r="23" spans="1:8" hidden="1" outlineLevel="2" collapsed="1" x14ac:dyDescent="0.55000000000000004">
      <c r="A23" s="29"/>
      <c r="B23" s="4"/>
      <c r="C23" s="4"/>
      <c r="D23" s="22" t="s">
        <v>198</v>
      </c>
      <c r="E23" s="4"/>
      <c r="F23" s="4"/>
      <c r="G23" s="33">
        <f>SUBTOTAL(9,G15:G22)</f>
        <v>6818</v>
      </c>
      <c r="H23" s="33"/>
    </row>
    <row r="24" spans="1:8" hidden="1" outlineLevel="3" x14ac:dyDescent="0.55000000000000004">
      <c r="A24" s="29">
        <v>40546</v>
      </c>
      <c r="B24" s="4" t="s">
        <v>16</v>
      </c>
      <c r="C24" s="4" t="s">
        <v>11</v>
      </c>
      <c r="D24" s="4" t="s">
        <v>121</v>
      </c>
      <c r="E24" s="4" t="s">
        <v>88</v>
      </c>
      <c r="F24" s="4">
        <v>38</v>
      </c>
      <c r="G24" s="33">
        <v>722</v>
      </c>
      <c r="H24" s="33">
        <v>304</v>
      </c>
    </row>
    <row r="25" spans="1:8" hidden="1" outlineLevel="3" x14ac:dyDescent="0.55000000000000004">
      <c r="A25" s="29">
        <v>40552</v>
      </c>
      <c r="B25" s="4" t="s">
        <v>14</v>
      </c>
      <c r="C25" s="4" t="s">
        <v>11</v>
      </c>
      <c r="D25" s="4" t="s">
        <v>121</v>
      </c>
      <c r="E25" s="4" t="s">
        <v>104</v>
      </c>
      <c r="F25" s="4">
        <v>40</v>
      </c>
      <c r="G25" s="33">
        <v>880</v>
      </c>
      <c r="H25" s="33">
        <v>400</v>
      </c>
    </row>
    <row r="26" spans="1:8" hidden="1" outlineLevel="3" x14ac:dyDescent="0.55000000000000004">
      <c r="A26" s="29">
        <v>40553</v>
      </c>
      <c r="B26" s="4" t="s">
        <v>18</v>
      </c>
      <c r="C26" s="4" t="s">
        <v>11</v>
      </c>
      <c r="D26" s="4" t="s">
        <v>121</v>
      </c>
      <c r="E26" s="4" t="s">
        <v>102</v>
      </c>
      <c r="F26" s="4">
        <v>63</v>
      </c>
      <c r="G26" s="33">
        <v>1449</v>
      </c>
      <c r="H26" s="33">
        <v>693</v>
      </c>
    </row>
    <row r="27" spans="1:8" hidden="1" outlineLevel="3" x14ac:dyDescent="0.55000000000000004">
      <c r="A27" s="29">
        <v>40561</v>
      </c>
      <c r="B27" s="4" t="s">
        <v>14</v>
      </c>
      <c r="C27" s="4" t="s">
        <v>11</v>
      </c>
      <c r="D27" s="4" t="s">
        <v>121</v>
      </c>
      <c r="E27" s="4" t="s">
        <v>78</v>
      </c>
      <c r="F27" s="4">
        <v>59</v>
      </c>
      <c r="G27" s="33">
        <v>1298</v>
      </c>
      <c r="H27" s="33">
        <v>590</v>
      </c>
    </row>
    <row r="28" spans="1:8" hidden="1" outlineLevel="3" x14ac:dyDescent="0.55000000000000004">
      <c r="A28" s="29">
        <v>40566</v>
      </c>
      <c r="B28" s="4" t="s">
        <v>12</v>
      </c>
      <c r="C28" s="4" t="s">
        <v>11</v>
      </c>
      <c r="D28" s="4" t="s">
        <v>121</v>
      </c>
      <c r="E28" s="4" t="s">
        <v>95</v>
      </c>
      <c r="F28" s="4">
        <v>22</v>
      </c>
      <c r="G28" s="33">
        <v>594</v>
      </c>
      <c r="H28" s="33">
        <v>319</v>
      </c>
    </row>
    <row r="29" spans="1:8" hidden="1" outlineLevel="2" collapsed="1" x14ac:dyDescent="0.55000000000000004">
      <c r="A29" s="29"/>
      <c r="B29" s="4"/>
      <c r="C29" s="4"/>
      <c r="D29" s="22" t="s">
        <v>199</v>
      </c>
      <c r="E29" s="4"/>
      <c r="F29" s="4"/>
      <c r="G29" s="33">
        <f>SUBTOTAL(9,G24:G28)</f>
        <v>4943</v>
      </c>
      <c r="H29" s="33"/>
    </row>
    <row r="30" spans="1:8" hidden="1" outlineLevel="3" x14ac:dyDescent="0.55000000000000004">
      <c r="A30" s="29">
        <v>40552</v>
      </c>
      <c r="B30" s="4" t="s">
        <v>16</v>
      </c>
      <c r="C30" s="4" t="s">
        <v>11</v>
      </c>
      <c r="D30" s="4" t="s">
        <v>127</v>
      </c>
      <c r="E30" s="4" t="s">
        <v>96</v>
      </c>
      <c r="F30" s="4">
        <v>42</v>
      </c>
      <c r="G30" s="33">
        <v>798</v>
      </c>
      <c r="H30" s="33">
        <v>336</v>
      </c>
    </row>
    <row r="31" spans="1:8" hidden="1" outlineLevel="3" x14ac:dyDescent="0.55000000000000004">
      <c r="A31" s="29">
        <v>40553</v>
      </c>
      <c r="B31" s="4" t="s">
        <v>12</v>
      </c>
      <c r="C31" s="4" t="s">
        <v>11</v>
      </c>
      <c r="D31" s="4" t="s">
        <v>127</v>
      </c>
      <c r="E31" s="4" t="s">
        <v>78</v>
      </c>
      <c r="F31" s="4">
        <v>17</v>
      </c>
      <c r="G31" s="33">
        <v>459</v>
      </c>
      <c r="H31" s="33">
        <v>246.5</v>
      </c>
    </row>
    <row r="32" spans="1:8" hidden="1" outlineLevel="3" x14ac:dyDescent="0.55000000000000004">
      <c r="A32" s="29">
        <v>40553</v>
      </c>
      <c r="B32" s="4" t="s">
        <v>19</v>
      </c>
      <c r="C32" s="4" t="s">
        <v>11</v>
      </c>
      <c r="D32" s="4" t="s">
        <v>127</v>
      </c>
      <c r="E32" s="4" t="s">
        <v>105</v>
      </c>
      <c r="F32" s="4">
        <v>17</v>
      </c>
      <c r="G32" s="33">
        <v>357</v>
      </c>
      <c r="H32" s="33">
        <v>157.25</v>
      </c>
    </row>
    <row r="33" spans="1:8" hidden="1" outlineLevel="3" x14ac:dyDescent="0.55000000000000004">
      <c r="A33" s="29">
        <v>40554</v>
      </c>
      <c r="B33" s="4" t="s">
        <v>12</v>
      </c>
      <c r="C33" s="4" t="s">
        <v>11</v>
      </c>
      <c r="D33" s="4" t="s">
        <v>127</v>
      </c>
      <c r="E33" s="4" t="s">
        <v>94</v>
      </c>
      <c r="F33" s="4">
        <v>49</v>
      </c>
      <c r="G33" s="33">
        <v>1323</v>
      </c>
      <c r="H33" s="33">
        <v>710.5</v>
      </c>
    </row>
    <row r="34" spans="1:8" hidden="1" outlineLevel="3" x14ac:dyDescent="0.55000000000000004">
      <c r="A34" s="29">
        <v>40571</v>
      </c>
      <c r="B34" s="4" t="s">
        <v>19</v>
      </c>
      <c r="C34" s="4" t="s">
        <v>11</v>
      </c>
      <c r="D34" s="4" t="s">
        <v>127</v>
      </c>
      <c r="E34" s="4" t="s">
        <v>84</v>
      </c>
      <c r="F34" s="4">
        <v>36</v>
      </c>
      <c r="G34" s="33">
        <v>756</v>
      </c>
      <c r="H34" s="33">
        <v>333</v>
      </c>
    </row>
    <row r="35" spans="1:8" hidden="1" outlineLevel="2" collapsed="1" x14ac:dyDescent="0.55000000000000004">
      <c r="A35" s="29"/>
      <c r="B35" s="4"/>
      <c r="C35" s="4"/>
      <c r="D35" s="22" t="s">
        <v>200</v>
      </c>
      <c r="E35" s="4"/>
      <c r="F35" s="4"/>
      <c r="G35" s="33">
        <f>SUBTOTAL(9,G30:G34)</f>
        <v>3693</v>
      </c>
      <c r="H35" s="33"/>
    </row>
    <row r="36" spans="1:8" hidden="1" outlineLevel="3" x14ac:dyDescent="0.55000000000000004">
      <c r="A36" s="29">
        <v>40563</v>
      </c>
      <c r="B36" s="4" t="s">
        <v>18</v>
      </c>
      <c r="C36" s="4" t="s">
        <v>11</v>
      </c>
      <c r="D36" s="4" t="s">
        <v>122</v>
      </c>
      <c r="E36" s="4" t="s">
        <v>101</v>
      </c>
      <c r="F36" s="4">
        <v>59</v>
      </c>
      <c r="G36" s="33">
        <v>1357</v>
      </c>
      <c r="H36" s="33">
        <v>649</v>
      </c>
    </row>
    <row r="37" spans="1:8" hidden="1" outlineLevel="3" x14ac:dyDescent="0.55000000000000004">
      <c r="A37" s="29">
        <v>40564</v>
      </c>
      <c r="B37" s="4" t="s">
        <v>12</v>
      </c>
      <c r="C37" s="4" t="s">
        <v>11</v>
      </c>
      <c r="D37" s="4" t="s">
        <v>122</v>
      </c>
      <c r="E37" s="4" t="s">
        <v>88</v>
      </c>
      <c r="F37" s="4">
        <v>58</v>
      </c>
      <c r="G37" s="33">
        <v>1566</v>
      </c>
      <c r="H37" s="33">
        <v>841</v>
      </c>
    </row>
    <row r="38" spans="1:8" hidden="1" outlineLevel="3" x14ac:dyDescent="0.55000000000000004">
      <c r="A38" s="29">
        <v>40569</v>
      </c>
      <c r="B38" s="4" t="s">
        <v>14</v>
      </c>
      <c r="C38" s="4" t="s">
        <v>11</v>
      </c>
      <c r="D38" s="4" t="s">
        <v>122</v>
      </c>
      <c r="E38" s="4" t="s">
        <v>91</v>
      </c>
      <c r="F38" s="4">
        <v>17</v>
      </c>
      <c r="G38" s="33">
        <v>374</v>
      </c>
      <c r="H38" s="33">
        <v>170</v>
      </c>
    </row>
    <row r="39" spans="1:8" hidden="1" outlineLevel="3" x14ac:dyDescent="0.55000000000000004">
      <c r="A39" s="29">
        <v>40572</v>
      </c>
      <c r="B39" s="4" t="s">
        <v>14</v>
      </c>
      <c r="C39" s="4" t="s">
        <v>11</v>
      </c>
      <c r="D39" s="4" t="s">
        <v>122</v>
      </c>
      <c r="E39" s="4" t="s">
        <v>80</v>
      </c>
      <c r="F39" s="4">
        <v>50</v>
      </c>
      <c r="G39" s="33">
        <v>1100</v>
      </c>
      <c r="H39" s="33">
        <v>500</v>
      </c>
    </row>
    <row r="40" spans="1:8" hidden="1" outlineLevel="2" collapsed="1" x14ac:dyDescent="0.55000000000000004">
      <c r="A40" s="29"/>
      <c r="B40" s="4"/>
      <c r="C40" s="4"/>
      <c r="D40" s="22" t="s">
        <v>201</v>
      </c>
      <c r="E40" s="4"/>
      <c r="F40" s="4"/>
      <c r="G40" s="33">
        <f>SUBTOTAL(9,G36:G39)</f>
        <v>4397</v>
      </c>
      <c r="H40" s="33"/>
    </row>
    <row r="41" spans="1:8" hidden="1" outlineLevel="3" x14ac:dyDescent="0.55000000000000004">
      <c r="A41" s="29">
        <v>40544</v>
      </c>
      <c r="B41" s="4" t="s">
        <v>12</v>
      </c>
      <c r="C41" s="4" t="s">
        <v>11</v>
      </c>
      <c r="D41" s="4" t="s">
        <v>116</v>
      </c>
      <c r="E41" s="4" t="s">
        <v>102</v>
      </c>
      <c r="F41" s="4">
        <v>16</v>
      </c>
      <c r="G41" s="33">
        <v>432</v>
      </c>
      <c r="H41" s="33">
        <v>232</v>
      </c>
    </row>
    <row r="42" spans="1:8" hidden="1" outlineLevel="3" x14ac:dyDescent="0.55000000000000004">
      <c r="A42" s="29">
        <v>40560</v>
      </c>
      <c r="B42" s="4" t="s">
        <v>18</v>
      </c>
      <c r="C42" s="4" t="s">
        <v>11</v>
      </c>
      <c r="D42" s="4" t="s">
        <v>116</v>
      </c>
      <c r="E42" s="4" t="s">
        <v>96</v>
      </c>
      <c r="F42" s="4">
        <v>39</v>
      </c>
      <c r="G42" s="33">
        <v>897</v>
      </c>
      <c r="H42" s="33">
        <v>429</v>
      </c>
    </row>
    <row r="43" spans="1:8" hidden="1" outlineLevel="2" collapsed="1" x14ac:dyDescent="0.55000000000000004">
      <c r="A43" s="29"/>
      <c r="B43" s="4"/>
      <c r="C43" s="4"/>
      <c r="D43" s="22" t="s">
        <v>202</v>
      </c>
      <c r="E43" s="4"/>
      <c r="F43" s="4"/>
      <c r="G43" s="33">
        <f>SUBTOTAL(9,G41:G42)</f>
        <v>1329</v>
      </c>
      <c r="H43" s="33"/>
    </row>
    <row r="44" spans="1:8" outlineLevel="1" collapsed="1" x14ac:dyDescent="0.55000000000000004">
      <c r="A44" s="29"/>
      <c r="B44" s="4"/>
      <c r="C44" s="22" t="s">
        <v>189</v>
      </c>
      <c r="D44" s="4"/>
      <c r="E44" s="4"/>
      <c r="F44" s="4"/>
      <c r="G44" s="33">
        <f>SUBTOTAL(9,G8:G42)</f>
        <v>24901</v>
      </c>
      <c r="H44" s="33"/>
    </row>
    <row r="45" spans="1:8" hidden="1" outlineLevel="3" x14ac:dyDescent="0.55000000000000004">
      <c r="A45" s="29">
        <v>40553</v>
      </c>
      <c r="B45" s="4" t="s">
        <v>14</v>
      </c>
      <c r="C45" s="4" t="s">
        <v>17</v>
      </c>
      <c r="D45" s="4" t="s">
        <v>120</v>
      </c>
      <c r="E45" s="4" t="s">
        <v>88</v>
      </c>
      <c r="F45" s="4">
        <v>7</v>
      </c>
      <c r="G45" s="33">
        <v>154</v>
      </c>
      <c r="H45" s="33">
        <v>70</v>
      </c>
    </row>
    <row r="46" spans="1:8" hidden="1" outlineLevel="3" x14ac:dyDescent="0.55000000000000004">
      <c r="A46" s="29">
        <v>40555</v>
      </c>
      <c r="B46" s="4" t="s">
        <v>19</v>
      </c>
      <c r="C46" s="4" t="s">
        <v>17</v>
      </c>
      <c r="D46" s="4" t="s">
        <v>120</v>
      </c>
      <c r="E46" s="4" t="s">
        <v>100</v>
      </c>
      <c r="F46" s="4">
        <v>19</v>
      </c>
      <c r="G46" s="33">
        <v>399</v>
      </c>
      <c r="H46" s="33">
        <v>175.75</v>
      </c>
    </row>
    <row r="47" spans="1:8" hidden="1" outlineLevel="3" x14ac:dyDescent="0.55000000000000004">
      <c r="A47" s="29">
        <v>40569</v>
      </c>
      <c r="B47" s="4" t="s">
        <v>14</v>
      </c>
      <c r="C47" s="4" t="s">
        <v>17</v>
      </c>
      <c r="D47" s="4" t="s">
        <v>120</v>
      </c>
      <c r="E47" s="4" t="s">
        <v>90</v>
      </c>
      <c r="F47" s="4">
        <v>21</v>
      </c>
      <c r="G47" s="33">
        <v>462</v>
      </c>
      <c r="H47" s="33">
        <v>210</v>
      </c>
    </row>
    <row r="48" spans="1:8" hidden="1" outlineLevel="3" x14ac:dyDescent="0.55000000000000004">
      <c r="A48" s="29">
        <v>40572</v>
      </c>
      <c r="B48" s="4" t="s">
        <v>12</v>
      </c>
      <c r="C48" s="4" t="s">
        <v>17</v>
      </c>
      <c r="D48" s="4" t="s">
        <v>120</v>
      </c>
      <c r="E48" s="4" t="s">
        <v>79</v>
      </c>
      <c r="F48" s="4">
        <v>10</v>
      </c>
      <c r="G48" s="33">
        <v>270</v>
      </c>
      <c r="H48" s="33">
        <v>145</v>
      </c>
    </row>
    <row r="49" spans="1:8" hidden="1" outlineLevel="2" collapsed="1" x14ac:dyDescent="0.55000000000000004">
      <c r="A49" s="29"/>
      <c r="B49" s="4"/>
      <c r="C49" s="4"/>
      <c r="D49" s="22" t="s">
        <v>197</v>
      </c>
      <c r="E49" s="4"/>
      <c r="F49" s="4"/>
      <c r="G49" s="33">
        <f>SUBTOTAL(9,G45:G48)</f>
        <v>1285</v>
      </c>
      <c r="H49" s="33"/>
    </row>
    <row r="50" spans="1:8" hidden="1" outlineLevel="3" x14ac:dyDescent="0.55000000000000004">
      <c r="A50" s="29">
        <v>40550</v>
      </c>
      <c r="B50" s="4" t="s">
        <v>18</v>
      </c>
      <c r="C50" s="4" t="s">
        <v>17</v>
      </c>
      <c r="D50" s="4" t="s">
        <v>126</v>
      </c>
      <c r="E50" s="4" t="s">
        <v>99</v>
      </c>
      <c r="F50" s="4">
        <v>12</v>
      </c>
      <c r="G50" s="33">
        <v>276</v>
      </c>
      <c r="H50" s="33">
        <v>132</v>
      </c>
    </row>
    <row r="51" spans="1:8" hidden="1" outlineLevel="3" x14ac:dyDescent="0.55000000000000004">
      <c r="A51" s="29">
        <v>40560</v>
      </c>
      <c r="B51" s="4" t="s">
        <v>16</v>
      </c>
      <c r="C51" s="4" t="s">
        <v>17</v>
      </c>
      <c r="D51" s="4" t="s">
        <v>126</v>
      </c>
      <c r="E51" s="4" t="s">
        <v>99</v>
      </c>
      <c r="F51" s="4">
        <v>59</v>
      </c>
      <c r="G51" s="33">
        <v>1121</v>
      </c>
      <c r="H51" s="33">
        <v>472</v>
      </c>
    </row>
    <row r="52" spans="1:8" hidden="1" outlineLevel="3" x14ac:dyDescent="0.55000000000000004">
      <c r="A52" s="29">
        <v>40567</v>
      </c>
      <c r="B52" s="4" t="s">
        <v>18</v>
      </c>
      <c r="C52" s="4" t="s">
        <v>17</v>
      </c>
      <c r="D52" s="4" t="s">
        <v>126</v>
      </c>
      <c r="E52" s="4" t="s">
        <v>94</v>
      </c>
      <c r="F52" s="4">
        <v>13</v>
      </c>
      <c r="G52" s="33">
        <v>299</v>
      </c>
      <c r="H52" s="33">
        <v>143</v>
      </c>
    </row>
    <row r="53" spans="1:8" hidden="1" outlineLevel="3" x14ac:dyDescent="0.55000000000000004">
      <c r="A53" s="29">
        <v>40568</v>
      </c>
      <c r="B53" s="4" t="s">
        <v>16</v>
      </c>
      <c r="C53" s="4" t="s">
        <v>17</v>
      </c>
      <c r="D53" s="4" t="s">
        <v>126</v>
      </c>
      <c r="E53" s="4" t="s">
        <v>92</v>
      </c>
      <c r="F53" s="4">
        <v>21</v>
      </c>
      <c r="G53" s="33">
        <v>399</v>
      </c>
      <c r="H53" s="33">
        <v>168</v>
      </c>
    </row>
    <row r="54" spans="1:8" hidden="1" outlineLevel="2" collapsed="1" x14ac:dyDescent="0.55000000000000004">
      <c r="A54" s="29"/>
      <c r="B54" s="4"/>
      <c r="C54" s="4"/>
      <c r="D54" s="22" t="s">
        <v>198</v>
      </c>
      <c r="E54" s="4"/>
      <c r="F54" s="4"/>
      <c r="G54" s="33">
        <f>SUBTOTAL(9,G50:G53)</f>
        <v>2095</v>
      </c>
      <c r="H54" s="33"/>
    </row>
    <row r="55" spans="1:8" hidden="1" outlineLevel="3" x14ac:dyDescent="0.55000000000000004">
      <c r="A55" s="29">
        <v>40556</v>
      </c>
      <c r="B55" s="4" t="s">
        <v>14</v>
      </c>
      <c r="C55" s="4" t="s">
        <v>17</v>
      </c>
      <c r="D55" s="4" t="s">
        <v>121</v>
      </c>
      <c r="E55" s="4" t="s">
        <v>79</v>
      </c>
      <c r="F55" s="4">
        <v>57</v>
      </c>
      <c r="G55" s="33">
        <v>1254</v>
      </c>
      <c r="H55" s="33">
        <v>570</v>
      </c>
    </row>
    <row r="56" spans="1:8" hidden="1" outlineLevel="3" x14ac:dyDescent="0.55000000000000004">
      <c r="A56" s="29">
        <v>40556</v>
      </c>
      <c r="B56" s="4" t="s">
        <v>14</v>
      </c>
      <c r="C56" s="4" t="s">
        <v>17</v>
      </c>
      <c r="D56" s="4" t="s">
        <v>121</v>
      </c>
      <c r="E56" s="4" t="s">
        <v>90</v>
      </c>
      <c r="F56" s="4">
        <v>40</v>
      </c>
      <c r="G56" s="33">
        <v>880</v>
      </c>
      <c r="H56" s="33">
        <v>400</v>
      </c>
    </row>
    <row r="57" spans="1:8" hidden="1" outlineLevel="3" x14ac:dyDescent="0.55000000000000004">
      <c r="A57" s="29">
        <v>40556</v>
      </c>
      <c r="B57" s="4" t="s">
        <v>16</v>
      </c>
      <c r="C57" s="4" t="s">
        <v>17</v>
      </c>
      <c r="D57" s="4" t="s">
        <v>121</v>
      </c>
      <c r="E57" s="4" t="s">
        <v>90</v>
      </c>
      <c r="F57" s="4">
        <v>33</v>
      </c>
      <c r="G57" s="33">
        <v>627</v>
      </c>
      <c r="H57" s="33">
        <v>264</v>
      </c>
    </row>
    <row r="58" spans="1:8" hidden="1" outlineLevel="3" x14ac:dyDescent="0.55000000000000004">
      <c r="A58" s="29">
        <v>40564</v>
      </c>
      <c r="B58" s="4" t="s">
        <v>16</v>
      </c>
      <c r="C58" s="4" t="s">
        <v>17</v>
      </c>
      <c r="D58" s="4" t="s">
        <v>121</v>
      </c>
      <c r="E58" s="4" t="s">
        <v>78</v>
      </c>
      <c r="F58" s="4">
        <v>23</v>
      </c>
      <c r="G58" s="33">
        <v>437</v>
      </c>
      <c r="H58" s="33">
        <v>184</v>
      </c>
    </row>
    <row r="59" spans="1:8" hidden="1" outlineLevel="2" collapsed="1" x14ac:dyDescent="0.55000000000000004">
      <c r="A59" s="29"/>
      <c r="B59" s="4"/>
      <c r="C59" s="4"/>
      <c r="D59" s="22" t="s">
        <v>199</v>
      </c>
      <c r="E59" s="4"/>
      <c r="F59" s="4"/>
      <c r="G59" s="33">
        <f>SUBTOTAL(9,G55:G58)</f>
        <v>3198</v>
      </c>
      <c r="H59" s="33"/>
    </row>
    <row r="60" spans="1:8" hidden="1" outlineLevel="3" x14ac:dyDescent="0.55000000000000004">
      <c r="A60" s="29">
        <v>40553</v>
      </c>
      <c r="B60" s="4" t="s">
        <v>16</v>
      </c>
      <c r="C60" s="4" t="s">
        <v>17</v>
      </c>
      <c r="D60" s="4" t="s">
        <v>127</v>
      </c>
      <c r="E60" s="4" t="s">
        <v>77</v>
      </c>
      <c r="F60" s="4">
        <v>8</v>
      </c>
      <c r="G60" s="33">
        <v>152</v>
      </c>
      <c r="H60" s="33">
        <v>64</v>
      </c>
    </row>
    <row r="61" spans="1:8" hidden="1" outlineLevel="3" x14ac:dyDescent="0.55000000000000004">
      <c r="A61" s="29">
        <v>40560</v>
      </c>
      <c r="B61" s="4" t="s">
        <v>14</v>
      </c>
      <c r="C61" s="4" t="s">
        <v>17</v>
      </c>
      <c r="D61" s="4" t="s">
        <v>127</v>
      </c>
      <c r="E61" s="4" t="s">
        <v>96</v>
      </c>
      <c r="F61" s="4">
        <v>16</v>
      </c>
      <c r="G61" s="33">
        <v>352</v>
      </c>
      <c r="H61" s="33">
        <v>160</v>
      </c>
    </row>
    <row r="62" spans="1:8" hidden="1" outlineLevel="3" x14ac:dyDescent="0.55000000000000004">
      <c r="A62" s="29">
        <v>40561</v>
      </c>
      <c r="B62" s="4" t="s">
        <v>12</v>
      </c>
      <c r="C62" s="4" t="s">
        <v>17</v>
      </c>
      <c r="D62" s="4" t="s">
        <v>127</v>
      </c>
      <c r="E62" s="4" t="s">
        <v>79</v>
      </c>
      <c r="F62" s="4">
        <v>17</v>
      </c>
      <c r="G62" s="33">
        <v>459</v>
      </c>
      <c r="H62" s="33">
        <v>246.5</v>
      </c>
    </row>
    <row r="63" spans="1:8" hidden="1" outlineLevel="3" x14ac:dyDescent="0.55000000000000004">
      <c r="A63" s="29">
        <v>40564</v>
      </c>
      <c r="B63" s="4" t="s">
        <v>16</v>
      </c>
      <c r="C63" s="4" t="s">
        <v>17</v>
      </c>
      <c r="D63" s="4" t="s">
        <v>127</v>
      </c>
      <c r="E63" s="4" t="s">
        <v>85</v>
      </c>
      <c r="F63" s="4">
        <v>64</v>
      </c>
      <c r="G63" s="33">
        <v>1216</v>
      </c>
      <c r="H63" s="33">
        <v>512</v>
      </c>
    </row>
    <row r="64" spans="1:8" hidden="1" outlineLevel="3" x14ac:dyDescent="0.55000000000000004">
      <c r="A64" s="29">
        <v>40571</v>
      </c>
      <c r="B64" s="4" t="s">
        <v>12</v>
      </c>
      <c r="C64" s="4" t="s">
        <v>17</v>
      </c>
      <c r="D64" s="4" t="s">
        <v>127</v>
      </c>
      <c r="E64" s="4" t="s">
        <v>83</v>
      </c>
      <c r="F64" s="4">
        <v>42</v>
      </c>
      <c r="G64" s="33">
        <v>1134</v>
      </c>
      <c r="H64" s="33">
        <v>609</v>
      </c>
    </row>
    <row r="65" spans="1:8" hidden="1" outlineLevel="2" collapsed="1" x14ac:dyDescent="0.55000000000000004">
      <c r="A65" s="29"/>
      <c r="B65" s="4"/>
      <c r="C65" s="4"/>
      <c r="D65" s="22" t="s">
        <v>200</v>
      </c>
      <c r="E65" s="4"/>
      <c r="F65" s="4"/>
      <c r="G65" s="33">
        <f>SUBTOTAL(9,G60:G64)</f>
        <v>3313</v>
      </c>
      <c r="H65" s="33"/>
    </row>
    <row r="66" spans="1:8" hidden="1" outlineLevel="3" x14ac:dyDescent="0.55000000000000004">
      <c r="A66" s="29">
        <v>40546</v>
      </c>
      <c r="B66" s="4" t="s">
        <v>18</v>
      </c>
      <c r="C66" s="4" t="s">
        <v>17</v>
      </c>
      <c r="D66" s="4" t="s">
        <v>122</v>
      </c>
      <c r="E66" s="4" t="s">
        <v>88</v>
      </c>
      <c r="F66" s="4">
        <v>20</v>
      </c>
      <c r="G66" s="33">
        <v>460</v>
      </c>
      <c r="H66" s="33">
        <v>220</v>
      </c>
    </row>
    <row r="67" spans="1:8" hidden="1" outlineLevel="3" x14ac:dyDescent="0.55000000000000004">
      <c r="A67" s="29">
        <v>40558</v>
      </c>
      <c r="B67" s="4" t="s">
        <v>16</v>
      </c>
      <c r="C67" s="4" t="s">
        <v>17</v>
      </c>
      <c r="D67" s="4" t="s">
        <v>122</v>
      </c>
      <c r="E67" s="4" t="s">
        <v>83</v>
      </c>
      <c r="F67" s="4">
        <v>11</v>
      </c>
      <c r="G67" s="33">
        <v>209</v>
      </c>
      <c r="H67" s="33">
        <v>88</v>
      </c>
    </row>
    <row r="68" spans="1:8" hidden="1" outlineLevel="3" x14ac:dyDescent="0.55000000000000004">
      <c r="A68" s="29">
        <v>40560</v>
      </c>
      <c r="B68" s="4" t="s">
        <v>12</v>
      </c>
      <c r="C68" s="4" t="s">
        <v>17</v>
      </c>
      <c r="D68" s="4" t="s">
        <v>122</v>
      </c>
      <c r="E68" s="4" t="s">
        <v>104</v>
      </c>
      <c r="F68" s="4">
        <v>61</v>
      </c>
      <c r="G68" s="33">
        <v>1647</v>
      </c>
      <c r="H68" s="33">
        <v>884.5</v>
      </c>
    </row>
    <row r="69" spans="1:8" hidden="1" outlineLevel="3" x14ac:dyDescent="0.55000000000000004">
      <c r="A69" s="29">
        <v>40561</v>
      </c>
      <c r="B69" s="4" t="s">
        <v>16</v>
      </c>
      <c r="C69" s="4" t="s">
        <v>17</v>
      </c>
      <c r="D69" s="4" t="s">
        <v>122</v>
      </c>
      <c r="E69" s="4" t="s">
        <v>96</v>
      </c>
      <c r="F69" s="4">
        <v>62</v>
      </c>
      <c r="G69" s="33">
        <v>1178</v>
      </c>
      <c r="H69" s="33">
        <v>496</v>
      </c>
    </row>
    <row r="70" spans="1:8" hidden="1" outlineLevel="2" collapsed="1" x14ac:dyDescent="0.55000000000000004">
      <c r="A70" s="29"/>
      <c r="B70" s="4"/>
      <c r="C70" s="4"/>
      <c r="D70" s="22" t="s">
        <v>201</v>
      </c>
      <c r="E70" s="4"/>
      <c r="F70" s="4"/>
      <c r="G70" s="33">
        <f>SUBTOTAL(9,G66:G69)</f>
        <v>3494</v>
      </c>
      <c r="H70" s="33"/>
    </row>
    <row r="71" spans="1:8" hidden="1" outlineLevel="3" x14ac:dyDescent="0.55000000000000004">
      <c r="A71" s="29">
        <v>40547</v>
      </c>
      <c r="B71" s="4" t="s">
        <v>19</v>
      </c>
      <c r="C71" s="4" t="s">
        <v>17</v>
      </c>
      <c r="D71" s="4" t="s">
        <v>116</v>
      </c>
      <c r="E71" s="4" t="s">
        <v>94</v>
      </c>
      <c r="F71" s="4">
        <v>29</v>
      </c>
      <c r="G71" s="33">
        <v>609</v>
      </c>
      <c r="H71" s="33">
        <v>268.25</v>
      </c>
    </row>
    <row r="72" spans="1:8" hidden="1" outlineLevel="3" x14ac:dyDescent="0.55000000000000004">
      <c r="A72" s="29">
        <v>40550</v>
      </c>
      <c r="B72" s="4" t="s">
        <v>19</v>
      </c>
      <c r="C72" s="4" t="s">
        <v>17</v>
      </c>
      <c r="D72" s="4" t="s">
        <v>116</v>
      </c>
      <c r="E72" s="4" t="s">
        <v>96</v>
      </c>
      <c r="F72" s="4">
        <v>22</v>
      </c>
      <c r="G72" s="33">
        <v>462</v>
      </c>
      <c r="H72" s="33">
        <v>203.5</v>
      </c>
    </row>
    <row r="73" spans="1:8" hidden="1" outlineLevel="3" x14ac:dyDescent="0.55000000000000004">
      <c r="A73" s="29">
        <v>40559</v>
      </c>
      <c r="B73" s="4" t="s">
        <v>14</v>
      </c>
      <c r="C73" s="4" t="s">
        <v>17</v>
      </c>
      <c r="D73" s="4" t="s">
        <v>116</v>
      </c>
      <c r="E73" s="4" t="s">
        <v>83</v>
      </c>
      <c r="F73" s="4">
        <v>56</v>
      </c>
      <c r="G73" s="33">
        <v>1232</v>
      </c>
      <c r="H73" s="33">
        <v>560</v>
      </c>
    </row>
    <row r="74" spans="1:8" hidden="1" outlineLevel="2" collapsed="1" x14ac:dyDescent="0.55000000000000004">
      <c r="A74" s="29"/>
      <c r="B74" s="4"/>
      <c r="C74" s="4"/>
      <c r="D74" s="22" t="s">
        <v>202</v>
      </c>
      <c r="E74" s="4"/>
      <c r="F74" s="4"/>
      <c r="G74" s="33">
        <f>SUBTOTAL(9,G71:G73)</f>
        <v>2303</v>
      </c>
      <c r="H74" s="33"/>
    </row>
    <row r="75" spans="1:8" outlineLevel="1" collapsed="1" x14ac:dyDescent="0.55000000000000004">
      <c r="A75" s="29"/>
      <c r="B75" s="4"/>
      <c r="C75" s="22" t="s">
        <v>190</v>
      </c>
      <c r="D75" s="4"/>
      <c r="E75" s="4"/>
      <c r="F75" s="4"/>
      <c r="G75" s="33">
        <f>SUBTOTAL(9,G45:G73)</f>
        <v>15688</v>
      </c>
      <c r="H75" s="33"/>
    </row>
    <row r="76" spans="1:8" hidden="1" outlineLevel="3" x14ac:dyDescent="0.55000000000000004">
      <c r="A76" s="29">
        <v>40545</v>
      </c>
      <c r="B76" s="4" t="s">
        <v>14</v>
      </c>
      <c r="C76" s="4" t="s">
        <v>13</v>
      </c>
      <c r="D76" s="4" t="s">
        <v>120</v>
      </c>
      <c r="E76" s="4" t="s">
        <v>86</v>
      </c>
      <c r="F76" s="4">
        <v>24</v>
      </c>
      <c r="G76" s="33">
        <v>528</v>
      </c>
      <c r="H76" s="33">
        <v>240</v>
      </c>
    </row>
    <row r="77" spans="1:8" hidden="1" outlineLevel="3" x14ac:dyDescent="0.55000000000000004">
      <c r="A77" s="29">
        <v>40571</v>
      </c>
      <c r="B77" s="4" t="s">
        <v>12</v>
      </c>
      <c r="C77" s="4" t="s">
        <v>13</v>
      </c>
      <c r="D77" s="4" t="s">
        <v>120</v>
      </c>
      <c r="E77" s="4" t="s">
        <v>86</v>
      </c>
      <c r="F77" s="4">
        <v>56</v>
      </c>
      <c r="G77" s="33">
        <v>1512</v>
      </c>
      <c r="H77" s="33">
        <v>812</v>
      </c>
    </row>
    <row r="78" spans="1:8" hidden="1" outlineLevel="2" collapsed="1" x14ac:dyDescent="0.55000000000000004">
      <c r="A78" s="29"/>
      <c r="B78" s="4"/>
      <c r="C78" s="4"/>
      <c r="D78" s="22" t="s">
        <v>197</v>
      </c>
      <c r="E78" s="4"/>
      <c r="F78" s="4"/>
      <c r="G78" s="33">
        <f>SUBTOTAL(9,G76:G77)</f>
        <v>2040</v>
      </c>
      <c r="H78" s="33"/>
    </row>
    <row r="79" spans="1:8" hidden="1" outlineLevel="3" x14ac:dyDescent="0.55000000000000004">
      <c r="A79" s="29">
        <v>40565</v>
      </c>
      <c r="B79" s="4" t="s">
        <v>12</v>
      </c>
      <c r="C79" s="4" t="s">
        <v>13</v>
      </c>
      <c r="D79" s="4" t="s">
        <v>126</v>
      </c>
      <c r="E79" s="4" t="s">
        <v>88</v>
      </c>
      <c r="F79" s="4">
        <v>29</v>
      </c>
      <c r="G79" s="33">
        <v>783</v>
      </c>
      <c r="H79" s="33">
        <v>420.5</v>
      </c>
    </row>
    <row r="80" spans="1:8" hidden="1" outlineLevel="3" x14ac:dyDescent="0.55000000000000004">
      <c r="A80" s="29">
        <v>40571</v>
      </c>
      <c r="B80" s="4" t="s">
        <v>18</v>
      </c>
      <c r="C80" s="4" t="s">
        <v>13</v>
      </c>
      <c r="D80" s="4" t="s">
        <v>126</v>
      </c>
      <c r="E80" s="4" t="s">
        <v>87</v>
      </c>
      <c r="F80" s="4">
        <v>46</v>
      </c>
      <c r="G80" s="33">
        <v>1058</v>
      </c>
      <c r="H80" s="33">
        <v>506</v>
      </c>
    </row>
    <row r="81" spans="1:8" hidden="1" outlineLevel="3" x14ac:dyDescent="0.55000000000000004">
      <c r="A81" s="29">
        <v>40571</v>
      </c>
      <c r="B81" s="4" t="s">
        <v>12</v>
      </c>
      <c r="C81" s="4" t="s">
        <v>13</v>
      </c>
      <c r="D81" s="4" t="s">
        <v>126</v>
      </c>
      <c r="E81" s="4" t="s">
        <v>83</v>
      </c>
      <c r="F81" s="4">
        <v>44</v>
      </c>
      <c r="G81" s="33">
        <v>1188</v>
      </c>
      <c r="H81" s="33">
        <v>638</v>
      </c>
    </row>
    <row r="82" spans="1:8" hidden="1" outlineLevel="2" collapsed="1" x14ac:dyDescent="0.55000000000000004">
      <c r="A82" s="29"/>
      <c r="B82" s="4"/>
      <c r="C82" s="4"/>
      <c r="D82" s="22" t="s">
        <v>198</v>
      </c>
      <c r="E82" s="4"/>
      <c r="F82" s="4"/>
      <c r="G82" s="33">
        <f>SUBTOTAL(9,G79:G81)</f>
        <v>3029</v>
      </c>
      <c r="H82" s="33"/>
    </row>
    <row r="83" spans="1:8" hidden="1" outlineLevel="3" x14ac:dyDescent="0.55000000000000004">
      <c r="A83" s="29">
        <v>40546</v>
      </c>
      <c r="B83" s="4" t="s">
        <v>19</v>
      </c>
      <c r="C83" s="4" t="s">
        <v>13</v>
      </c>
      <c r="D83" s="4" t="s">
        <v>121</v>
      </c>
      <c r="E83" s="4" t="s">
        <v>106</v>
      </c>
      <c r="F83" s="4">
        <v>23</v>
      </c>
      <c r="G83" s="33">
        <v>483</v>
      </c>
      <c r="H83" s="33">
        <v>212.75</v>
      </c>
    </row>
    <row r="84" spans="1:8" hidden="1" outlineLevel="3" x14ac:dyDescent="0.55000000000000004">
      <c r="A84" s="29">
        <v>40548</v>
      </c>
      <c r="B84" s="4" t="s">
        <v>19</v>
      </c>
      <c r="C84" s="4" t="s">
        <v>13</v>
      </c>
      <c r="D84" s="4" t="s">
        <v>121</v>
      </c>
      <c r="E84" s="4" t="s">
        <v>77</v>
      </c>
      <c r="F84" s="4">
        <v>57</v>
      </c>
      <c r="G84" s="33">
        <v>1197</v>
      </c>
      <c r="H84" s="33">
        <v>527.25</v>
      </c>
    </row>
    <row r="85" spans="1:8" hidden="1" outlineLevel="3" x14ac:dyDescent="0.55000000000000004">
      <c r="A85" s="29">
        <v>40564</v>
      </c>
      <c r="B85" s="4" t="s">
        <v>19</v>
      </c>
      <c r="C85" s="4" t="s">
        <v>13</v>
      </c>
      <c r="D85" s="4" t="s">
        <v>121</v>
      </c>
      <c r="E85" s="4" t="s">
        <v>99</v>
      </c>
      <c r="F85" s="4">
        <v>13</v>
      </c>
      <c r="G85" s="33">
        <v>273</v>
      </c>
      <c r="H85" s="33">
        <v>120.25</v>
      </c>
    </row>
    <row r="86" spans="1:8" hidden="1" outlineLevel="2" collapsed="1" x14ac:dyDescent="0.55000000000000004">
      <c r="A86" s="29"/>
      <c r="B86" s="4"/>
      <c r="C86" s="4"/>
      <c r="D86" s="22" t="s">
        <v>199</v>
      </c>
      <c r="E86" s="4"/>
      <c r="F86" s="4"/>
      <c r="G86" s="33">
        <f>SUBTOTAL(9,G83:G85)</f>
        <v>1953</v>
      </c>
      <c r="H86" s="33"/>
    </row>
    <row r="87" spans="1:8" hidden="1" outlineLevel="3" x14ac:dyDescent="0.55000000000000004">
      <c r="A87" s="29">
        <v>40549</v>
      </c>
      <c r="B87" s="4" t="s">
        <v>16</v>
      </c>
      <c r="C87" s="4" t="s">
        <v>13</v>
      </c>
      <c r="D87" s="4" t="s">
        <v>127</v>
      </c>
      <c r="E87" s="4" t="s">
        <v>85</v>
      </c>
      <c r="F87" s="4">
        <v>40</v>
      </c>
      <c r="G87" s="33">
        <v>760</v>
      </c>
      <c r="H87" s="33">
        <v>320</v>
      </c>
    </row>
    <row r="88" spans="1:8" hidden="1" outlineLevel="3" x14ac:dyDescent="0.55000000000000004">
      <c r="A88" s="29">
        <v>40556</v>
      </c>
      <c r="B88" s="4" t="s">
        <v>18</v>
      </c>
      <c r="C88" s="4" t="s">
        <v>13</v>
      </c>
      <c r="D88" s="4" t="s">
        <v>127</v>
      </c>
      <c r="E88" s="4" t="s">
        <v>88</v>
      </c>
      <c r="F88" s="4">
        <v>52</v>
      </c>
      <c r="G88" s="33">
        <v>1196</v>
      </c>
      <c r="H88" s="33">
        <v>572</v>
      </c>
    </row>
    <row r="89" spans="1:8" hidden="1" outlineLevel="3" x14ac:dyDescent="0.55000000000000004">
      <c r="A89" s="29">
        <v>40559</v>
      </c>
      <c r="B89" s="4" t="s">
        <v>18</v>
      </c>
      <c r="C89" s="4" t="s">
        <v>13</v>
      </c>
      <c r="D89" s="4" t="s">
        <v>127</v>
      </c>
      <c r="E89" s="4" t="s">
        <v>85</v>
      </c>
      <c r="F89" s="4">
        <v>31</v>
      </c>
      <c r="G89" s="33">
        <v>713</v>
      </c>
      <c r="H89" s="33">
        <v>341</v>
      </c>
    </row>
    <row r="90" spans="1:8" hidden="1" outlineLevel="3" x14ac:dyDescent="0.55000000000000004">
      <c r="A90" s="29">
        <v>40561</v>
      </c>
      <c r="B90" s="4" t="s">
        <v>18</v>
      </c>
      <c r="C90" s="4" t="s">
        <v>13</v>
      </c>
      <c r="D90" s="4" t="s">
        <v>127</v>
      </c>
      <c r="E90" s="4" t="s">
        <v>83</v>
      </c>
      <c r="F90" s="4">
        <v>53</v>
      </c>
      <c r="G90" s="33">
        <v>1219</v>
      </c>
      <c r="H90" s="33">
        <v>583</v>
      </c>
    </row>
    <row r="91" spans="1:8" hidden="1" outlineLevel="3" x14ac:dyDescent="0.55000000000000004">
      <c r="A91" s="29">
        <v>40564</v>
      </c>
      <c r="B91" s="4" t="s">
        <v>14</v>
      </c>
      <c r="C91" s="4" t="s">
        <v>13</v>
      </c>
      <c r="D91" s="4" t="s">
        <v>127</v>
      </c>
      <c r="E91" s="4" t="s">
        <v>98</v>
      </c>
      <c r="F91" s="4">
        <v>11</v>
      </c>
      <c r="G91" s="33">
        <v>242</v>
      </c>
      <c r="H91" s="33">
        <v>110</v>
      </c>
    </row>
    <row r="92" spans="1:8" hidden="1" outlineLevel="3" x14ac:dyDescent="0.55000000000000004">
      <c r="A92" s="29">
        <v>40565</v>
      </c>
      <c r="B92" s="4" t="s">
        <v>18</v>
      </c>
      <c r="C92" s="4" t="s">
        <v>13</v>
      </c>
      <c r="D92" s="4" t="s">
        <v>127</v>
      </c>
      <c r="E92" s="4" t="s">
        <v>86</v>
      </c>
      <c r="F92" s="4">
        <v>29</v>
      </c>
      <c r="G92" s="33">
        <v>667</v>
      </c>
      <c r="H92" s="33">
        <v>319</v>
      </c>
    </row>
    <row r="93" spans="1:8" hidden="1" outlineLevel="3" x14ac:dyDescent="0.55000000000000004">
      <c r="A93" s="29">
        <v>40571</v>
      </c>
      <c r="B93" s="4" t="s">
        <v>16</v>
      </c>
      <c r="C93" s="4" t="s">
        <v>13</v>
      </c>
      <c r="D93" s="4" t="s">
        <v>127</v>
      </c>
      <c r="E93" s="4" t="s">
        <v>82</v>
      </c>
      <c r="F93" s="4">
        <v>51</v>
      </c>
      <c r="G93" s="33">
        <v>969</v>
      </c>
      <c r="H93" s="33">
        <v>408</v>
      </c>
    </row>
    <row r="94" spans="1:8" hidden="1" outlineLevel="2" collapsed="1" x14ac:dyDescent="0.55000000000000004">
      <c r="A94" s="29"/>
      <c r="B94" s="4"/>
      <c r="C94" s="4"/>
      <c r="D94" s="22" t="s">
        <v>200</v>
      </c>
      <c r="E94" s="4"/>
      <c r="F94" s="4"/>
      <c r="G94" s="33">
        <f>SUBTOTAL(9,G87:G93)</f>
        <v>5766</v>
      </c>
      <c r="H94" s="33"/>
    </row>
    <row r="95" spans="1:8" hidden="1" outlineLevel="3" x14ac:dyDescent="0.55000000000000004">
      <c r="A95" s="29">
        <v>40552</v>
      </c>
      <c r="B95" s="4" t="s">
        <v>14</v>
      </c>
      <c r="C95" s="4" t="s">
        <v>13</v>
      </c>
      <c r="D95" s="4" t="s">
        <v>122</v>
      </c>
      <c r="E95" s="4" t="s">
        <v>106</v>
      </c>
      <c r="F95" s="4">
        <v>26</v>
      </c>
      <c r="G95" s="33">
        <v>572</v>
      </c>
      <c r="H95" s="33">
        <v>260</v>
      </c>
    </row>
    <row r="96" spans="1:8" hidden="1" outlineLevel="3" x14ac:dyDescent="0.55000000000000004">
      <c r="A96" s="29">
        <v>40553</v>
      </c>
      <c r="B96" s="4" t="s">
        <v>16</v>
      </c>
      <c r="C96" s="4" t="s">
        <v>13</v>
      </c>
      <c r="D96" s="4" t="s">
        <v>122</v>
      </c>
      <c r="E96" s="4" t="s">
        <v>98</v>
      </c>
      <c r="F96" s="4">
        <v>30</v>
      </c>
      <c r="G96" s="33">
        <v>570</v>
      </c>
      <c r="H96" s="33">
        <v>240</v>
      </c>
    </row>
    <row r="97" spans="1:8" hidden="1" outlineLevel="3" x14ac:dyDescent="0.55000000000000004">
      <c r="A97" s="29">
        <v>40555</v>
      </c>
      <c r="B97" s="4" t="s">
        <v>14</v>
      </c>
      <c r="C97" s="4" t="s">
        <v>13</v>
      </c>
      <c r="D97" s="4" t="s">
        <v>122</v>
      </c>
      <c r="E97" s="4" t="s">
        <v>95</v>
      </c>
      <c r="F97" s="4">
        <v>7</v>
      </c>
      <c r="G97" s="33">
        <v>154</v>
      </c>
      <c r="H97" s="33">
        <v>70</v>
      </c>
    </row>
    <row r="98" spans="1:8" hidden="1" outlineLevel="3" x14ac:dyDescent="0.55000000000000004">
      <c r="A98" s="29">
        <v>40566</v>
      </c>
      <c r="B98" s="4" t="s">
        <v>16</v>
      </c>
      <c r="C98" s="4" t="s">
        <v>13</v>
      </c>
      <c r="D98" s="4" t="s">
        <v>122</v>
      </c>
      <c r="E98" s="4" t="s">
        <v>97</v>
      </c>
      <c r="F98" s="4">
        <v>49</v>
      </c>
      <c r="G98" s="33">
        <v>931</v>
      </c>
      <c r="H98" s="33">
        <v>392</v>
      </c>
    </row>
    <row r="99" spans="1:8" hidden="1" outlineLevel="2" collapsed="1" x14ac:dyDescent="0.55000000000000004">
      <c r="A99" s="29"/>
      <c r="B99" s="4"/>
      <c r="C99" s="4"/>
      <c r="D99" s="22" t="s">
        <v>201</v>
      </c>
      <c r="E99" s="4"/>
      <c r="F99" s="4"/>
      <c r="G99" s="33">
        <f>SUBTOTAL(9,G95:G98)</f>
        <v>2227</v>
      </c>
      <c r="H99" s="33"/>
    </row>
    <row r="100" spans="1:8" hidden="1" outlineLevel="3" x14ac:dyDescent="0.55000000000000004">
      <c r="A100" s="29">
        <v>40546</v>
      </c>
      <c r="B100" s="4" t="s">
        <v>16</v>
      </c>
      <c r="C100" s="4" t="s">
        <v>13</v>
      </c>
      <c r="D100" s="4" t="s">
        <v>116</v>
      </c>
      <c r="E100" s="4" t="s">
        <v>96</v>
      </c>
      <c r="F100" s="4">
        <v>6</v>
      </c>
      <c r="G100" s="33">
        <v>114</v>
      </c>
      <c r="H100" s="33">
        <v>48</v>
      </c>
    </row>
    <row r="101" spans="1:8" hidden="1" outlineLevel="3" x14ac:dyDescent="0.55000000000000004">
      <c r="A101" s="29">
        <v>40552</v>
      </c>
      <c r="B101" s="4" t="s">
        <v>14</v>
      </c>
      <c r="C101" s="4" t="s">
        <v>13</v>
      </c>
      <c r="D101" s="4" t="s">
        <v>116</v>
      </c>
      <c r="E101" s="4" t="s">
        <v>85</v>
      </c>
      <c r="F101" s="4">
        <v>15</v>
      </c>
      <c r="G101" s="33">
        <v>330</v>
      </c>
      <c r="H101" s="33">
        <v>150</v>
      </c>
    </row>
    <row r="102" spans="1:8" hidden="1" outlineLevel="3" x14ac:dyDescent="0.55000000000000004">
      <c r="A102" s="29">
        <v>40553</v>
      </c>
      <c r="B102" s="4" t="s">
        <v>19</v>
      </c>
      <c r="C102" s="4" t="s">
        <v>13</v>
      </c>
      <c r="D102" s="4" t="s">
        <v>116</v>
      </c>
      <c r="E102" s="4" t="s">
        <v>105</v>
      </c>
      <c r="F102" s="4">
        <v>47</v>
      </c>
      <c r="G102" s="33">
        <v>987</v>
      </c>
      <c r="H102" s="33">
        <v>434.75</v>
      </c>
    </row>
    <row r="103" spans="1:8" hidden="1" outlineLevel="3" x14ac:dyDescent="0.55000000000000004">
      <c r="A103" s="29">
        <v>40562</v>
      </c>
      <c r="B103" s="4" t="s">
        <v>14</v>
      </c>
      <c r="C103" s="4" t="s">
        <v>13</v>
      </c>
      <c r="D103" s="4" t="s">
        <v>116</v>
      </c>
      <c r="E103" s="4" t="s">
        <v>97</v>
      </c>
      <c r="F103" s="4">
        <v>35</v>
      </c>
      <c r="G103" s="33">
        <v>770</v>
      </c>
      <c r="H103" s="33">
        <v>350</v>
      </c>
    </row>
    <row r="104" spans="1:8" hidden="1" outlineLevel="3" x14ac:dyDescent="0.55000000000000004">
      <c r="A104" s="29">
        <v>40569</v>
      </c>
      <c r="B104" s="4" t="s">
        <v>19</v>
      </c>
      <c r="C104" s="4" t="s">
        <v>13</v>
      </c>
      <c r="D104" s="4" t="s">
        <v>116</v>
      </c>
      <c r="E104" s="4" t="s">
        <v>89</v>
      </c>
      <c r="F104" s="4">
        <v>44</v>
      </c>
      <c r="G104" s="33">
        <v>924</v>
      </c>
      <c r="H104" s="33">
        <v>407</v>
      </c>
    </row>
    <row r="105" spans="1:8" hidden="1" outlineLevel="3" x14ac:dyDescent="0.55000000000000004">
      <c r="A105" s="29">
        <v>40571</v>
      </c>
      <c r="B105" s="4" t="s">
        <v>14</v>
      </c>
      <c r="C105" s="4" t="s">
        <v>13</v>
      </c>
      <c r="D105" s="4" t="s">
        <v>116</v>
      </c>
      <c r="E105" s="4" t="s">
        <v>85</v>
      </c>
      <c r="F105" s="4">
        <v>25</v>
      </c>
      <c r="G105" s="33">
        <v>550</v>
      </c>
      <c r="H105" s="33">
        <v>250</v>
      </c>
    </row>
    <row r="106" spans="1:8" hidden="1" outlineLevel="3" x14ac:dyDescent="0.55000000000000004">
      <c r="A106" s="29">
        <v>40573</v>
      </c>
      <c r="B106" s="4" t="s">
        <v>12</v>
      </c>
      <c r="C106" s="4" t="s">
        <v>13</v>
      </c>
      <c r="D106" s="4" t="s">
        <v>116</v>
      </c>
      <c r="E106" s="4" t="s">
        <v>77</v>
      </c>
      <c r="F106" s="4">
        <v>25</v>
      </c>
      <c r="G106" s="33">
        <v>675</v>
      </c>
      <c r="H106" s="33">
        <v>362.5</v>
      </c>
    </row>
    <row r="107" spans="1:8" hidden="1" outlineLevel="3" x14ac:dyDescent="0.55000000000000004">
      <c r="A107" s="29">
        <v>40573</v>
      </c>
      <c r="B107" s="4" t="s">
        <v>16</v>
      </c>
      <c r="C107" s="4" t="s">
        <v>13</v>
      </c>
      <c r="D107" s="4" t="s">
        <v>116</v>
      </c>
      <c r="E107" s="4" t="s">
        <v>77</v>
      </c>
      <c r="F107" s="4">
        <v>23</v>
      </c>
      <c r="G107" s="33">
        <v>437</v>
      </c>
      <c r="H107" s="33">
        <v>184</v>
      </c>
    </row>
    <row r="108" spans="1:8" hidden="1" outlineLevel="2" collapsed="1" x14ac:dyDescent="0.55000000000000004">
      <c r="A108" s="29"/>
      <c r="B108" s="4"/>
      <c r="C108" s="4"/>
      <c r="D108" s="22" t="s">
        <v>202</v>
      </c>
      <c r="E108" s="4"/>
      <c r="F108" s="4"/>
      <c r="G108" s="33">
        <f>SUBTOTAL(9,G100:G107)</f>
        <v>4787</v>
      </c>
      <c r="H108" s="33"/>
    </row>
    <row r="109" spans="1:8" outlineLevel="1" collapsed="1" x14ac:dyDescent="0.55000000000000004">
      <c r="A109" s="29"/>
      <c r="B109" s="4"/>
      <c r="C109" s="22" t="s">
        <v>191</v>
      </c>
      <c r="D109" s="4"/>
      <c r="E109" s="4"/>
      <c r="F109" s="4"/>
      <c r="G109" s="33">
        <f>SUBTOTAL(9,G76:G107)</f>
        <v>19802</v>
      </c>
      <c r="H109" s="33"/>
    </row>
    <row r="110" spans="1:8" hidden="1" outlineLevel="3" x14ac:dyDescent="0.55000000000000004">
      <c r="A110" s="29">
        <v>40564</v>
      </c>
      <c r="B110" s="4" t="s">
        <v>12</v>
      </c>
      <c r="C110" s="4" t="s">
        <v>15</v>
      </c>
      <c r="D110" s="4" t="s">
        <v>120</v>
      </c>
      <c r="E110" s="4" t="s">
        <v>100</v>
      </c>
      <c r="F110" s="4">
        <v>56</v>
      </c>
      <c r="G110" s="33">
        <v>1512</v>
      </c>
      <c r="H110" s="33">
        <v>812</v>
      </c>
    </row>
    <row r="111" spans="1:8" hidden="1" outlineLevel="3" x14ac:dyDescent="0.55000000000000004">
      <c r="A111" s="29">
        <v>40567</v>
      </c>
      <c r="B111" s="4" t="s">
        <v>12</v>
      </c>
      <c r="C111" s="4" t="s">
        <v>15</v>
      </c>
      <c r="D111" s="4" t="s">
        <v>120</v>
      </c>
      <c r="E111" s="4" t="s">
        <v>93</v>
      </c>
      <c r="F111" s="4">
        <v>63</v>
      </c>
      <c r="G111" s="33">
        <v>1701</v>
      </c>
      <c r="H111" s="33">
        <v>913.5</v>
      </c>
    </row>
    <row r="112" spans="1:8" hidden="1" outlineLevel="3" x14ac:dyDescent="0.55000000000000004">
      <c r="A112" s="29">
        <v>40570</v>
      </c>
      <c r="B112" s="4" t="s">
        <v>18</v>
      </c>
      <c r="C112" s="4" t="s">
        <v>15</v>
      </c>
      <c r="D112" s="4" t="s">
        <v>120</v>
      </c>
      <c r="E112" s="4" t="s">
        <v>85</v>
      </c>
      <c r="F112" s="4">
        <v>10</v>
      </c>
      <c r="G112" s="33">
        <v>230</v>
      </c>
      <c r="H112" s="33">
        <v>110</v>
      </c>
    </row>
    <row r="113" spans="1:8" hidden="1" outlineLevel="3" x14ac:dyDescent="0.55000000000000004">
      <c r="A113" s="29">
        <v>40573</v>
      </c>
      <c r="B113" s="4" t="s">
        <v>16</v>
      </c>
      <c r="C113" s="4" t="s">
        <v>15</v>
      </c>
      <c r="D113" s="4" t="s">
        <v>120</v>
      </c>
      <c r="E113" s="4" t="s">
        <v>78</v>
      </c>
      <c r="F113" s="4">
        <v>49</v>
      </c>
      <c r="G113" s="33">
        <v>931</v>
      </c>
      <c r="H113" s="33">
        <v>392</v>
      </c>
    </row>
    <row r="114" spans="1:8" hidden="1" outlineLevel="2" collapsed="1" x14ac:dyDescent="0.55000000000000004">
      <c r="A114" s="29"/>
      <c r="B114" s="4"/>
      <c r="C114" s="4"/>
      <c r="D114" s="22" t="s">
        <v>197</v>
      </c>
      <c r="E114" s="4"/>
      <c r="F114" s="4"/>
      <c r="G114" s="33">
        <f>SUBTOTAL(9,G110:G113)</f>
        <v>4374</v>
      </c>
      <c r="H114" s="33"/>
    </row>
    <row r="115" spans="1:8" hidden="1" outlineLevel="3" x14ac:dyDescent="0.55000000000000004">
      <c r="A115" s="29">
        <v>40548</v>
      </c>
      <c r="B115" s="4" t="s">
        <v>18</v>
      </c>
      <c r="C115" s="4" t="s">
        <v>15</v>
      </c>
      <c r="D115" s="4" t="s">
        <v>126</v>
      </c>
      <c r="E115" s="4" t="s">
        <v>107</v>
      </c>
      <c r="F115" s="4">
        <v>60</v>
      </c>
      <c r="G115" s="33">
        <v>1380</v>
      </c>
      <c r="H115" s="33">
        <v>660</v>
      </c>
    </row>
    <row r="116" spans="1:8" hidden="1" outlineLevel="3" x14ac:dyDescent="0.55000000000000004">
      <c r="A116" s="29">
        <v>40548</v>
      </c>
      <c r="B116" s="4" t="s">
        <v>16</v>
      </c>
      <c r="C116" s="4" t="s">
        <v>15</v>
      </c>
      <c r="D116" s="4" t="s">
        <v>126</v>
      </c>
      <c r="E116" s="4" t="s">
        <v>101</v>
      </c>
      <c r="F116" s="4">
        <v>12</v>
      </c>
      <c r="G116" s="33">
        <v>228</v>
      </c>
      <c r="H116" s="33">
        <v>96</v>
      </c>
    </row>
    <row r="117" spans="1:8" hidden="1" outlineLevel="2" collapsed="1" x14ac:dyDescent="0.55000000000000004">
      <c r="A117" s="29"/>
      <c r="B117" s="4"/>
      <c r="C117" s="4"/>
      <c r="D117" s="22" t="s">
        <v>198</v>
      </c>
      <c r="E117" s="4"/>
      <c r="F117" s="4"/>
      <c r="G117" s="33">
        <f>SUBTOTAL(9,G115:G116)</f>
        <v>1608</v>
      </c>
      <c r="H117" s="33"/>
    </row>
    <row r="118" spans="1:8" hidden="1" outlineLevel="3" x14ac:dyDescent="0.55000000000000004">
      <c r="A118" s="29">
        <v>40545</v>
      </c>
      <c r="B118" s="4" t="s">
        <v>14</v>
      </c>
      <c r="C118" s="4" t="s">
        <v>15</v>
      </c>
      <c r="D118" s="4" t="s">
        <v>121</v>
      </c>
      <c r="E118" s="4" t="s">
        <v>103</v>
      </c>
      <c r="F118" s="4">
        <v>19</v>
      </c>
      <c r="G118" s="33">
        <v>418</v>
      </c>
      <c r="H118" s="33">
        <v>190</v>
      </c>
    </row>
    <row r="119" spans="1:8" hidden="1" outlineLevel="3" x14ac:dyDescent="0.55000000000000004">
      <c r="A119" s="29">
        <v>40545</v>
      </c>
      <c r="B119" s="4" t="s">
        <v>12</v>
      </c>
      <c r="C119" s="4" t="s">
        <v>15</v>
      </c>
      <c r="D119" s="4" t="s">
        <v>121</v>
      </c>
      <c r="E119" s="4" t="s">
        <v>80</v>
      </c>
      <c r="F119" s="4">
        <v>30</v>
      </c>
      <c r="G119" s="33">
        <v>810</v>
      </c>
      <c r="H119" s="33">
        <v>435</v>
      </c>
    </row>
    <row r="120" spans="1:8" hidden="1" outlineLevel="3" x14ac:dyDescent="0.55000000000000004">
      <c r="A120" s="29">
        <v>40550</v>
      </c>
      <c r="B120" s="4" t="s">
        <v>19</v>
      </c>
      <c r="C120" s="4" t="s">
        <v>15</v>
      </c>
      <c r="D120" s="4" t="s">
        <v>121</v>
      </c>
      <c r="E120" s="4" t="s">
        <v>97</v>
      </c>
      <c r="F120" s="4">
        <v>61</v>
      </c>
      <c r="G120" s="33">
        <v>1281</v>
      </c>
      <c r="H120" s="33">
        <v>564.25</v>
      </c>
    </row>
    <row r="121" spans="1:8" hidden="1" outlineLevel="3" x14ac:dyDescent="0.55000000000000004">
      <c r="A121" s="29">
        <v>40550</v>
      </c>
      <c r="B121" s="4" t="s">
        <v>19</v>
      </c>
      <c r="C121" s="4" t="s">
        <v>15</v>
      </c>
      <c r="D121" s="4" t="s">
        <v>121</v>
      </c>
      <c r="E121" s="4" t="s">
        <v>95</v>
      </c>
      <c r="F121" s="4">
        <v>53</v>
      </c>
      <c r="G121" s="33">
        <v>1113</v>
      </c>
      <c r="H121" s="33">
        <v>490.25</v>
      </c>
    </row>
    <row r="122" spans="1:8" hidden="1" outlineLevel="3" x14ac:dyDescent="0.55000000000000004">
      <c r="A122" s="29">
        <v>40565</v>
      </c>
      <c r="B122" s="4" t="s">
        <v>14</v>
      </c>
      <c r="C122" s="4" t="s">
        <v>15</v>
      </c>
      <c r="D122" s="4" t="s">
        <v>121</v>
      </c>
      <c r="E122" s="4" t="s">
        <v>80</v>
      </c>
      <c r="F122" s="4">
        <v>53</v>
      </c>
      <c r="G122" s="33">
        <v>1166</v>
      </c>
      <c r="H122" s="33">
        <v>530</v>
      </c>
    </row>
    <row r="123" spans="1:8" hidden="1" outlineLevel="3" x14ac:dyDescent="0.55000000000000004">
      <c r="A123" s="29">
        <v>40569</v>
      </c>
      <c r="B123" s="4" t="s">
        <v>14</v>
      </c>
      <c r="C123" s="4" t="s">
        <v>15</v>
      </c>
      <c r="D123" s="4" t="s">
        <v>121</v>
      </c>
      <c r="E123" s="4" t="s">
        <v>82</v>
      </c>
      <c r="F123" s="4">
        <v>61</v>
      </c>
      <c r="G123" s="33">
        <v>5000</v>
      </c>
      <c r="H123" s="33">
        <v>610</v>
      </c>
    </row>
    <row r="124" spans="1:8" hidden="1" outlineLevel="2" collapsed="1" x14ac:dyDescent="0.55000000000000004">
      <c r="A124" s="29"/>
      <c r="B124" s="4"/>
      <c r="C124" s="4"/>
      <c r="D124" s="22" t="s">
        <v>199</v>
      </c>
      <c r="E124" s="4"/>
      <c r="F124" s="4"/>
      <c r="G124" s="33">
        <f>SUBTOTAL(9,G118:G123)</f>
        <v>9788</v>
      </c>
      <c r="H124" s="33"/>
    </row>
    <row r="125" spans="1:8" hidden="1" outlineLevel="3" x14ac:dyDescent="0.55000000000000004">
      <c r="A125" s="29">
        <v>40550</v>
      </c>
      <c r="B125" s="4" t="s">
        <v>14</v>
      </c>
      <c r="C125" s="4" t="s">
        <v>15</v>
      </c>
      <c r="D125" s="4" t="s">
        <v>127</v>
      </c>
      <c r="E125" s="4" t="s">
        <v>97</v>
      </c>
      <c r="F125" s="4">
        <v>27</v>
      </c>
      <c r="G125" s="33">
        <v>594</v>
      </c>
      <c r="H125" s="33">
        <v>270</v>
      </c>
    </row>
    <row r="126" spans="1:8" hidden="1" outlineLevel="3" x14ac:dyDescent="0.55000000000000004">
      <c r="A126" s="29">
        <v>40553</v>
      </c>
      <c r="B126" s="4" t="s">
        <v>12</v>
      </c>
      <c r="C126" s="4" t="s">
        <v>15</v>
      </c>
      <c r="D126" s="4" t="s">
        <v>127</v>
      </c>
      <c r="E126" s="4" t="s">
        <v>86</v>
      </c>
      <c r="F126" s="4">
        <v>65</v>
      </c>
      <c r="G126" s="33">
        <v>1755</v>
      </c>
      <c r="H126" s="33">
        <v>942.5</v>
      </c>
    </row>
    <row r="127" spans="1:8" hidden="1" outlineLevel="3" x14ac:dyDescent="0.55000000000000004">
      <c r="A127" s="29">
        <v>40565</v>
      </c>
      <c r="B127" s="4" t="s">
        <v>14</v>
      </c>
      <c r="C127" s="4" t="s">
        <v>15</v>
      </c>
      <c r="D127" s="4" t="s">
        <v>127</v>
      </c>
      <c r="E127" s="4" t="s">
        <v>95</v>
      </c>
      <c r="F127" s="4">
        <v>6</v>
      </c>
      <c r="G127" s="33">
        <v>132</v>
      </c>
      <c r="H127" s="33">
        <v>60</v>
      </c>
    </row>
    <row r="128" spans="1:8" hidden="1" outlineLevel="3" x14ac:dyDescent="0.55000000000000004">
      <c r="A128" s="29">
        <v>40571</v>
      </c>
      <c r="B128" s="4" t="s">
        <v>18</v>
      </c>
      <c r="C128" s="4" t="s">
        <v>15</v>
      </c>
      <c r="D128" s="4" t="s">
        <v>127</v>
      </c>
      <c r="E128" s="4" t="s">
        <v>81</v>
      </c>
      <c r="F128" s="4">
        <v>15</v>
      </c>
      <c r="G128" s="33">
        <v>345</v>
      </c>
      <c r="H128" s="33">
        <v>165</v>
      </c>
    </row>
    <row r="129" spans="1:8" hidden="1" outlineLevel="2" collapsed="1" x14ac:dyDescent="0.55000000000000004">
      <c r="A129" s="29"/>
      <c r="B129" s="4"/>
      <c r="C129" s="4"/>
      <c r="D129" s="22" t="s">
        <v>200</v>
      </c>
      <c r="E129" s="4"/>
      <c r="F129" s="4"/>
      <c r="G129" s="33">
        <f>SUBTOTAL(9,G125:G128)</f>
        <v>2826</v>
      </c>
      <c r="H129" s="33"/>
    </row>
    <row r="130" spans="1:8" hidden="1" outlineLevel="3" x14ac:dyDescent="0.55000000000000004">
      <c r="A130" s="29">
        <v>40551</v>
      </c>
      <c r="B130" s="4" t="s">
        <v>12</v>
      </c>
      <c r="C130" s="4" t="s">
        <v>15</v>
      </c>
      <c r="D130" s="4" t="s">
        <v>122</v>
      </c>
      <c r="E130" s="4" t="s">
        <v>93</v>
      </c>
      <c r="F130" s="4">
        <v>16</v>
      </c>
      <c r="G130" s="33">
        <v>432</v>
      </c>
      <c r="H130" s="33">
        <v>232</v>
      </c>
    </row>
    <row r="131" spans="1:8" hidden="1" outlineLevel="3" x14ac:dyDescent="0.55000000000000004">
      <c r="A131" s="29">
        <v>40560</v>
      </c>
      <c r="B131" s="4" t="s">
        <v>12</v>
      </c>
      <c r="C131" s="4" t="s">
        <v>15</v>
      </c>
      <c r="D131" s="4" t="s">
        <v>122</v>
      </c>
      <c r="E131" s="4" t="s">
        <v>96</v>
      </c>
      <c r="F131" s="4">
        <v>10</v>
      </c>
      <c r="G131" s="33">
        <v>270</v>
      </c>
      <c r="H131" s="33">
        <v>145</v>
      </c>
    </row>
    <row r="132" spans="1:8" hidden="1" outlineLevel="3" x14ac:dyDescent="0.55000000000000004">
      <c r="A132" s="29">
        <v>40571</v>
      </c>
      <c r="B132" s="4" t="s">
        <v>19</v>
      </c>
      <c r="C132" s="4" t="s">
        <v>15</v>
      </c>
      <c r="D132" s="4" t="s">
        <v>122</v>
      </c>
      <c r="E132" s="4" t="s">
        <v>88</v>
      </c>
      <c r="F132" s="4">
        <v>62</v>
      </c>
      <c r="G132" s="33">
        <v>1302</v>
      </c>
      <c r="H132" s="33">
        <v>573.5</v>
      </c>
    </row>
    <row r="133" spans="1:8" hidden="1" outlineLevel="2" collapsed="1" x14ac:dyDescent="0.55000000000000004">
      <c r="A133" s="29"/>
      <c r="B133" s="4"/>
      <c r="C133" s="4"/>
      <c r="D133" s="22" t="s">
        <v>201</v>
      </c>
      <c r="E133" s="4"/>
      <c r="F133" s="4"/>
      <c r="G133" s="33">
        <f>SUBTOTAL(9,G130:G132)</f>
        <v>2004</v>
      </c>
      <c r="H133" s="33"/>
    </row>
    <row r="134" spans="1:8" hidden="1" outlineLevel="3" x14ac:dyDescent="0.55000000000000004">
      <c r="A134" s="29">
        <v>40549</v>
      </c>
      <c r="B134" s="4" t="s">
        <v>18</v>
      </c>
      <c r="C134" s="4" t="s">
        <v>15</v>
      </c>
      <c r="D134" s="4" t="s">
        <v>116</v>
      </c>
      <c r="E134" s="4" t="s">
        <v>91</v>
      </c>
      <c r="F134" s="4">
        <v>18</v>
      </c>
      <c r="G134" s="33">
        <v>414</v>
      </c>
      <c r="H134" s="33">
        <v>198</v>
      </c>
    </row>
    <row r="135" spans="1:8" hidden="1" outlineLevel="3" x14ac:dyDescent="0.55000000000000004">
      <c r="A135" s="29">
        <v>40549</v>
      </c>
      <c r="B135" s="4" t="s">
        <v>12</v>
      </c>
      <c r="C135" s="4" t="s">
        <v>15</v>
      </c>
      <c r="D135" s="4" t="s">
        <v>116</v>
      </c>
      <c r="E135" s="4" t="s">
        <v>96</v>
      </c>
      <c r="F135" s="4">
        <v>64</v>
      </c>
      <c r="G135" s="33">
        <v>1728</v>
      </c>
      <c r="H135" s="33">
        <v>928</v>
      </c>
    </row>
    <row r="136" spans="1:8" hidden="1" outlineLevel="3" x14ac:dyDescent="0.55000000000000004">
      <c r="A136" s="29">
        <v>40561</v>
      </c>
      <c r="B136" s="4" t="s">
        <v>16</v>
      </c>
      <c r="C136" s="4" t="s">
        <v>15</v>
      </c>
      <c r="D136" s="4" t="s">
        <v>116</v>
      </c>
      <c r="E136" s="4" t="s">
        <v>80</v>
      </c>
      <c r="F136" s="4">
        <v>8</v>
      </c>
      <c r="G136" s="33">
        <v>152</v>
      </c>
      <c r="H136" s="33">
        <v>64</v>
      </c>
    </row>
    <row r="137" spans="1:8" hidden="1" outlineLevel="3" x14ac:dyDescent="0.55000000000000004">
      <c r="A137" s="29">
        <v>40563</v>
      </c>
      <c r="B137" s="4" t="s">
        <v>16</v>
      </c>
      <c r="C137" s="4" t="s">
        <v>15</v>
      </c>
      <c r="D137" s="4" t="s">
        <v>116</v>
      </c>
      <c r="E137" s="4" t="s">
        <v>83</v>
      </c>
      <c r="F137" s="4">
        <v>58</v>
      </c>
      <c r="G137" s="33">
        <v>1102</v>
      </c>
      <c r="H137" s="33">
        <v>464</v>
      </c>
    </row>
    <row r="138" spans="1:8" hidden="1" outlineLevel="3" x14ac:dyDescent="0.55000000000000004">
      <c r="A138" s="29">
        <v>40565</v>
      </c>
      <c r="B138" s="4" t="s">
        <v>14</v>
      </c>
      <c r="C138" s="4" t="s">
        <v>15</v>
      </c>
      <c r="D138" s="4" t="s">
        <v>116</v>
      </c>
      <c r="E138" s="4" t="s">
        <v>83</v>
      </c>
      <c r="F138" s="4">
        <v>35</v>
      </c>
      <c r="G138" s="33">
        <v>770</v>
      </c>
      <c r="H138" s="33">
        <v>350</v>
      </c>
    </row>
    <row r="139" spans="1:8" hidden="1" outlineLevel="2" collapsed="1" x14ac:dyDescent="0.55000000000000004">
      <c r="A139" s="46"/>
      <c r="B139" s="35"/>
      <c r="C139" s="35"/>
      <c r="D139" s="48" t="s">
        <v>202</v>
      </c>
      <c r="E139" s="35"/>
      <c r="F139" s="35"/>
      <c r="G139" s="47">
        <f>SUBTOTAL(9,G134:G138)</f>
        <v>4166</v>
      </c>
      <c r="H139" s="47"/>
    </row>
    <row r="140" spans="1:8" outlineLevel="1" collapsed="1" x14ac:dyDescent="0.55000000000000004">
      <c r="A140" s="46"/>
      <c r="B140" s="35"/>
      <c r="C140" s="48" t="s">
        <v>192</v>
      </c>
      <c r="D140" s="35"/>
      <c r="E140" s="35"/>
      <c r="F140" s="35"/>
      <c r="G140" s="47">
        <f>SUBTOTAL(9,G110:G138)</f>
        <v>24766</v>
      </c>
      <c r="H140" s="47"/>
    </row>
    <row r="141" spans="1:8" x14ac:dyDescent="0.55000000000000004">
      <c r="A141" s="46"/>
      <c r="B141" s="35"/>
      <c r="C141" s="48" t="s">
        <v>193</v>
      </c>
      <c r="D141" s="35"/>
      <c r="E141" s="35"/>
      <c r="F141" s="35"/>
      <c r="G141" s="47">
        <f>SUBTOTAL(9,G8:G138)</f>
        <v>85157</v>
      </c>
      <c r="H141" s="47"/>
    </row>
  </sheetData>
  <sortState xmlns:xlrd2="http://schemas.microsoft.com/office/spreadsheetml/2017/richdata2" ref="A8:H138">
    <sortCondition ref="C8:C138"/>
    <sortCondition ref="D8:D13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B1:F29"/>
  <sheetViews>
    <sheetView topLeftCell="A12" zoomScale="120" zoomScaleNormal="120" workbookViewId="0">
      <selection activeCell="G17" sqref="G17"/>
    </sheetView>
  </sheetViews>
  <sheetFormatPr defaultRowHeight="14.4" x14ac:dyDescent="0.55000000000000004"/>
  <cols>
    <col min="1" max="1" width="11.83984375" customWidth="1"/>
    <col min="2" max="3" width="13.41796875" customWidth="1"/>
    <col min="4" max="4" width="14.578125" customWidth="1"/>
    <col min="5" max="5" width="16" customWidth="1"/>
    <col min="7" max="10" width="17.15625" customWidth="1"/>
  </cols>
  <sheetData>
    <row r="1" spans="2:5" x14ac:dyDescent="0.55000000000000004">
      <c r="B1" s="1" t="s">
        <v>151</v>
      </c>
    </row>
    <row r="2" spans="2:5" x14ac:dyDescent="0.55000000000000004">
      <c r="B2" s="34" t="s">
        <v>152</v>
      </c>
    </row>
    <row r="3" spans="2:5" x14ac:dyDescent="0.55000000000000004">
      <c r="B3" s="2" t="s">
        <v>154</v>
      </c>
      <c r="C3" s="2" t="s">
        <v>153</v>
      </c>
      <c r="D3" s="2" t="s">
        <v>158</v>
      </c>
      <c r="E3" s="2" t="s">
        <v>159</v>
      </c>
    </row>
    <row r="4" spans="2:5" x14ac:dyDescent="0.55000000000000004">
      <c r="B4" s="4" t="s">
        <v>155</v>
      </c>
      <c r="C4" s="4">
        <v>9.5</v>
      </c>
      <c r="D4" s="4">
        <v>2</v>
      </c>
      <c r="E4" s="4">
        <v>19</v>
      </c>
    </row>
    <row r="5" spans="2:5" x14ac:dyDescent="0.55000000000000004">
      <c r="B5" s="4" t="s">
        <v>160</v>
      </c>
      <c r="C5" s="4">
        <v>7.15</v>
      </c>
      <c r="D5" s="4">
        <v>3</v>
      </c>
      <c r="E5" s="4">
        <v>21.45</v>
      </c>
    </row>
    <row r="6" spans="2:5" x14ac:dyDescent="0.55000000000000004">
      <c r="B6" s="4" t="s">
        <v>156</v>
      </c>
      <c r="C6" s="4">
        <v>13.35</v>
      </c>
      <c r="D6" s="4">
        <v>5</v>
      </c>
      <c r="E6" s="4">
        <v>66.75</v>
      </c>
    </row>
    <row r="7" spans="2:5" x14ac:dyDescent="0.55000000000000004">
      <c r="B7" s="4" t="s">
        <v>157</v>
      </c>
      <c r="C7" s="4">
        <v>11.75</v>
      </c>
      <c r="D7" s="4">
        <v>1</v>
      </c>
      <c r="E7" s="4">
        <v>11.75</v>
      </c>
    </row>
    <row r="8" spans="2:5" x14ac:dyDescent="0.55000000000000004">
      <c r="B8" s="35"/>
      <c r="C8" s="35"/>
      <c r="D8" s="35"/>
      <c r="E8" s="35"/>
    </row>
    <row r="9" spans="2:5" x14ac:dyDescent="0.55000000000000004">
      <c r="B9" s="36" t="s">
        <v>161</v>
      </c>
      <c r="C9" s="35"/>
      <c r="D9" s="35"/>
      <c r="E9" s="35"/>
    </row>
    <row r="10" spans="2:5" x14ac:dyDescent="0.55000000000000004">
      <c r="B10" s="35"/>
      <c r="C10" s="35"/>
      <c r="D10" s="35"/>
      <c r="E10" s="35"/>
    </row>
    <row r="12" spans="2:5" x14ac:dyDescent="0.55000000000000004">
      <c r="B12" s="2" t="s">
        <v>162</v>
      </c>
      <c r="C12" s="2" t="s">
        <v>163</v>
      </c>
      <c r="D12" s="2" t="s">
        <v>164</v>
      </c>
      <c r="E12" s="2" t="s">
        <v>165</v>
      </c>
    </row>
    <row r="13" spans="2:5" x14ac:dyDescent="0.55000000000000004">
      <c r="B13" s="4" t="s">
        <v>166</v>
      </c>
      <c r="C13" s="4">
        <v>1350000</v>
      </c>
      <c r="D13" s="37">
        <v>0.05</v>
      </c>
      <c r="E13" s="4">
        <v>1300000</v>
      </c>
    </row>
    <row r="14" spans="2:5" x14ac:dyDescent="0.55000000000000004">
      <c r="B14" s="4" t="s">
        <v>167</v>
      </c>
      <c r="C14" s="4">
        <v>1900000</v>
      </c>
      <c r="D14" s="37">
        <v>7.0000000000000007E-2</v>
      </c>
      <c r="E14" s="4">
        <v>1800000</v>
      </c>
    </row>
    <row r="15" spans="2:5" x14ac:dyDescent="0.55000000000000004">
      <c r="B15" s="4" t="s">
        <v>168</v>
      </c>
      <c r="C15" s="4">
        <v>1200000</v>
      </c>
      <c r="D15" s="37">
        <v>0.1</v>
      </c>
      <c r="E15" s="4">
        <v>1100000</v>
      </c>
    </row>
    <row r="16" spans="2:5" x14ac:dyDescent="0.55000000000000004">
      <c r="B16" s="4" t="s">
        <v>169</v>
      </c>
      <c r="C16" s="4">
        <v>1300000</v>
      </c>
      <c r="D16" s="37">
        <v>0.09</v>
      </c>
      <c r="E16" s="4">
        <v>1200000</v>
      </c>
    </row>
    <row r="21" spans="2:6" x14ac:dyDescent="0.55000000000000004">
      <c r="B21" s="2" t="s">
        <v>154</v>
      </c>
      <c r="D21" t="s">
        <v>170</v>
      </c>
    </row>
    <row r="22" spans="2:6" x14ac:dyDescent="0.55000000000000004">
      <c r="B22" s="4" t="s">
        <v>155</v>
      </c>
      <c r="E22" t="b">
        <f>COUNTIF($B$22:B22,B22)&lt;2</f>
        <v>1</v>
      </c>
      <c r="F22" s="42" t="s">
        <v>186</v>
      </c>
    </row>
    <row r="23" spans="2:6" x14ac:dyDescent="0.55000000000000004">
      <c r="B23" s="4" t="s">
        <v>160</v>
      </c>
      <c r="E23" t="b">
        <f>COUNTIF($B$22:B23,B23)&lt;2</f>
        <v>1</v>
      </c>
    </row>
    <row r="24" spans="2:6" x14ac:dyDescent="0.55000000000000004">
      <c r="B24" s="4" t="s">
        <v>156</v>
      </c>
      <c r="E24" t="b">
        <f>COUNTIF($B$22:B24,B24)&lt;2</f>
        <v>1</v>
      </c>
    </row>
    <row r="25" spans="2:6" x14ac:dyDescent="0.55000000000000004">
      <c r="B25" s="4" t="s">
        <v>157</v>
      </c>
      <c r="E25" t="b">
        <f>COUNTIF($B$22:B25,B25)&lt;2</f>
        <v>1</v>
      </c>
    </row>
    <row r="26" spans="2:6" x14ac:dyDescent="0.55000000000000004">
      <c r="B26" s="4" t="s">
        <v>171</v>
      </c>
      <c r="E26" t="b">
        <f>COUNTIF($B$22:B26,B26)&lt;2</f>
        <v>1</v>
      </c>
    </row>
    <row r="27" spans="2:6" x14ac:dyDescent="0.55000000000000004">
      <c r="B27" s="4"/>
      <c r="E27" t="b">
        <f>COUNTIF($B$22:B27,B27)&lt;2</f>
        <v>1</v>
      </c>
    </row>
    <row r="28" spans="2:6" x14ac:dyDescent="0.55000000000000004">
      <c r="B28" s="4"/>
      <c r="E28" t="b">
        <f>COUNTIF($B$22:B28,B28)&lt;2</f>
        <v>1</v>
      </c>
    </row>
    <row r="29" spans="2:6" x14ac:dyDescent="0.55000000000000004">
      <c r="B29" s="4"/>
      <c r="E29" t="b">
        <f>COUNTIF($B$22:B29,B29)&lt;2</f>
        <v>1</v>
      </c>
    </row>
  </sheetData>
  <dataValidations count="4">
    <dataValidation type="custom" allowBlank="1" showInputMessage="1" showErrorMessage="1" sqref="E8:E10" xr:uid="{00000000-0002-0000-0900-000000000000}">
      <formula1>"E81&lt;=C81*D81"</formula1>
    </dataValidation>
    <dataValidation type="custom" allowBlank="1" showInputMessage="1" showErrorMessage="1" sqref="E4:E7" xr:uid="{00000000-0002-0000-0900-000001000000}">
      <formula1>E4=C4*D4</formula1>
    </dataValidation>
    <dataValidation type="custom" allowBlank="1" showInputMessage="1" showErrorMessage="1" sqref="E13:E16" xr:uid="{B64D521E-B0FB-48D2-98CE-2D51E622F55C}">
      <formula1>E13&gt;=C13-D13*C13</formula1>
    </dataValidation>
    <dataValidation type="custom" allowBlank="1" showInputMessage="1" showErrorMessage="1" sqref="B22:B29" xr:uid="{A9C6C89D-4583-4021-9174-7C96E6C762B2}">
      <formula1>COUNTIF($B$22:B22,B22)&lt;2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S(1-5)</vt:lpstr>
      <vt:lpstr>S(6)</vt:lpstr>
      <vt:lpstr>S(7)</vt:lpstr>
      <vt:lpstr>S(8)</vt:lpstr>
      <vt:lpstr>S(9)</vt:lpstr>
      <vt:lpstr>S(11-12</vt:lpstr>
      <vt:lpstr>S(13)</vt:lpstr>
      <vt:lpstr>ST(1)</vt:lpstr>
      <vt:lpstr>ST(2)</vt:lpstr>
      <vt:lpstr>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Kalra</dc:creator>
  <cp:lastModifiedBy>Kabir Kanha</cp:lastModifiedBy>
  <dcterms:created xsi:type="dcterms:W3CDTF">2016-12-12T17:21:50Z</dcterms:created>
  <dcterms:modified xsi:type="dcterms:W3CDTF">2019-01-25T16:20:19Z</dcterms:modified>
</cp:coreProperties>
</file>