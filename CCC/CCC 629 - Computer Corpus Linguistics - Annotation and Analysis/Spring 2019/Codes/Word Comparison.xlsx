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37A71D36-DD69-4659-8795-DEFACD759C32}" xr6:coauthVersionLast="43" xr6:coauthVersionMax="43" xr10:uidLastSave="{00000000-0000-0000-0000-000000000000}"/>
  <bookViews>
    <workbookView xWindow="-96" yWindow="-96" windowWidth="23232" windowHeight="12552" xr2:uid="{00000000-000D-0000-FFFF-FFFF00000000}"/>
  </bookViews>
  <sheets>
    <sheet name="Code Length" sheetId="1" r:id="rId1"/>
    <sheet name="English Percent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C9" i="1"/>
  <c r="R7" i="2"/>
  <c r="R8" i="2"/>
  <c r="R9" i="2"/>
  <c r="R6" i="2"/>
  <c r="R5" i="2"/>
  <c r="Q10" i="2"/>
  <c r="H10" i="2"/>
  <c r="Q6" i="2"/>
  <c r="Q7" i="2"/>
  <c r="Q8" i="2"/>
  <c r="Q9" i="2"/>
  <c r="N6" i="2"/>
  <c r="N7" i="2"/>
  <c r="N8" i="2"/>
  <c r="N9" i="2"/>
  <c r="N10" i="2" s="1"/>
  <c r="K6" i="2"/>
  <c r="K7" i="2"/>
  <c r="K8" i="2"/>
  <c r="K9" i="2"/>
  <c r="K10" i="2" s="1"/>
  <c r="Q5" i="2"/>
  <c r="N5" i="2"/>
  <c r="K5" i="2"/>
  <c r="H6" i="2"/>
  <c r="H7" i="2"/>
  <c r="H8" i="2"/>
  <c r="H9" i="2"/>
  <c r="H5" i="2"/>
  <c r="E6" i="2"/>
  <c r="E7" i="2"/>
  <c r="E8" i="2"/>
  <c r="E9" i="2"/>
  <c r="E10" i="2" s="1"/>
  <c r="E5" i="2"/>
  <c r="H5" i="1"/>
  <c r="H6" i="1"/>
  <c r="H7" i="1"/>
  <c r="H8" i="1"/>
  <c r="H4" i="1"/>
</calcChain>
</file>

<file path=xl/sharedStrings.xml><?xml version="1.0" encoding="utf-8"?>
<sst xmlns="http://schemas.openxmlformats.org/spreadsheetml/2006/main" count="46" uniqueCount="17">
  <si>
    <t>Insertion Sort</t>
  </si>
  <si>
    <t>C</t>
  </si>
  <si>
    <t>C#</t>
  </si>
  <si>
    <t>Java</t>
  </si>
  <si>
    <t>PHP</t>
  </si>
  <si>
    <t>Python</t>
  </si>
  <si>
    <t>Binary Search</t>
  </si>
  <si>
    <t>WORD
TOKENS</t>
  </si>
  <si>
    <t>Factorial</t>
  </si>
  <si>
    <t>KMP Pattern Searching</t>
  </si>
  <si>
    <t>LCM</t>
  </si>
  <si>
    <t>AVERAGE</t>
  </si>
  <si>
    <t>English</t>
  </si>
  <si>
    <t>Out of</t>
  </si>
  <si>
    <t>LANG</t>
  </si>
  <si>
    <t>ALGO -&gt;</t>
  </si>
  <si>
    <t>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</si>
</sst>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"/>
    <numFmt numFmtId="169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168" fontId="2" fillId="7" borderId="8" xfId="1" applyNumberFormat="1" applyFont="1" applyFill="1" applyBorder="1" applyAlignment="1">
      <alignment horizontal="center" vertical="center"/>
    </xf>
    <xf numFmtId="168" fontId="2" fillId="3" borderId="8" xfId="1" applyNumberFormat="1" applyFont="1" applyFill="1" applyBorder="1" applyAlignment="1">
      <alignment horizontal="center" vertical="center"/>
    </xf>
    <xf numFmtId="168" fontId="2" fillId="7" borderId="20" xfId="1" applyNumberFormat="1" applyFont="1" applyFill="1" applyBorder="1" applyAlignment="1">
      <alignment horizontal="center" vertical="center"/>
    </xf>
    <xf numFmtId="168" fontId="2" fillId="6" borderId="9" xfId="0" applyNumberFormat="1" applyFont="1" applyFill="1" applyBorder="1" applyAlignment="1">
      <alignment horizontal="center" vertical="center"/>
    </xf>
    <xf numFmtId="168" fontId="2" fillId="6" borderId="10" xfId="0" applyNumberFormat="1" applyFont="1" applyFill="1" applyBorder="1" applyAlignment="1">
      <alignment horizontal="center" vertical="center"/>
    </xf>
    <xf numFmtId="168" fontId="2" fillId="6" borderId="11" xfId="0" applyNumberFormat="1" applyFont="1" applyFill="1" applyBorder="1" applyAlignment="1">
      <alignment horizontal="center" vertical="center"/>
    </xf>
    <xf numFmtId="168" fontId="2" fillId="6" borderId="13" xfId="0" applyNumberFormat="1" applyFont="1" applyFill="1" applyBorder="1" applyAlignment="1">
      <alignment horizontal="center" vertical="center"/>
    </xf>
    <xf numFmtId="169" fontId="2" fillId="8" borderId="18" xfId="0" applyNumberFormat="1" applyFont="1" applyFill="1" applyBorder="1" applyAlignment="1">
      <alignment horizontal="center" vertical="center" wrapText="1"/>
    </xf>
    <xf numFmtId="169" fontId="2" fillId="8" borderId="12" xfId="0" applyNumberFormat="1" applyFont="1" applyFill="1" applyBorder="1" applyAlignment="1">
      <alignment horizontal="center" vertical="center" wrapText="1"/>
    </xf>
    <xf numFmtId="169" fontId="2" fillId="4" borderId="1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9"/>
  <sheetViews>
    <sheetView tabSelected="1" zoomScaleNormal="100" workbookViewId="0">
      <selection activeCell="C15" sqref="C15"/>
    </sheetView>
  </sheetViews>
  <sheetFormatPr defaultRowHeight="14.4" x14ac:dyDescent="0.55000000000000004"/>
  <cols>
    <col min="1" max="1" width="8.83984375" style="5"/>
    <col min="2" max="7" width="22.20703125" style="5" customWidth="1"/>
    <col min="8" max="8" width="17.68359375" style="5" customWidth="1"/>
    <col min="9" max="12" width="13.7890625" style="5" customWidth="1"/>
    <col min="13" max="16384" width="8.83984375" style="5"/>
  </cols>
  <sheetData>
    <row r="2" spans="2:13" ht="14.7" thickBot="1" x14ac:dyDescent="0.6"/>
    <row r="3" spans="2:13" ht="31.2" customHeight="1" thickBot="1" x14ac:dyDescent="0.6">
      <c r="B3" s="44" t="s">
        <v>7</v>
      </c>
      <c r="C3" s="42" t="s">
        <v>6</v>
      </c>
      <c r="D3" s="36" t="s">
        <v>8</v>
      </c>
      <c r="E3" s="36" t="s">
        <v>0</v>
      </c>
      <c r="F3" s="36" t="s">
        <v>9</v>
      </c>
      <c r="G3" s="37" t="s">
        <v>10</v>
      </c>
      <c r="H3" s="45" t="s">
        <v>11</v>
      </c>
      <c r="I3"/>
      <c r="J3"/>
      <c r="K3"/>
      <c r="L3"/>
      <c r="M3"/>
    </row>
    <row r="4" spans="2:13" ht="27.3" customHeight="1" x14ac:dyDescent="0.55000000000000004">
      <c r="B4" s="43" t="s">
        <v>1</v>
      </c>
      <c r="C4" s="4">
        <v>80</v>
      </c>
      <c r="D4" s="38">
        <v>30</v>
      </c>
      <c r="E4" s="38">
        <v>76</v>
      </c>
      <c r="F4" s="38">
        <v>128</v>
      </c>
      <c r="G4" s="39">
        <v>69</v>
      </c>
      <c r="H4" s="10">
        <f>AVERAGE(C4:G4)</f>
        <v>76.599999999999994</v>
      </c>
      <c r="I4"/>
      <c r="J4"/>
      <c r="K4"/>
      <c r="L4"/>
      <c r="M4"/>
    </row>
    <row r="5" spans="2:13" ht="27.3" customHeight="1" x14ac:dyDescent="0.55000000000000004">
      <c r="B5" s="34" t="s">
        <v>2</v>
      </c>
      <c r="C5" s="40">
        <v>72</v>
      </c>
      <c r="D5" s="6">
        <v>29</v>
      </c>
      <c r="E5" s="6">
        <v>76</v>
      </c>
      <c r="F5" s="6">
        <v>123</v>
      </c>
      <c r="G5" s="7">
        <v>110</v>
      </c>
      <c r="H5" s="59">
        <f t="shared" ref="H5:H8" si="0">AVERAGE(C5:G5)</f>
        <v>82</v>
      </c>
      <c r="I5"/>
      <c r="J5"/>
      <c r="K5"/>
      <c r="L5"/>
      <c r="M5"/>
    </row>
    <row r="6" spans="2:13" ht="27.3" customHeight="1" x14ac:dyDescent="0.55000000000000004">
      <c r="B6" s="34" t="s">
        <v>3</v>
      </c>
      <c r="C6" s="40">
        <v>85</v>
      </c>
      <c r="D6" s="6">
        <v>30</v>
      </c>
      <c r="E6" s="6">
        <v>77</v>
      </c>
      <c r="F6" s="6">
        <v>134</v>
      </c>
      <c r="G6" s="7">
        <v>111</v>
      </c>
      <c r="H6" s="10">
        <f t="shared" si="0"/>
        <v>87.4</v>
      </c>
      <c r="I6"/>
      <c r="J6"/>
      <c r="K6"/>
      <c r="L6"/>
      <c r="M6"/>
    </row>
    <row r="7" spans="2:13" ht="27.3" customHeight="1" x14ac:dyDescent="0.55000000000000004">
      <c r="B7" s="34" t="s">
        <v>4</v>
      </c>
      <c r="C7" s="40">
        <v>59</v>
      </c>
      <c r="D7" s="6">
        <v>19</v>
      </c>
      <c r="E7" s="6">
        <v>54</v>
      </c>
      <c r="F7" s="6">
        <v>91</v>
      </c>
      <c r="G7" s="7">
        <v>44</v>
      </c>
      <c r="H7" s="10">
        <f t="shared" si="0"/>
        <v>53.4</v>
      </c>
      <c r="I7"/>
      <c r="J7"/>
      <c r="K7"/>
      <c r="L7"/>
      <c r="M7"/>
    </row>
    <row r="8" spans="2:13" ht="27.3" customHeight="1" thickBot="1" x14ac:dyDescent="0.6">
      <c r="B8" s="35" t="s">
        <v>5</v>
      </c>
      <c r="C8" s="41">
        <v>64</v>
      </c>
      <c r="D8" s="8">
        <v>20</v>
      </c>
      <c r="E8" s="8">
        <v>41</v>
      </c>
      <c r="F8" s="8">
        <v>119</v>
      </c>
      <c r="G8" s="9">
        <v>64</v>
      </c>
      <c r="H8" s="11">
        <f t="shared" si="0"/>
        <v>61.6</v>
      </c>
      <c r="I8"/>
      <c r="J8"/>
      <c r="K8"/>
      <c r="L8"/>
    </row>
    <row r="9" spans="2:13" ht="28.5" customHeight="1" thickBot="1" x14ac:dyDescent="0.6">
      <c r="B9" s="45" t="s">
        <v>11</v>
      </c>
      <c r="C9" s="57">
        <f>AVERAGE(C4:C8)</f>
        <v>72</v>
      </c>
      <c r="D9" s="33">
        <f t="shared" ref="D9:G9" si="1">AVERAGE(D4:D8)</f>
        <v>25.6</v>
      </c>
      <c r="E9" s="33">
        <f t="shared" si="1"/>
        <v>64.8</v>
      </c>
      <c r="F9" s="58">
        <f t="shared" si="1"/>
        <v>119</v>
      </c>
      <c r="G9" s="33">
        <f t="shared" si="1"/>
        <v>79.599999999999994</v>
      </c>
    </row>
  </sheetData>
  <conditionalFormatting sqref="H4:H8">
    <cfRule type="colorScale" priority="2">
      <colorScale>
        <cfvo type="min"/>
        <cfvo type="max"/>
        <color rgb="FFFCFCFF"/>
        <color rgb="FFF8696B"/>
      </colorScale>
    </cfRule>
  </conditionalFormatting>
  <conditionalFormatting sqref="C9:G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0F26-6DD5-44D2-9121-16F8854B4097}">
  <dimension ref="B2:S10"/>
  <sheetViews>
    <sheetView workbookViewId="0">
      <selection activeCell="M14" sqref="M14"/>
    </sheetView>
  </sheetViews>
  <sheetFormatPr defaultRowHeight="14.4" x14ac:dyDescent="0.55000000000000004"/>
  <cols>
    <col min="3" max="17" width="10" customWidth="1"/>
  </cols>
  <sheetData>
    <row r="2" spans="2:19" ht="14.7" thickBot="1" x14ac:dyDescent="0.6"/>
    <row r="3" spans="2:19" ht="33.299999999999997" customHeight="1" thickBot="1" x14ac:dyDescent="0.6">
      <c r="B3" s="17" t="s">
        <v>15</v>
      </c>
      <c r="C3" s="21" t="s">
        <v>6</v>
      </c>
      <c r="D3" s="12"/>
      <c r="E3" s="13"/>
      <c r="F3" s="12" t="s">
        <v>8</v>
      </c>
      <c r="G3" s="12"/>
      <c r="H3" s="12"/>
      <c r="I3" s="21" t="s">
        <v>0</v>
      </c>
      <c r="J3" s="12"/>
      <c r="K3" s="13"/>
      <c r="L3" s="12" t="s">
        <v>9</v>
      </c>
      <c r="M3" s="12"/>
      <c r="N3" s="12"/>
      <c r="O3" s="21" t="s">
        <v>10</v>
      </c>
      <c r="P3" s="12"/>
      <c r="Q3" s="12"/>
      <c r="R3" s="46" t="s">
        <v>11</v>
      </c>
      <c r="S3" s="47"/>
    </row>
    <row r="4" spans="2:19" ht="33.299999999999997" customHeight="1" thickBot="1" x14ac:dyDescent="0.6">
      <c r="B4" s="22" t="s">
        <v>14</v>
      </c>
      <c r="C4" s="28" t="s">
        <v>12</v>
      </c>
      <c r="D4" s="29" t="s">
        <v>13</v>
      </c>
      <c r="E4" s="30" t="s">
        <v>16</v>
      </c>
      <c r="F4" s="31" t="s">
        <v>12</v>
      </c>
      <c r="G4" s="29" t="s">
        <v>13</v>
      </c>
      <c r="H4" s="32" t="s">
        <v>16</v>
      </c>
      <c r="I4" s="28" t="s">
        <v>12</v>
      </c>
      <c r="J4" s="29" t="s">
        <v>13</v>
      </c>
      <c r="K4" s="30" t="s">
        <v>16</v>
      </c>
      <c r="L4" s="31" t="s">
        <v>12</v>
      </c>
      <c r="M4" s="29" t="s">
        <v>13</v>
      </c>
      <c r="N4" s="32" t="s">
        <v>16</v>
      </c>
      <c r="O4" s="28" t="s">
        <v>12</v>
      </c>
      <c r="P4" s="29" t="s">
        <v>13</v>
      </c>
      <c r="Q4" s="32" t="s">
        <v>16</v>
      </c>
      <c r="R4" s="48"/>
      <c r="S4" s="49"/>
    </row>
    <row r="5" spans="2:19" ht="33.299999999999997" customHeight="1" thickBot="1" x14ac:dyDescent="0.6">
      <c r="B5" s="23" t="s">
        <v>1</v>
      </c>
      <c r="C5" s="19">
        <v>22</v>
      </c>
      <c r="D5" s="1">
        <v>27</v>
      </c>
      <c r="E5" s="50">
        <f>C5/D5</f>
        <v>0.81481481481481477</v>
      </c>
      <c r="F5" s="20">
        <v>12</v>
      </c>
      <c r="G5" s="1">
        <v>15</v>
      </c>
      <c r="H5" s="50">
        <f>F5/G5</f>
        <v>0.8</v>
      </c>
      <c r="I5" s="19">
        <v>13</v>
      </c>
      <c r="J5" s="1">
        <v>20</v>
      </c>
      <c r="K5" s="50">
        <f>I5/J5</f>
        <v>0.65</v>
      </c>
      <c r="L5" s="20">
        <v>10</v>
      </c>
      <c r="M5" s="1">
        <v>20</v>
      </c>
      <c r="N5" s="50">
        <f>L5/M5</f>
        <v>0.5</v>
      </c>
      <c r="O5" s="19">
        <v>17</v>
      </c>
      <c r="P5" s="1">
        <v>27</v>
      </c>
      <c r="Q5" s="52">
        <f>O5/P5</f>
        <v>0.62962962962962965</v>
      </c>
      <c r="R5" s="53">
        <f>AVERAGE(E5,H5,K5,N5,Q5)</f>
        <v>0.67888888888888888</v>
      </c>
      <c r="S5" s="54"/>
    </row>
    <row r="6" spans="2:19" ht="33.299999999999997" customHeight="1" thickBot="1" x14ac:dyDescent="0.6">
      <c r="B6" s="24" t="s">
        <v>2</v>
      </c>
      <c r="C6" s="2">
        <v>26</v>
      </c>
      <c r="D6" s="14">
        <v>30</v>
      </c>
      <c r="E6" s="50">
        <f t="shared" ref="E6:E9" si="0">C6/D6</f>
        <v>0.8666666666666667</v>
      </c>
      <c r="F6" s="15">
        <v>16</v>
      </c>
      <c r="G6" s="14">
        <v>18</v>
      </c>
      <c r="H6" s="50">
        <f t="shared" ref="H6:H9" si="1">F6/G6</f>
        <v>0.88888888888888884</v>
      </c>
      <c r="I6" s="2">
        <v>13</v>
      </c>
      <c r="J6" s="14">
        <v>18</v>
      </c>
      <c r="K6" s="50">
        <f t="shared" ref="K6:K9" si="2">I6/J6</f>
        <v>0.72222222222222221</v>
      </c>
      <c r="L6" s="15">
        <v>25</v>
      </c>
      <c r="M6" s="14">
        <v>33</v>
      </c>
      <c r="N6" s="50">
        <f t="shared" ref="N6:N9" si="3">L6/M6</f>
        <v>0.75757575757575757</v>
      </c>
      <c r="O6" s="2">
        <v>28</v>
      </c>
      <c r="P6" s="14">
        <v>30</v>
      </c>
      <c r="Q6" s="52">
        <f t="shared" ref="Q6:Q9" si="4">O6/P6</f>
        <v>0.93333333333333335</v>
      </c>
      <c r="R6" s="53">
        <f>AVERAGE(E6,H6,K6,N6,Q6)</f>
        <v>0.83373737373737389</v>
      </c>
      <c r="S6" s="54"/>
    </row>
    <row r="7" spans="2:19" ht="33.299999999999997" customHeight="1" thickBot="1" x14ac:dyDescent="0.6">
      <c r="B7" s="24" t="s">
        <v>3</v>
      </c>
      <c r="C7" s="2">
        <v>26</v>
      </c>
      <c r="D7" s="14">
        <v>31</v>
      </c>
      <c r="E7" s="50">
        <f t="shared" si="0"/>
        <v>0.83870967741935487</v>
      </c>
      <c r="F7" s="15">
        <v>16</v>
      </c>
      <c r="G7" s="14">
        <v>19</v>
      </c>
      <c r="H7" s="50">
        <f t="shared" si="1"/>
        <v>0.84210526315789469</v>
      </c>
      <c r="I7" s="2">
        <v>18</v>
      </c>
      <c r="J7" s="14">
        <v>25</v>
      </c>
      <c r="K7" s="50">
        <f t="shared" si="2"/>
        <v>0.72</v>
      </c>
      <c r="L7" s="15">
        <v>24</v>
      </c>
      <c r="M7" s="14">
        <v>35</v>
      </c>
      <c r="N7" s="50">
        <f t="shared" si="3"/>
        <v>0.68571428571428572</v>
      </c>
      <c r="O7" s="2">
        <v>26</v>
      </c>
      <c r="P7" s="14">
        <v>31</v>
      </c>
      <c r="Q7" s="52">
        <f t="shared" si="4"/>
        <v>0.83870967741935487</v>
      </c>
      <c r="R7" s="53">
        <f t="shared" ref="R7:R9" si="5">AVERAGE(E7,H7,K7,N7,Q7)</f>
        <v>0.78504778074217807</v>
      </c>
      <c r="S7" s="54"/>
    </row>
    <row r="8" spans="2:19" ht="33.299999999999997" customHeight="1" thickBot="1" x14ac:dyDescent="0.6">
      <c r="B8" s="24" t="s">
        <v>4</v>
      </c>
      <c r="C8" s="2">
        <v>23</v>
      </c>
      <c r="D8" s="14">
        <v>25</v>
      </c>
      <c r="E8" s="50">
        <f t="shared" si="0"/>
        <v>0.92</v>
      </c>
      <c r="F8" s="15">
        <v>9</v>
      </c>
      <c r="G8" s="14">
        <v>10</v>
      </c>
      <c r="H8" s="50">
        <f t="shared" si="1"/>
        <v>0.9</v>
      </c>
      <c r="I8" s="2">
        <v>9</v>
      </c>
      <c r="J8" s="14">
        <v>14</v>
      </c>
      <c r="K8" s="50">
        <f t="shared" si="2"/>
        <v>0.6428571428571429</v>
      </c>
      <c r="L8" s="15">
        <v>20</v>
      </c>
      <c r="M8" s="14">
        <v>25</v>
      </c>
      <c r="N8" s="50">
        <f t="shared" si="3"/>
        <v>0.8</v>
      </c>
      <c r="O8" s="2">
        <v>10</v>
      </c>
      <c r="P8" s="14">
        <v>16</v>
      </c>
      <c r="Q8" s="52">
        <f t="shared" si="4"/>
        <v>0.625</v>
      </c>
      <c r="R8" s="53">
        <f t="shared" si="5"/>
        <v>0.77757142857142869</v>
      </c>
      <c r="S8" s="54"/>
    </row>
    <row r="9" spans="2:19" ht="33.299999999999997" customHeight="1" thickBot="1" x14ac:dyDescent="0.6">
      <c r="B9" s="25" t="s">
        <v>5</v>
      </c>
      <c r="C9" s="3">
        <v>19</v>
      </c>
      <c r="D9" s="16">
        <v>23</v>
      </c>
      <c r="E9" s="50">
        <f t="shared" si="0"/>
        <v>0.82608695652173914</v>
      </c>
      <c r="F9" s="18">
        <v>10</v>
      </c>
      <c r="G9" s="16">
        <v>11</v>
      </c>
      <c r="H9" s="50">
        <f t="shared" si="1"/>
        <v>0.90909090909090906</v>
      </c>
      <c r="I9" s="3">
        <v>10</v>
      </c>
      <c r="J9" s="16">
        <v>14</v>
      </c>
      <c r="K9" s="50">
        <f t="shared" si="2"/>
        <v>0.7142857142857143</v>
      </c>
      <c r="L9" s="18">
        <v>30</v>
      </c>
      <c r="M9" s="16">
        <v>39</v>
      </c>
      <c r="N9" s="50">
        <f t="shared" si="3"/>
        <v>0.76923076923076927</v>
      </c>
      <c r="O9" s="3">
        <v>15</v>
      </c>
      <c r="P9" s="16">
        <v>19</v>
      </c>
      <c r="Q9" s="52">
        <f t="shared" si="4"/>
        <v>0.78947368421052633</v>
      </c>
      <c r="R9" s="55">
        <f t="shared" si="5"/>
        <v>0.80163360666793149</v>
      </c>
      <c r="S9" s="56"/>
    </row>
    <row r="10" spans="2:19" ht="31.8" customHeight="1" thickBot="1" x14ac:dyDescent="0.6">
      <c r="C10" s="26" t="s">
        <v>11</v>
      </c>
      <c r="D10" s="27"/>
      <c r="E10" s="51">
        <f>AVERAGE(E5:E9)</f>
        <v>0.85325562308451508</v>
      </c>
      <c r="F10" s="26" t="s">
        <v>11</v>
      </c>
      <c r="G10" s="27"/>
      <c r="H10" s="51">
        <f>AVERAGE(H5:H9)</f>
        <v>0.86801701222753846</v>
      </c>
      <c r="I10" s="26" t="s">
        <v>11</v>
      </c>
      <c r="J10" s="27"/>
      <c r="K10" s="51">
        <f>AVERAGE(K5:K9)</f>
        <v>0.68987301587301597</v>
      </c>
      <c r="L10" s="26" t="s">
        <v>11</v>
      </c>
      <c r="M10" s="27"/>
      <c r="N10" s="51">
        <f>AVERAGE(N5:N9)</f>
        <v>0.70250416250416259</v>
      </c>
      <c r="O10" s="26" t="s">
        <v>11</v>
      </c>
      <c r="P10" s="27"/>
      <c r="Q10" s="51">
        <f>AVERAGE(Q5:Q9)</f>
        <v>0.76322926491856879</v>
      </c>
    </row>
  </sheetData>
  <mergeCells count="16">
    <mergeCell ref="R3:S4"/>
    <mergeCell ref="R5:S5"/>
    <mergeCell ref="R6:S6"/>
    <mergeCell ref="R7:S7"/>
    <mergeCell ref="R8:S8"/>
    <mergeCell ref="R9:S9"/>
    <mergeCell ref="L3:N3"/>
    <mergeCell ref="C10:D10"/>
    <mergeCell ref="F10:G10"/>
    <mergeCell ref="I10:J10"/>
    <mergeCell ref="L10:M10"/>
    <mergeCell ref="O10:P10"/>
    <mergeCell ref="C3:E3"/>
    <mergeCell ref="F3:H3"/>
    <mergeCell ref="I3:K3"/>
    <mergeCell ref="O3:Q3"/>
  </mergeCells>
  <conditionalFormatting sqref="R5:S9">
    <cfRule type="colorScale" priority="2">
      <colorScale>
        <cfvo type="min"/>
        <cfvo type="max"/>
        <color rgb="FFF8696B"/>
        <color rgb="FFFCFCFF"/>
      </colorScale>
    </cfRule>
  </conditionalFormatting>
  <conditionalFormatting sqref="H10 E10 K10 N10 Q10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 Length</vt:lpstr>
      <vt:lpstr>English 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2019-04-20T11:46:22Z</dcterms:modified>
</cp:coreProperties>
</file>