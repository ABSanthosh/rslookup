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56" windowHeight="6384" activeTab="5"/>
  </bookViews>
  <sheets>
    <sheet name="MLR(90) Q2 " sheetId="16" r:id="rId1"/>
    <sheet name="MLR(99) Q2 " sheetId="17" r:id="rId2"/>
    <sheet name="Q2" sheetId="1" r:id="rId3"/>
    <sheet name="ANOVA q3" sheetId="18" r:id="rId4"/>
    <sheet name="Q3" sheetId="14" r:id="rId5"/>
    <sheet name="Q5" sheetId="15" r:id="rId6"/>
  </sheets>
  <definedNames>
    <definedName name="solver_adj" localSheetId="5" hidden="1">'Q5'!$K$4:$O$8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est" localSheetId="5" hidden="1">1</definedName>
    <definedName name="solver_itr" localSheetId="5" hidden="1">2147483647</definedName>
    <definedName name="solver_lhs1" localSheetId="5" hidden="1">'Q5'!$K$10:$O$10</definedName>
    <definedName name="solver_lhs2" localSheetId="5" hidden="1">'Q5'!$K$4:$O$8</definedName>
    <definedName name="solver_lhs3" localSheetId="5" hidden="1">'Q5'!$Q$4:$Q$8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3</definedName>
    <definedName name="solver_nwt" localSheetId="5" hidden="1">1</definedName>
    <definedName name="solver_opt" localSheetId="5" hidden="1">'Q5'!$J$15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el2" localSheetId="5" hidden="1">5</definedName>
    <definedName name="solver_rel3" localSheetId="5" hidden="1">2</definedName>
    <definedName name="solver_rhs1" localSheetId="5" hidden="1">'Q5'!$K$12:$O$12</definedName>
    <definedName name="solver_rhs2" localSheetId="5" hidden="1">binary</definedName>
    <definedName name="solver_rhs3" localSheetId="5" hidden="1">'Q5'!$S$4:$S$8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52511"/>
</workbook>
</file>

<file path=xl/calcChain.xml><?xml version="1.0" encoding="utf-8"?>
<calcChain xmlns="http://schemas.openxmlformats.org/spreadsheetml/2006/main">
  <c r="L3" i="14" l="1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2" i="14"/>
  <c r="G24" i="14"/>
  <c r="F24" i="14"/>
  <c r="E24" i="14"/>
  <c r="D24" i="14"/>
  <c r="L18" i="17"/>
  <c r="C26" i="16"/>
  <c r="J15" i="15" l="1"/>
  <c r="Q5" i="15"/>
  <c r="Q6" i="15"/>
  <c r="Q7" i="15"/>
  <c r="Q8" i="15"/>
  <c r="Q4" i="15"/>
  <c r="L10" i="15"/>
  <c r="M10" i="15"/>
  <c r="N10" i="15"/>
  <c r="O10" i="15"/>
  <c r="K10" i="15"/>
</calcChain>
</file>

<file path=xl/sharedStrings.xml><?xml version="1.0" encoding="utf-8"?>
<sst xmlns="http://schemas.openxmlformats.org/spreadsheetml/2006/main" count="120" uniqueCount="65">
  <si>
    <t>Y</t>
  </si>
  <si>
    <t>X1</t>
  </si>
  <si>
    <t>X2</t>
  </si>
  <si>
    <t>X3</t>
  </si>
  <si>
    <t>X4</t>
  </si>
  <si>
    <t>X5</t>
  </si>
  <si>
    <t>Job 1</t>
  </si>
  <si>
    <t>Job 2</t>
  </si>
  <si>
    <t>Job 3</t>
  </si>
  <si>
    <t>Job 4</t>
  </si>
  <si>
    <t>Job 5</t>
  </si>
  <si>
    <t>Worker 1</t>
  </si>
  <si>
    <t>Worker 2</t>
  </si>
  <si>
    <t>Worker 3</t>
  </si>
  <si>
    <t>Worker 4</t>
  </si>
  <si>
    <t>Sample 1</t>
  </si>
  <si>
    <t>Sample 2</t>
  </si>
  <si>
    <t>Sample 3</t>
  </si>
  <si>
    <t>Sample 4</t>
  </si>
  <si>
    <t>Worker 5</t>
  </si>
  <si>
    <t>Col total</t>
  </si>
  <si>
    <t>Row Total</t>
  </si>
  <si>
    <t>Total 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</si>
  <si>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</si>
  <si>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</si>
  <si>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</si>
  <si>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</si>
  <si>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</si>
  <si>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</si>
  <si>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</si>
  <si>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</si>
  <si>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</si>
  <si>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</si>
  <si>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</si>
  <si>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</si>
  <si>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</si>
  <si>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</si>
  <si>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</si>
  <si>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</si>
  <si>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</si>
  <si>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</si>
  <si>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</si>
  <si>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</si>
  <si>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</si>
  <si>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</si>
  <si>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90.0%</t>
  </si>
  <si>
    <t>Upper 90.0%</t>
  </si>
  <si>
    <t>Lower 99.0%</t>
  </si>
  <si>
    <t>Upper 99.0%</t>
  </si>
  <si>
    <t xml:space="preserve">Medians </t>
  </si>
  <si>
    <t>Difference 1</t>
  </si>
  <si>
    <t>Difference 2</t>
  </si>
  <si>
    <t>Difference 3</t>
  </si>
  <si>
    <t>Difference 4</t>
  </si>
  <si>
    <t>Anova: Single Factor</t>
  </si>
  <si>
    <t>SUMMARY</t>
  </si>
  <si>
    <t>Groups</t>
  </si>
  <si>
    <t>Count</t>
  </si>
  <si>
    <t>Sum</t>
  </si>
  <si>
    <t>Average</t>
  </si>
  <si>
    <t>Variance</t>
  </si>
  <si>
    <t>Source of Variation</t>
  </si>
  <si>
    <t>F crit</t>
  </si>
  <si>
    <t>Between Groups</t>
  </si>
  <si>
    <t>Within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</si>
</sst>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C26" sqref="C26"/>
    </sheetView>
  </sheetViews>
  <sheetFormatPr defaultRowHeight="14.4" x14ac:dyDescent="0.3"/>
  <cols>
    <col min="2" max="2" width="12.6640625" bestFit="1" customWidth="1"/>
    <col min="3" max="3" width="13.44140625" bestFit="1" customWidth="1"/>
  </cols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0.98295295520451265</v>
      </c>
    </row>
    <row r="5" spans="1:9" x14ac:dyDescent="0.3">
      <c r="A5" s="2" t="s">
        <v>26</v>
      </c>
      <c r="B5" s="2">
        <v>0.96619651214528457</v>
      </c>
    </row>
    <row r="6" spans="1:9" x14ac:dyDescent="0.3">
      <c r="A6" s="2" t="s">
        <v>27</v>
      </c>
      <c r="B6" s="2">
        <v>0.96267531549375163</v>
      </c>
    </row>
    <row r="7" spans="1:9" x14ac:dyDescent="0.3">
      <c r="A7" s="2" t="s">
        <v>28</v>
      </c>
      <c r="B7" s="2">
        <v>25.083647863297852</v>
      </c>
    </row>
    <row r="8" spans="1:9" ht="15" thickBot="1" x14ac:dyDescent="0.35">
      <c r="A8" s="3" t="s">
        <v>29</v>
      </c>
      <c r="B8" s="3">
        <v>54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5</v>
      </c>
      <c r="C12" s="2">
        <v>863230.10951080022</v>
      </c>
      <c r="D12" s="2">
        <v>172646.02190216005</v>
      </c>
      <c r="E12" s="2">
        <v>274.39436298585525</v>
      </c>
      <c r="F12" s="2">
        <v>4.5007872701535735E-34</v>
      </c>
    </row>
    <row r="13" spans="1:9" x14ac:dyDescent="0.3">
      <c r="A13" s="2" t="s">
        <v>32</v>
      </c>
      <c r="B13" s="2">
        <v>48</v>
      </c>
      <c r="C13" s="2">
        <v>30201.090726236489</v>
      </c>
      <c r="D13" s="2">
        <v>629.18939012992689</v>
      </c>
      <c r="E13" s="2"/>
      <c r="F13" s="2"/>
    </row>
    <row r="14" spans="1:9" ht="15" thickBot="1" x14ac:dyDescent="0.35">
      <c r="A14" s="3" t="s">
        <v>33</v>
      </c>
      <c r="B14" s="3">
        <v>53</v>
      </c>
      <c r="C14" s="3">
        <v>893431.20023703668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-7.1254931629783886</v>
      </c>
      <c r="C17" s="2">
        <v>25.622977733225941</v>
      </c>
      <c r="D17" s="2">
        <v>-0.27808997210104069</v>
      </c>
      <c r="E17" s="2">
        <v>0.78213770261972093</v>
      </c>
      <c r="F17" s="2">
        <v>-58.643942787234202</v>
      </c>
      <c r="G17" s="2">
        <v>44.392956461277429</v>
      </c>
      <c r="H17" s="2">
        <v>-50.100971393900096</v>
      </c>
      <c r="I17" s="2">
        <v>35.849985067943322</v>
      </c>
    </row>
    <row r="18" spans="1:9" x14ac:dyDescent="0.3">
      <c r="A18" s="2" t="s">
        <v>1</v>
      </c>
      <c r="B18" s="2">
        <v>7.1845360310950452</v>
      </c>
      <c r="C18" s="2">
        <v>0.20207963416246366</v>
      </c>
      <c r="D18" s="2">
        <v>35.552994050449321</v>
      </c>
      <c r="E18" s="2">
        <v>3.8554681487890233E-36</v>
      </c>
      <c r="F18" s="2">
        <v>6.7782276948400071</v>
      </c>
      <c r="G18" s="2">
        <v>7.5908443673500834</v>
      </c>
      <c r="H18" s="2">
        <v>6.845603179133807</v>
      </c>
      <c r="I18" s="2">
        <v>7.5234688830562835</v>
      </c>
    </row>
    <row r="19" spans="1:9" x14ac:dyDescent="0.3">
      <c r="A19" s="2" t="s">
        <v>2</v>
      </c>
      <c r="B19" s="2">
        <v>5.7708727420771595</v>
      </c>
      <c r="C19" s="2">
        <v>2.6329708074483964</v>
      </c>
      <c r="D19" s="2">
        <v>2.191772398597041</v>
      </c>
      <c r="E19" s="2">
        <v>3.3279521235479309E-2</v>
      </c>
      <c r="F19" s="2">
        <v>0.47693012081147579</v>
      </c>
      <c r="G19" s="2">
        <v>11.064815363342843</v>
      </c>
      <c r="H19" s="2">
        <v>1.3547903961356722</v>
      </c>
      <c r="I19" s="2">
        <v>10.186955088018646</v>
      </c>
    </row>
    <row r="20" spans="1:9" x14ac:dyDescent="0.3">
      <c r="A20" s="2" t="s">
        <v>3</v>
      </c>
      <c r="B20" s="2">
        <v>-1.0685690604768201</v>
      </c>
      <c r="C20" s="2">
        <v>6.0933463313814488E-2</v>
      </c>
      <c r="D20" s="2">
        <v>-17.536653956030104</v>
      </c>
      <c r="E20" s="2">
        <v>1.651358825926517E-22</v>
      </c>
      <c r="F20" s="2">
        <v>-1.1910839997179965</v>
      </c>
      <c r="G20" s="2">
        <v>-0.9460541212356437</v>
      </c>
      <c r="H20" s="2">
        <v>-1.1707681395004044</v>
      </c>
      <c r="I20" s="2">
        <v>-0.96636998145323572</v>
      </c>
    </row>
    <row r="21" spans="1:9" x14ac:dyDescent="0.3">
      <c r="A21" s="2" t="s">
        <v>4</v>
      </c>
      <c r="B21" s="2">
        <v>4.1959038882287455E-2</v>
      </c>
      <c r="C21" s="2">
        <v>4.1345690611285159E-2</v>
      </c>
      <c r="D21" s="2">
        <v>1.014834636014881</v>
      </c>
      <c r="E21" s="2">
        <v>0.31527294754100266</v>
      </c>
      <c r="F21" s="2">
        <v>-4.1172043738740338E-2</v>
      </c>
      <c r="G21" s="2">
        <v>0.12509012150331525</v>
      </c>
      <c r="H21" s="2">
        <v>-2.7386953816430915E-2</v>
      </c>
      <c r="I21" s="2">
        <v>0.11130503158100583</v>
      </c>
    </row>
    <row r="22" spans="1:9" ht="15" thickBot="1" x14ac:dyDescent="0.35">
      <c r="A22" s="3" t="s">
        <v>5</v>
      </c>
      <c r="B22" s="3">
        <v>4.5607506266687494</v>
      </c>
      <c r="C22" s="3">
        <v>5.2536966873092581</v>
      </c>
      <c r="D22" s="3">
        <v>0.86810314681576928</v>
      </c>
      <c r="E22" s="3">
        <v>0.38965751080590927</v>
      </c>
      <c r="F22" s="3">
        <v>-6.0025145388505283</v>
      </c>
      <c r="G22" s="3">
        <v>15.124015792188027</v>
      </c>
      <c r="H22" s="3">
        <v>-4.2508765763846217</v>
      </c>
      <c r="I22" s="3">
        <v>13.372377829722121</v>
      </c>
    </row>
    <row r="26" spans="1:9" x14ac:dyDescent="0.3">
      <c r="C26">
        <f>_xlfn.T.INV.2T(0.1, 48)</f>
        <v>1.6772241961243386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L19" sqref="L19"/>
    </sheetView>
  </sheetViews>
  <sheetFormatPr defaultRowHeight="14.4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0.98295295520451265</v>
      </c>
    </row>
    <row r="5" spans="1:9" x14ac:dyDescent="0.3">
      <c r="A5" s="2" t="s">
        <v>26</v>
      </c>
      <c r="B5" s="2">
        <v>0.96619651214528457</v>
      </c>
    </row>
    <row r="6" spans="1:9" x14ac:dyDescent="0.3">
      <c r="A6" s="2" t="s">
        <v>27</v>
      </c>
      <c r="B6" s="2">
        <v>0.96267531549375163</v>
      </c>
    </row>
    <row r="7" spans="1:9" x14ac:dyDescent="0.3">
      <c r="A7" s="2" t="s">
        <v>28</v>
      </c>
      <c r="B7" s="2">
        <v>25.083647863297852</v>
      </c>
    </row>
    <row r="8" spans="1:9" ht="15" thickBot="1" x14ac:dyDescent="0.35">
      <c r="A8" s="3" t="s">
        <v>29</v>
      </c>
      <c r="B8" s="3">
        <v>54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5</v>
      </c>
      <c r="C12" s="2">
        <v>863230.10951080022</v>
      </c>
      <c r="D12" s="2">
        <v>172646.02190216005</v>
      </c>
      <c r="E12" s="2">
        <v>274.39436298585525</v>
      </c>
      <c r="F12" s="2">
        <v>4.5007872701535735E-34</v>
      </c>
    </row>
    <row r="13" spans="1:9" x14ac:dyDescent="0.3">
      <c r="A13" s="2" t="s">
        <v>32</v>
      </c>
      <c r="B13" s="2">
        <v>48</v>
      </c>
      <c r="C13" s="2">
        <v>30201.090726236489</v>
      </c>
      <c r="D13" s="2">
        <v>629.18939012992689</v>
      </c>
      <c r="E13" s="2"/>
      <c r="F13" s="2"/>
    </row>
    <row r="14" spans="1:9" ht="15" thickBot="1" x14ac:dyDescent="0.35">
      <c r="A14" s="3" t="s">
        <v>33</v>
      </c>
      <c r="B14" s="3">
        <v>53</v>
      </c>
      <c r="C14" s="3">
        <v>893431.20023703668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47</v>
      </c>
      <c r="I16" s="4" t="s">
        <v>48</v>
      </c>
    </row>
    <row r="17" spans="1:12" x14ac:dyDescent="0.3">
      <c r="A17" s="2" t="s">
        <v>34</v>
      </c>
      <c r="B17" s="2">
        <v>-7.1254931629783886</v>
      </c>
      <c r="C17" s="2">
        <v>25.622977733225941</v>
      </c>
      <c r="D17" s="2">
        <v>-0.27808997210104069</v>
      </c>
      <c r="E17" s="2">
        <v>0.78213770261972093</v>
      </c>
      <c r="F17" s="2">
        <v>-58.643942787234202</v>
      </c>
      <c r="G17" s="2">
        <v>44.392956461277429</v>
      </c>
      <c r="H17" s="2">
        <v>-75.851547221492709</v>
      </c>
      <c r="I17" s="2">
        <v>61.600560895535935</v>
      </c>
    </row>
    <row r="18" spans="1:12" x14ac:dyDescent="0.3">
      <c r="A18" s="2" t="s">
        <v>1</v>
      </c>
      <c r="B18" s="2">
        <v>7.1845360310950452</v>
      </c>
      <c r="C18" s="2">
        <v>0.20207963416246366</v>
      </c>
      <c r="D18" s="2">
        <v>35.552994050449321</v>
      </c>
      <c r="E18" s="2">
        <v>3.8554681487890233E-36</v>
      </c>
      <c r="F18" s="2">
        <v>6.7782276948400071</v>
      </c>
      <c r="G18" s="2">
        <v>7.5908443673500834</v>
      </c>
      <c r="H18" s="2">
        <v>6.6425172225798592</v>
      </c>
      <c r="I18" s="2">
        <v>7.7265548396102313</v>
      </c>
      <c r="L18">
        <f>_xlfn.T.INV.2T(0.01, 48)</f>
        <v>2.6822040269502154</v>
      </c>
    </row>
    <row r="19" spans="1:12" x14ac:dyDescent="0.3">
      <c r="A19" s="2" t="s">
        <v>2</v>
      </c>
      <c r="B19" s="2">
        <v>5.7708727420771595</v>
      </c>
      <c r="C19" s="2">
        <v>2.6329708074483964</v>
      </c>
      <c r="D19" s="2">
        <v>2.191772398597041</v>
      </c>
      <c r="E19" s="2">
        <v>3.3279521235479309E-2</v>
      </c>
      <c r="F19" s="2">
        <v>0.47693012081147579</v>
      </c>
      <c r="G19" s="2">
        <v>11.064815363342843</v>
      </c>
      <c r="H19" s="2">
        <v>-1.2912921605032892</v>
      </c>
      <c r="I19" s="2">
        <v>12.833037644657608</v>
      </c>
    </row>
    <row r="20" spans="1:12" x14ac:dyDescent="0.3">
      <c r="A20" s="2" t="s">
        <v>3</v>
      </c>
      <c r="B20" s="2">
        <v>-1.0685690604768201</v>
      </c>
      <c r="C20" s="2">
        <v>6.0933463313814488E-2</v>
      </c>
      <c r="D20" s="2">
        <v>-17.536653956030104</v>
      </c>
      <c r="E20" s="2">
        <v>1.651358825926517E-22</v>
      </c>
      <c r="F20" s="2">
        <v>-1.1910839997179965</v>
      </c>
      <c r="G20" s="2">
        <v>-0.9460541212356437</v>
      </c>
      <c r="H20" s="2">
        <v>-1.2320050411531565</v>
      </c>
      <c r="I20" s="2">
        <v>-0.90513307980048363</v>
      </c>
    </row>
    <row r="21" spans="1:12" x14ac:dyDescent="0.3">
      <c r="A21" s="2" t="s">
        <v>4</v>
      </c>
      <c r="B21" s="2">
        <v>4.1959038882287455E-2</v>
      </c>
      <c r="C21" s="2">
        <v>4.1345690611285159E-2</v>
      </c>
      <c r="D21" s="2">
        <v>1.014834636014881</v>
      </c>
      <c r="E21" s="2">
        <v>0.31527294754100266</v>
      </c>
      <c r="F21" s="2">
        <v>-4.1172043738740338E-2</v>
      </c>
      <c r="G21" s="2">
        <v>0.12509012150331525</v>
      </c>
      <c r="H21" s="2">
        <v>-6.8938538972339314E-2</v>
      </c>
      <c r="I21" s="2">
        <v>0.15285661673691422</v>
      </c>
    </row>
    <row r="22" spans="1:12" ht="15" thickBot="1" x14ac:dyDescent="0.35">
      <c r="A22" s="3" t="s">
        <v>5</v>
      </c>
      <c r="B22" s="3">
        <v>4.5607506266687494</v>
      </c>
      <c r="C22" s="3">
        <v>5.2536966873092581</v>
      </c>
      <c r="D22" s="3">
        <v>0.86810314681576928</v>
      </c>
      <c r="E22" s="3">
        <v>0.38965751080590927</v>
      </c>
      <c r="F22" s="3">
        <v>-6.0025145388505283</v>
      </c>
      <c r="G22" s="3">
        <v>15.124015792188027</v>
      </c>
      <c r="H22" s="3">
        <v>-9.530735784407149</v>
      </c>
      <c r="I22" s="3">
        <v>18.652237037744648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J56"/>
  <sheetViews>
    <sheetView topLeftCell="A26" workbookViewId="0">
      <selection activeCell="B40" sqref="B40"/>
    </sheetView>
  </sheetViews>
  <sheetFormatPr defaultRowHeight="14.4" x14ac:dyDescent="0.3"/>
  <sheetData>
    <row r="2" spans="4:10" x14ac:dyDescent="0.3">
      <c r="D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</row>
    <row r="3" spans="4:10" x14ac:dyDescent="0.3">
      <c r="D3">
        <v>88.56</v>
      </c>
      <c r="F3">
        <v>27</v>
      </c>
      <c r="G3">
        <v>6</v>
      </c>
      <c r="H3">
        <v>138</v>
      </c>
      <c r="I3">
        <v>292</v>
      </c>
      <c r="J3">
        <v>1.3</v>
      </c>
    </row>
    <row r="4" spans="4:10" x14ac:dyDescent="0.3">
      <c r="D4">
        <v>10.159999999999997</v>
      </c>
      <c r="F4">
        <v>23</v>
      </c>
      <c r="G4">
        <v>3.6</v>
      </c>
      <c r="H4">
        <v>211</v>
      </c>
      <c r="I4">
        <v>316</v>
      </c>
      <c r="J4">
        <v>1</v>
      </c>
    </row>
    <row r="5" spans="4:10" x14ac:dyDescent="0.3">
      <c r="D5">
        <v>1.9500000000000171</v>
      </c>
      <c r="F5">
        <v>20</v>
      </c>
      <c r="G5">
        <v>3.5</v>
      </c>
      <c r="H5">
        <v>140</v>
      </c>
      <c r="I5">
        <v>254</v>
      </c>
      <c r="J5">
        <v>2.6</v>
      </c>
    </row>
    <row r="6" spans="4:10" x14ac:dyDescent="0.3">
      <c r="D6">
        <v>326.95999999999992</v>
      </c>
      <c r="F6">
        <v>60</v>
      </c>
      <c r="G6">
        <v>4.4000000000000004</v>
      </c>
      <c r="H6">
        <v>149</v>
      </c>
      <c r="I6">
        <v>452</v>
      </c>
      <c r="J6">
        <v>1.1000000000000001</v>
      </c>
    </row>
    <row r="7" spans="4:10" x14ac:dyDescent="0.3">
      <c r="D7">
        <v>207.93999999999997</v>
      </c>
      <c r="F7">
        <v>46</v>
      </c>
      <c r="G7">
        <v>4.4000000000000004</v>
      </c>
      <c r="H7">
        <v>142</v>
      </c>
      <c r="I7">
        <v>488</v>
      </c>
      <c r="J7">
        <v>1</v>
      </c>
    </row>
    <row r="8" spans="4:10" x14ac:dyDescent="0.3">
      <c r="D8">
        <v>395.25000000000006</v>
      </c>
      <c r="F8">
        <v>74</v>
      </c>
      <c r="G8">
        <v>3.9</v>
      </c>
      <c r="H8">
        <v>190</v>
      </c>
      <c r="I8">
        <v>352</v>
      </c>
      <c r="J8">
        <v>1.2</v>
      </c>
    </row>
    <row r="9" spans="4:10" x14ac:dyDescent="0.3">
      <c r="D9">
        <v>193.52999999999997</v>
      </c>
      <c r="F9">
        <v>41</v>
      </c>
      <c r="G9">
        <v>5.0999999999999996</v>
      </c>
      <c r="H9">
        <v>141</v>
      </c>
      <c r="I9">
        <v>349</v>
      </c>
      <c r="J9">
        <v>1.1000000000000001</v>
      </c>
    </row>
    <row r="10" spans="4:10" x14ac:dyDescent="0.3">
      <c r="D10">
        <v>-3.9099999999999966</v>
      </c>
      <c r="F10">
        <v>26</v>
      </c>
      <c r="G10">
        <v>6.1</v>
      </c>
      <c r="H10">
        <v>248</v>
      </c>
      <c r="I10">
        <v>227</v>
      </c>
      <c r="J10">
        <v>3</v>
      </c>
    </row>
    <row r="11" spans="4:10" x14ac:dyDescent="0.3">
      <c r="D11">
        <v>369.12</v>
      </c>
      <c r="F11">
        <v>72</v>
      </c>
      <c r="G11">
        <v>3.3</v>
      </c>
      <c r="H11">
        <v>150</v>
      </c>
      <c r="I11">
        <v>296</v>
      </c>
      <c r="J11">
        <v>1.7</v>
      </c>
    </row>
    <row r="12" spans="4:10" x14ac:dyDescent="0.3">
      <c r="D12">
        <v>234.09999999999997</v>
      </c>
      <c r="F12">
        <v>74</v>
      </c>
      <c r="G12">
        <v>2.2000000000000002</v>
      </c>
      <c r="H12">
        <v>294</v>
      </c>
      <c r="I12">
        <v>453</v>
      </c>
      <c r="J12">
        <v>1.8</v>
      </c>
    </row>
    <row r="13" spans="4:10" x14ac:dyDescent="0.3">
      <c r="D13">
        <v>229.18000000000006</v>
      </c>
      <c r="F13">
        <v>70</v>
      </c>
      <c r="G13">
        <v>4</v>
      </c>
      <c r="H13">
        <v>289</v>
      </c>
      <c r="I13">
        <v>233</v>
      </c>
      <c r="J13">
        <v>1.2</v>
      </c>
    </row>
    <row r="14" spans="4:10" x14ac:dyDescent="0.3">
      <c r="D14">
        <v>-42.34</v>
      </c>
      <c r="F14">
        <v>21</v>
      </c>
      <c r="G14">
        <v>3</v>
      </c>
      <c r="H14">
        <v>211</v>
      </c>
      <c r="I14">
        <v>354</v>
      </c>
      <c r="J14">
        <v>2.1</v>
      </c>
    </row>
    <row r="15" spans="4:10" x14ac:dyDescent="0.3">
      <c r="D15">
        <v>83.910000000000025</v>
      </c>
      <c r="F15">
        <v>44</v>
      </c>
      <c r="G15">
        <v>5.0999999999999996</v>
      </c>
      <c r="H15">
        <v>244</v>
      </c>
      <c r="I15">
        <v>367</v>
      </c>
      <c r="J15">
        <v>1.6</v>
      </c>
    </row>
    <row r="16" spans="4:10" x14ac:dyDescent="0.3">
      <c r="D16">
        <v>-50.3900000000001</v>
      </c>
      <c r="F16">
        <v>37</v>
      </c>
      <c r="G16">
        <v>3.8</v>
      </c>
      <c r="H16">
        <v>295</v>
      </c>
      <c r="I16">
        <v>206</v>
      </c>
      <c r="J16">
        <v>2</v>
      </c>
    </row>
    <row r="17" spans="4:10" x14ac:dyDescent="0.3">
      <c r="D17">
        <v>254.88</v>
      </c>
      <c r="F17">
        <v>49</v>
      </c>
      <c r="G17">
        <v>6.1</v>
      </c>
      <c r="H17">
        <v>143</v>
      </c>
      <c r="I17">
        <v>477</v>
      </c>
      <c r="J17">
        <v>1</v>
      </c>
    </row>
    <row r="18" spans="4:10" x14ac:dyDescent="0.3">
      <c r="D18">
        <v>212.48</v>
      </c>
      <c r="F18">
        <v>57</v>
      </c>
      <c r="G18">
        <v>5</v>
      </c>
      <c r="H18">
        <v>253</v>
      </c>
      <c r="I18">
        <v>323</v>
      </c>
      <c r="J18">
        <v>2.2000000000000002</v>
      </c>
    </row>
    <row r="19" spans="4:10" x14ac:dyDescent="0.3">
      <c r="D19">
        <v>89.359999999999985</v>
      </c>
      <c r="F19">
        <v>30</v>
      </c>
      <c r="G19">
        <v>2.7</v>
      </c>
      <c r="H19">
        <v>157</v>
      </c>
      <c r="I19">
        <v>249</v>
      </c>
      <c r="J19">
        <v>1.5</v>
      </c>
    </row>
    <row r="20" spans="4:10" x14ac:dyDescent="0.3">
      <c r="D20">
        <v>356.9799999999999</v>
      </c>
      <c r="F20">
        <v>68</v>
      </c>
      <c r="G20">
        <v>5.5</v>
      </c>
      <c r="H20">
        <v>211</v>
      </c>
      <c r="I20">
        <v>351</v>
      </c>
      <c r="J20">
        <v>2.8</v>
      </c>
    </row>
    <row r="21" spans="4:10" x14ac:dyDescent="0.3">
      <c r="D21">
        <v>142.04000000000002</v>
      </c>
      <c r="F21">
        <v>51</v>
      </c>
      <c r="G21">
        <v>5.8</v>
      </c>
      <c r="H21">
        <v>299</v>
      </c>
      <c r="I21">
        <v>416</v>
      </c>
      <c r="J21">
        <v>1.8</v>
      </c>
    </row>
    <row r="22" spans="4:10" x14ac:dyDescent="0.3">
      <c r="D22">
        <v>136.20000000000005</v>
      </c>
      <c r="F22">
        <v>60</v>
      </c>
      <c r="G22">
        <v>2</v>
      </c>
      <c r="H22">
        <v>273</v>
      </c>
      <c r="I22">
        <v>269</v>
      </c>
      <c r="J22">
        <v>1.1000000000000001</v>
      </c>
    </row>
    <row r="23" spans="4:10" x14ac:dyDescent="0.3">
      <c r="D23">
        <v>19.420000000000016</v>
      </c>
      <c r="F23">
        <v>21</v>
      </c>
      <c r="G23">
        <v>5.6</v>
      </c>
      <c r="H23">
        <v>149</v>
      </c>
      <c r="I23">
        <v>319</v>
      </c>
      <c r="J23">
        <v>3</v>
      </c>
    </row>
    <row r="24" spans="4:10" x14ac:dyDescent="0.3">
      <c r="D24">
        <v>4.1399999999999864</v>
      </c>
      <c r="F24">
        <v>34</v>
      </c>
      <c r="G24">
        <v>2.8</v>
      </c>
      <c r="H24">
        <v>279</v>
      </c>
      <c r="I24">
        <v>251</v>
      </c>
      <c r="J24">
        <v>2.2000000000000002</v>
      </c>
    </row>
    <row r="25" spans="4:10" x14ac:dyDescent="0.3">
      <c r="D25">
        <v>316.64</v>
      </c>
      <c r="F25">
        <v>70</v>
      </c>
      <c r="G25">
        <v>3.7</v>
      </c>
      <c r="H25">
        <v>183</v>
      </c>
      <c r="I25">
        <v>347</v>
      </c>
      <c r="J25">
        <v>2.6</v>
      </c>
    </row>
    <row r="26" spans="4:10" x14ac:dyDescent="0.3">
      <c r="D26">
        <v>119.43</v>
      </c>
      <c r="F26">
        <v>49</v>
      </c>
      <c r="G26">
        <v>2.7</v>
      </c>
      <c r="H26">
        <v>248</v>
      </c>
      <c r="I26">
        <v>479</v>
      </c>
      <c r="J26">
        <v>2.8</v>
      </c>
    </row>
    <row r="27" spans="4:10" x14ac:dyDescent="0.3">
      <c r="D27">
        <v>256.52</v>
      </c>
      <c r="F27">
        <v>65</v>
      </c>
      <c r="G27">
        <v>4.3</v>
      </c>
      <c r="H27">
        <v>214</v>
      </c>
      <c r="I27">
        <v>219</v>
      </c>
      <c r="J27">
        <v>2.8</v>
      </c>
    </row>
    <row r="28" spans="4:10" x14ac:dyDescent="0.3">
      <c r="D28">
        <v>167.23999999999998</v>
      </c>
      <c r="F28">
        <v>40</v>
      </c>
      <c r="G28">
        <v>4.0999999999999996</v>
      </c>
      <c r="H28">
        <v>161</v>
      </c>
      <c r="I28">
        <v>465</v>
      </c>
      <c r="J28">
        <v>1.9</v>
      </c>
    </row>
    <row r="29" spans="4:10" x14ac:dyDescent="0.3">
      <c r="D29">
        <v>13.100000000000023</v>
      </c>
      <c r="F29">
        <v>28</v>
      </c>
      <c r="G29">
        <v>5.3</v>
      </c>
      <c r="H29">
        <v>200</v>
      </c>
      <c r="I29">
        <v>444</v>
      </c>
      <c r="J29">
        <v>1.5</v>
      </c>
    </row>
    <row r="30" spans="4:10" x14ac:dyDescent="0.3">
      <c r="D30">
        <v>126.90000000000003</v>
      </c>
      <c r="F30">
        <v>51</v>
      </c>
      <c r="G30">
        <v>2.2000000000000002</v>
      </c>
      <c r="H30">
        <v>273</v>
      </c>
      <c r="I30">
        <v>327</v>
      </c>
      <c r="J30">
        <v>3</v>
      </c>
    </row>
    <row r="31" spans="4:10" x14ac:dyDescent="0.3">
      <c r="D31">
        <v>66.580000000000013</v>
      </c>
      <c r="F31">
        <v>27</v>
      </c>
      <c r="G31">
        <v>6.4</v>
      </c>
      <c r="H31">
        <v>183</v>
      </c>
      <c r="I31">
        <v>484</v>
      </c>
      <c r="J31">
        <v>1.7</v>
      </c>
    </row>
    <row r="32" spans="4:10" x14ac:dyDescent="0.3">
      <c r="D32">
        <v>181.67000000000002</v>
      </c>
      <c r="F32">
        <v>55</v>
      </c>
      <c r="G32">
        <v>3</v>
      </c>
      <c r="H32">
        <v>239</v>
      </c>
      <c r="I32">
        <v>441</v>
      </c>
      <c r="J32">
        <v>1.3</v>
      </c>
    </row>
    <row r="33" spans="4:10" x14ac:dyDescent="0.3">
      <c r="D33">
        <v>79.440000000000026</v>
      </c>
      <c r="F33">
        <v>25</v>
      </c>
      <c r="G33">
        <v>5.7</v>
      </c>
      <c r="H33">
        <v>147</v>
      </c>
      <c r="I33">
        <v>426</v>
      </c>
      <c r="J33">
        <v>1.7</v>
      </c>
    </row>
    <row r="34" spans="4:10" x14ac:dyDescent="0.3">
      <c r="D34">
        <v>354.06999999999994</v>
      </c>
      <c r="F34">
        <v>75</v>
      </c>
      <c r="G34">
        <v>6.6</v>
      </c>
      <c r="H34">
        <v>209</v>
      </c>
      <c r="I34">
        <v>369</v>
      </c>
      <c r="J34">
        <v>2.9</v>
      </c>
    </row>
    <row r="35" spans="4:10" x14ac:dyDescent="0.3">
      <c r="D35">
        <v>377.45</v>
      </c>
      <c r="F35">
        <v>64</v>
      </c>
      <c r="G35">
        <v>4.3</v>
      </c>
      <c r="H35">
        <v>143</v>
      </c>
      <c r="I35">
        <v>384</v>
      </c>
      <c r="J35">
        <v>2</v>
      </c>
    </row>
    <row r="36" spans="4:10" x14ac:dyDescent="0.3">
      <c r="D36">
        <v>110.54000000000002</v>
      </c>
      <c r="F36">
        <v>59</v>
      </c>
      <c r="G36">
        <v>4.2</v>
      </c>
      <c r="H36">
        <v>277</v>
      </c>
      <c r="I36">
        <v>339</v>
      </c>
      <c r="J36">
        <v>3</v>
      </c>
    </row>
    <row r="37" spans="4:10" x14ac:dyDescent="0.3">
      <c r="D37">
        <v>383.62000000000006</v>
      </c>
      <c r="F37">
        <v>77</v>
      </c>
      <c r="G37">
        <v>2.6</v>
      </c>
      <c r="H37">
        <v>206</v>
      </c>
      <c r="I37">
        <v>290</v>
      </c>
      <c r="J37">
        <v>1.4</v>
      </c>
    </row>
    <row r="38" spans="4:10" x14ac:dyDescent="0.3">
      <c r="D38">
        <v>7.6400000000000148</v>
      </c>
      <c r="F38">
        <v>30</v>
      </c>
      <c r="G38">
        <v>4.4000000000000004</v>
      </c>
      <c r="H38">
        <v>234</v>
      </c>
      <c r="I38">
        <v>287</v>
      </c>
      <c r="J38">
        <v>1</v>
      </c>
    </row>
    <row r="39" spans="4:10" x14ac:dyDescent="0.3">
      <c r="D39">
        <v>342.03999999999996</v>
      </c>
      <c r="F39">
        <v>53</v>
      </c>
      <c r="G39">
        <v>6.5</v>
      </c>
      <c r="H39">
        <v>123</v>
      </c>
      <c r="I39">
        <v>289</v>
      </c>
      <c r="J39">
        <v>2.6</v>
      </c>
    </row>
    <row r="40" spans="4:10" x14ac:dyDescent="0.3">
      <c r="D40">
        <v>75.589999999999975</v>
      </c>
      <c r="F40">
        <v>37</v>
      </c>
      <c r="G40">
        <v>6.9</v>
      </c>
      <c r="H40">
        <v>226</v>
      </c>
      <c r="I40">
        <v>490</v>
      </c>
      <c r="J40">
        <v>2.8</v>
      </c>
    </row>
    <row r="41" spans="4:10" x14ac:dyDescent="0.3">
      <c r="D41">
        <v>35.650000000000006</v>
      </c>
      <c r="F41">
        <v>25</v>
      </c>
      <c r="G41">
        <v>6.7</v>
      </c>
      <c r="H41">
        <v>158</v>
      </c>
      <c r="I41">
        <v>428</v>
      </c>
      <c r="J41">
        <v>1</v>
      </c>
    </row>
    <row r="42" spans="4:10" x14ac:dyDescent="0.3">
      <c r="D42">
        <v>61.04000000000002</v>
      </c>
      <c r="F42">
        <v>39</v>
      </c>
      <c r="G42">
        <v>2.9</v>
      </c>
      <c r="H42">
        <v>277</v>
      </c>
      <c r="I42">
        <v>359</v>
      </c>
      <c r="J42">
        <v>2.4</v>
      </c>
    </row>
    <row r="43" spans="4:10" x14ac:dyDescent="0.3">
      <c r="D43">
        <v>359.41999999999996</v>
      </c>
      <c r="F43">
        <v>65</v>
      </c>
      <c r="G43">
        <v>4.3</v>
      </c>
      <c r="H43">
        <v>117</v>
      </c>
      <c r="I43">
        <v>290</v>
      </c>
      <c r="J43">
        <v>1</v>
      </c>
    </row>
    <row r="44" spans="4:10" x14ac:dyDescent="0.3">
      <c r="D44">
        <v>299.33</v>
      </c>
      <c r="F44">
        <v>67</v>
      </c>
      <c r="G44">
        <v>3.1</v>
      </c>
      <c r="H44">
        <v>189</v>
      </c>
      <c r="I44">
        <v>218</v>
      </c>
      <c r="J44">
        <v>1.8</v>
      </c>
    </row>
    <row r="45" spans="4:10" x14ac:dyDescent="0.3">
      <c r="D45">
        <v>222.1</v>
      </c>
      <c r="F45">
        <v>48</v>
      </c>
      <c r="G45">
        <v>5.3</v>
      </c>
      <c r="H45">
        <v>183</v>
      </c>
      <c r="I45">
        <v>374</v>
      </c>
      <c r="J45">
        <v>2.4</v>
      </c>
    </row>
    <row r="46" spans="4:10" x14ac:dyDescent="0.3">
      <c r="D46">
        <v>363.52</v>
      </c>
      <c r="F46">
        <v>65</v>
      </c>
      <c r="G46">
        <v>3.9</v>
      </c>
      <c r="H46">
        <v>140</v>
      </c>
      <c r="I46">
        <v>322</v>
      </c>
      <c r="J46">
        <v>2.8</v>
      </c>
    </row>
    <row r="47" spans="4:10" x14ac:dyDescent="0.3">
      <c r="D47">
        <v>38.600000000000023</v>
      </c>
      <c r="F47">
        <v>22</v>
      </c>
      <c r="G47">
        <v>3.2</v>
      </c>
      <c r="H47">
        <v>160</v>
      </c>
      <c r="I47">
        <v>448</v>
      </c>
      <c r="J47">
        <v>2.4</v>
      </c>
    </row>
    <row r="48" spans="4:10" x14ac:dyDescent="0.3">
      <c r="D48">
        <v>315.82000000000005</v>
      </c>
      <c r="F48">
        <v>78</v>
      </c>
      <c r="G48">
        <v>6.2</v>
      </c>
      <c r="H48">
        <v>286</v>
      </c>
      <c r="I48">
        <v>481</v>
      </c>
      <c r="J48">
        <v>1.4</v>
      </c>
    </row>
    <row r="49" spans="4:10" x14ac:dyDescent="0.3">
      <c r="D49">
        <v>248.88000000000008</v>
      </c>
      <c r="F49">
        <v>49</v>
      </c>
      <c r="G49">
        <v>2.7</v>
      </c>
      <c r="H49">
        <v>121</v>
      </c>
      <c r="I49">
        <v>454</v>
      </c>
      <c r="J49">
        <v>1.9</v>
      </c>
    </row>
    <row r="50" spans="4:10" x14ac:dyDescent="0.3">
      <c r="D50">
        <v>265.37000000000006</v>
      </c>
      <c r="F50">
        <v>50</v>
      </c>
      <c r="G50">
        <v>5.9</v>
      </c>
      <c r="H50">
        <v>131</v>
      </c>
      <c r="I50">
        <v>438</v>
      </c>
      <c r="J50">
        <v>1.5</v>
      </c>
    </row>
    <row r="51" spans="4:10" x14ac:dyDescent="0.3">
      <c r="D51">
        <v>184.16000000000003</v>
      </c>
      <c r="F51">
        <v>66</v>
      </c>
      <c r="G51">
        <v>3.8</v>
      </c>
      <c r="H51">
        <v>299</v>
      </c>
      <c r="I51">
        <v>376</v>
      </c>
      <c r="J51">
        <v>2.2999999999999998</v>
      </c>
    </row>
    <row r="52" spans="4:10" x14ac:dyDescent="0.3">
      <c r="D52">
        <v>136.19</v>
      </c>
      <c r="F52">
        <v>33</v>
      </c>
      <c r="G52">
        <v>4.4000000000000004</v>
      </c>
      <c r="H52">
        <v>115</v>
      </c>
      <c r="I52">
        <v>498</v>
      </c>
      <c r="J52">
        <v>1.6</v>
      </c>
    </row>
    <row r="53" spans="4:10" x14ac:dyDescent="0.3">
      <c r="D53">
        <v>72.12</v>
      </c>
      <c r="F53">
        <v>24</v>
      </c>
      <c r="G53">
        <v>4</v>
      </c>
      <c r="H53">
        <v>125</v>
      </c>
      <c r="I53">
        <v>212</v>
      </c>
      <c r="J53">
        <v>2.5</v>
      </c>
    </row>
    <row r="54" spans="4:10" x14ac:dyDescent="0.3">
      <c r="D54">
        <v>179.09</v>
      </c>
      <c r="F54">
        <v>45</v>
      </c>
      <c r="G54">
        <v>6.7</v>
      </c>
      <c r="H54">
        <v>210</v>
      </c>
      <c r="I54">
        <v>406</v>
      </c>
      <c r="J54">
        <v>2.2999999999999998</v>
      </c>
    </row>
    <row r="55" spans="4:10" x14ac:dyDescent="0.3">
      <c r="D55">
        <v>40.690000000000055</v>
      </c>
      <c r="F55">
        <v>50</v>
      </c>
      <c r="G55">
        <v>6.1</v>
      </c>
      <c r="H55">
        <v>296</v>
      </c>
      <c r="I55">
        <v>294</v>
      </c>
      <c r="J55">
        <v>1</v>
      </c>
    </row>
    <row r="56" spans="4:10" x14ac:dyDescent="0.3">
      <c r="D56">
        <v>123.13</v>
      </c>
      <c r="F56">
        <v>49</v>
      </c>
      <c r="G56">
        <v>5.4</v>
      </c>
      <c r="H56">
        <v>257</v>
      </c>
      <c r="I56">
        <v>468</v>
      </c>
      <c r="J56">
        <v>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C14" sqref="C14"/>
    </sheetView>
  </sheetViews>
  <sheetFormatPr defaultRowHeight="14.4" x14ac:dyDescent="0.3"/>
  <cols>
    <col min="1" max="1" width="17.6640625" bestFit="1" customWidth="1"/>
    <col min="2" max="2" width="12" bestFit="1" customWidth="1"/>
  </cols>
  <sheetData>
    <row r="1" spans="1:7" x14ac:dyDescent="0.3">
      <c r="A1" t="s">
        <v>54</v>
      </c>
    </row>
    <row r="3" spans="1:7" ht="15" thickBot="1" x14ac:dyDescent="0.35">
      <c r="A3" t="s">
        <v>55</v>
      </c>
    </row>
    <row r="4" spans="1:7" x14ac:dyDescent="0.3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</row>
    <row r="5" spans="1:7" x14ac:dyDescent="0.3">
      <c r="A5" s="2" t="s">
        <v>50</v>
      </c>
      <c r="B5" s="2">
        <v>17</v>
      </c>
      <c r="C5" s="2">
        <v>818</v>
      </c>
      <c r="D5" s="2">
        <v>48.117647058823529</v>
      </c>
      <c r="E5" s="2">
        <v>1414.2352941176468</v>
      </c>
    </row>
    <row r="6" spans="1:7" x14ac:dyDescent="0.3">
      <c r="A6" s="2" t="s">
        <v>51</v>
      </c>
      <c r="B6" s="2">
        <v>20</v>
      </c>
      <c r="C6" s="2">
        <v>1110</v>
      </c>
      <c r="D6" s="2">
        <v>55.5</v>
      </c>
      <c r="E6" s="2">
        <v>3228.1052631578946</v>
      </c>
    </row>
    <row r="7" spans="1:7" x14ac:dyDescent="0.3">
      <c r="A7" s="2" t="s">
        <v>52</v>
      </c>
      <c r="B7" s="2">
        <v>14</v>
      </c>
      <c r="C7" s="2">
        <v>672</v>
      </c>
      <c r="D7" s="2">
        <v>48</v>
      </c>
      <c r="E7" s="2">
        <v>1427.5384615384614</v>
      </c>
    </row>
    <row r="8" spans="1:7" ht="15" thickBot="1" x14ac:dyDescent="0.35">
      <c r="A8" s="3" t="s">
        <v>53</v>
      </c>
      <c r="B8" s="3">
        <v>18</v>
      </c>
      <c r="C8" s="3">
        <v>697</v>
      </c>
      <c r="D8" s="3">
        <v>38.722222222222221</v>
      </c>
      <c r="E8" s="3">
        <v>910.80065359477112</v>
      </c>
    </row>
    <row r="11" spans="1:7" ht="15" thickBot="1" x14ac:dyDescent="0.35">
      <c r="A11" t="s">
        <v>30</v>
      </c>
    </row>
    <row r="12" spans="1:7" x14ac:dyDescent="0.3">
      <c r="A12" s="4" t="s">
        <v>61</v>
      </c>
      <c r="B12" s="4" t="s">
        <v>36</v>
      </c>
      <c r="C12" s="4" t="s">
        <v>35</v>
      </c>
      <c r="D12" s="4" t="s">
        <v>37</v>
      </c>
      <c r="E12" s="4" t="s">
        <v>38</v>
      </c>
      <c r="F12" s="4" t="s">
        <v>42</v>
      </c>
      <c r="G12" s="4" t="s">
        <v>62</v>
      </c>
    </row>
    <row r="13" spans="1:7" x14ac:dyDescent="0.3">
      <c r="A13" s="2" t="s">
        <v>63</v>
      </c>
      <c r="B13" s="2">
        <v>2671.363313441354</v>
      </c>
      <c r="C13" s="2">
        <v>3</v>
      </c>
      <c r="D13" s="2">
        <v>890.45443781378469</v>
      </c>
      <c r="E13" s="2">
        <v>0.49049053094598732</v>
      </c>
      <c r="F13" s="2">
        <v>0.69010141441985962</v>
      </c>
      <c r="G13" s="2">
        <v>2.7459152725998672</v>
      </c>
    </row>
    <row r="14" spans="1:7" x14ac:dyDescent="0.3">
      <c r="A14" s="2" t="s">
        <v>64</v>
      </c>
      <c r="B14" s="2">
        <v>118003.37581699346</v>
      </c>
      <c r="C14" s="2">
        <v>65</v>
      </c>
      <c r="D14" s="2">
        <v>1815.4365510306686</v>
      </c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ht="15" thickBot="1" x14ac:dyDescent="0.35">
      <c r="A16" s="3" t="s">
        <v>33</v>
      </c>
      <c r="B16" s="3">
        <v>120674.73913043481</v>
      </c>
      <c r="C16" s="3">
        <v>68</v>
      </c>
      <c r="D16" s="3"/>
      <c r="E16" s="3"/>
      <c r="F16" s="3"/>
      <c r="G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24"/>
  <sheetViews>
    <sheetView workbookViewId="0">
      <selection activeCell="Q12" sqref="Q12"/>
    </sheetView>
  </sheetViews>
  <sheetFormatPr defaultRowHeight="14.4" x14ac:dyDescent="0.3"/>
  <cols>
    <col min="9" max="12" width="11.109375" bestFit="1" customWidth="1"/>
  </cols>
  <sheetData>
    <row r="1" spans="4:12" x14ac:dyDescent="0.3">
      <c r="D1" s="1" t="s">
        <v>15</v>
      </c>
      <c r="E1" s="1" t="s">
        <v>16</v>
      </c>
      <c r="F1" s="1" t="s">
        <v>17</v>
      </c>
      <c r="G1" s="1" t="s">
        <v>18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4:12" x14ac:dyDescent="0.3">
      <c r="D2">
        <v>237</v>
      </c>
      <c r="E2">
        <v>417</v>
      </c>
      <c r="F2">
        <v>301</v>
      </c>
      <c r="G2">
        <v>90</v>
      </c>
      <c r="I2">
        <f>ABS(D2-$D$24)</f>
        <v>70</v>
      </c>
      <c r="J2">
        <f>ABS(E2-$E$24)</f>
        <v>3.5</v>
      </c>
      <c r="K2">
        <f>ABS(F2-$F$24)</f>
        <v>92</v>
      </c>
      <c r="L2">
        <f>ABS(G2-$G$24)</f>
        <v>31</v>
      </c>
    </row>
    <row r="3" spans="4:12" x14ac:dyDescent="0.3">
      <c r="D3">
        <v>138</v>
      </c>
      <c r="E3">
        <v>575</v>
      </c>
      <c r="F3">
        <v>206</v>
      </c>
      <c r="G3">
        <v>175</v>
      </c>
      <c r="I3">
        <f t="shared" ref="I3:I18" si="0">ABS(D3-$D$24)</f>
        <v>29</v>
      </c>
      <c r="J3">
        <f t="shared" ref="J3:J21" si="1">ABS(E3-$E$24)</f>
        <v>161.5</v>
      </c>
      <c r="K3">
        <f t="shared" ref="K3:K15" si="2">ABS(F3-$F$24)</f>
        <v>3</v>
      </c>
      <c r="L3">
        <f t="shared" ref="L3:L19" si="3">ABS(G3-$G$24)</f>
        <v>54</v>
      </c>
    </row>
    <row r="4" spans="4:12" x14ac:dyDescent="0.3">
      <c r="D4">
        <v>291</v>
      </c>
      <c r="E4">
        <v>287</v>
      </c>
      <c r="F4">
        <v>217</v>
      </c>
      <c r="G4">
        <v>79</v>
      </c>
      <c r="I4">
        <f t="shared" si="0"/>
        <v>124</v>
      </c>
      <c r="J4">
        <f t="shared" si="1"/>
        <v>126.5</v>
      </c>
      <c r="K4">
        <f t="shared" si="2"/>
        <v>8</v>
      </c>
      <c r="L4">
        <f t="shared" si="3"/>
        <v>42</v>
      </c>
    </row>
    <row r="5" spans="4:12" x14ac:dyDescent="0.3">
      <c r="D5">
        <v>286</v>
      </c>
      <c r="E5">
        <v>429</v>
      </c>
      <c r="F5">
        <v>196</v>
      </c>
      <c r="G5">
        <v>55</v>
      </c>
      <c r="I5">
        <f t="shared" si="0"/>
        <v>119</v>
      </c>
      <c r="J5">
        <f t="shared" si="1"/>
        <v>15.5</v>
      </c>
      <c r="K5">
        <f t="shared" si="2"/>
        <v>13</v>
      </c>
      <c r="L5">
        <f t="shared" si="3"/>
        <v>66</v>
      </c>
    </row>
    <row r="6" spans="4:12" x14ac:dyDescent="0.3">
      <c r="D6">
        <v>208</v>
      </c>
      <c r="E6">
        <v>364</v>
      </c>
      <c r="F6">
        <v>247</v>
      </c>
      <c r="G6">
        <v>216</v>
      </c>
      <c r="I6">
        <f t="shared" si="0"/>
        <v>41</v>
      </c>
      <c r="J6">
        <f t="shared" si="1"/>
        <v>49.5</v>
      </c>
      <c r="K6">
        <f t="shared" si="2"/>
        <v>38</v>
      </c>
      <c r="L6">
        <f t="shared" si="3"/>
        <v>95</v>
      </c>
    </row>
    <row r="7" spans="4:12" x14ac:dyDescent="0.3">
      <c r="D7">
        <v>180</v>
      </c>
      <c r="E7">
        <v>539</v>
      </c>
      <c r="F7">
        <v>285</v>
      </c>
      <c r="G7">
        <v>109</v>
      </c>
      <c r="I7">
        <f t="shared" si="0"/>
        <v>13</v>
      </c>
      <c r="J7">
        <f t="shared" si="1"/>
        <v>125.5</v>
      </c>
      <c r="K7">
        <f t="shared" si="2"/>
        <v>76</v>
      </c>
      <c r="L7">
        <f t="shared" si="3"/>
        <v>12</v>
      </c>
    </row>
    <row r="8" spans="4:12" x14ac:dyDescent="0.3">
      <c r="D8">
        <v>161</v>
      </c>
      <c r="E8">
        <v>553</v>
      </c>
      <c r="F8">
        <v>212</v>
      </c>
      <c r="G8">
        <v>211</v>
      </c>
      <c r="I8">
        <f t="shared" si="0"/>
        <v>6</v>
      </c>
      <c r="J8">
        <f t="shared" si="1"/>
        <v>139.5</v>
      </c>
      <c r="K8">
        <f t="shared" si="2"/>
        <v>3</v>
      </c>
      <c r="L8">
        <f t="shared" si="3"/>
        <v>90</v>
      </c>
    </row>
    <row r="9" spans="4:12" x14ac:dyDescent="0.3">
      <c r="D9">
        <v>248</v>
      </c>
      <c r="E9">
        <v>424</v>
      </c>
      <c r="F9">
        <v>81</v>
      </c>
      <c r="G9">
        <v>150</v>
      </c>
      <c r="I9">
        <f t="shared" si="0"/>
        <v>81</v>
      </c>
      <c r="J9">
        <f t="shared" si="1"/>
        <v>10.5</v>
      </c>
      <c r="K9">
        <f t="shared" si="2"/>
        <v>128</v>
      </c>
      <c r="L9">
        <f t="shared" si="3"/>
        <v>29</v>
      </c>
    </row>
    <row r="10" spans="4:12" x14ac:dyDescent="0.3">
      <c r="D10">
        <v>164</v>
      </c>
      <c r="E10">
        <v>426</v>
      </c>
      <c r="F10">
        <v>131</v>
      </c>
      <c r="G10">
        <v>108</v>
      </c>
      <c r="I10">
        <f t="shared" si="0"/>
        <v>3</v>
      </c>
      <c r="J10">
        <f t="shared" si="1"/>
        <v>12.5</v>
      </c>
      <c r="K10">
        <f t="shared" si="2"/>
        <v>78</v>
      </c>
      <c r="L10">
        <f t="shared" si="3"/>
        <v>13</v>
      </c>
    </row>
    <row r="11" spans="4:12" x14ac:dyDescent="0.3">
      <c r="D11">
        <v>90</v>
      </c>
      <c r="E11">
        <v>400</v>
      </c>
      <c r="F11">
        <v>267</v>
      </c>
      <c r="G11">
        <v>135</v>
      </c>
      <c r="I11">
        <f t="shared" si="0"/>
        <v>77</v>
      </c>
      <c r="J11">
        <f t="shared" si="1"/>
        <v>13.5</v>
      </c>
      <c r="K11">
        <f t="shared" si="2"/>
        <v>58</v>
      </c>
      <c r="L11">
        <f t="shared" si="3"/>
        <v>14</v>
      </c>
    </row>
    <row r="12" spans="4:12" x14ac:dyDescent="0.3">
      <c r="D12">
        <v>145</v>
      </c>
      <c r="E12">
        <v>370</v>
      </c>
      <c r="F12">
        <v>194</v>
      </c>
      <c r="G12">
        <v>116</v>
      </c>
      <c r="I12">
        <f t="shared" si="0"/>
        <v>22</v>
      </c>
      <c r="J12">
        <f t="shared" si="1"/>
        <v>43.5</v>
      </c>
      <c r="K12">
        <f t="shared" si="2"/>
        <v>15</v>
      </c>
      <c r="L12">
        <f t="shared" si="3"/>
        <v>5</v>
      </c>
    </row>
    <row r="13" spans="4:12" x14ac:dyDescent="0.3">
      <c r="D13">
        <v>122</v>
      </c>
      <c r="E13">
        <v>242</v>
      </c>
      <c r="F13">
        <v>144</v>
      </c>
      <c r="G13">
        <v>130</v>
      </c>
      <c r="I13">
        <f t="shared" si="0"/>
        <v>45</v>
      </c>
      <c r="J13">
        <f t="shared" si="1"/>
        <v>171.5</v>
      </c>
      <c r="K13">
        <f t="shared" si="2"/>
        <v>65</v>
      </c>
      <c r="L13">
        <f t="shared" si="3"/>
        <v>9</v>
      </c>
    </row>
    <row r="14" spans="4:12" x14ac:dyDescent="0.3">
      <c r="D14">
        <v>99</v>
      </c>
      <c r="E14">
        <v>432</v>
      </c>
      <c r="F14">
        <v>155</v>
      </c>
      <c r="G14">
        <v>47</v>
      </c>
      <c r="I14">
        <f t="shared" si="0"/>
        <v>68</v>
      </c>
      <c r="J14">
        <f t="shared" si="1"/>
        <v>18.5</v>
      </c>
      <c r="K14">
        <f t="shared" si="2"/>
        <v>54</v>
      </c>
      <c r="L14">
        <f t="shared" si="3"/>
        <v>74</v>
      </c>
    </row>
    <row r="15" spans="4:12" x14ac:dyDescent="0.3">
      <c r="D15">
        <v>223</v>
      </c>
      <c r="E15">
        <v>445</v>
      </c>
      <c r="F15">
        <v>250</v>
      </c>
      <c r="G15">
        <v>126</v>
      </c>
      <c r="I15">
        <f t="shared" si="0"/>
        <v>56</v>
      </c>
      <c r="J15">
        <f t="shared" si="1"/>
        <v>31.5</v>
      </c>
      <c r="K15">
        <f t="shared" si="2"/>
        <v>41</v>
      </c>
      <c r="L15">
        <f t="shared" si="3"/>
        <v>5</v>
      </c>
    </row>
    <row r="16" spans="4:12" x14ac:dyDescent="0.3">
      <c r="D16">
        <v>133</v>
      </c>
      <c r="E16">
        <v>444</v>
      </c>
      <c r="G16">
        <v>49</v>
      </c>
      <c r="I16">
        <f t="shared" si="0"/>
        <v>34</v>
      </c>
      <c r="J16">
        <f t="shared" si="1"/>
        <v>30.5</v>
      </c>
      <c r="L16">
        <f t="shared" si="3"/>
        <v>72</v>
      </c>
    </row>
    <row r="17" spans="3:12" x14ac:dyDescent="0.3">
      <c r="D17">
        <v>197</v>
      </c>
      <c r="E17">
        <v>360</v>
      </c>
      <c r="G17">
        <v>165</v>
      </c>
      <c r="I17">
        <f t="shared" si="0"/>
        <v>30</v>
      </c>
      <c r="J17">
        <f t="shared" si="1"/>
        <v>53.5</v>
      </c>
      <c r="L17">
        <f t="shared" si="3"/>
        <v>44</v>
      </c>
    </row>
    <row r="18" spans="3:12" x14ac:dyDescent="0.3">
      <c r="D18">
        <v>167</v>
      </c>
      <c r="E18">
        <v>338</v>
      </c>
      <c r="G18">
        <v>128</v>
      </c>
      <c r="I18">
        <f t="shared" si="0"/>
        <v>0</v>
      </c>
      <c r="J18">
        <f t="shared" si="1"/>
        <v>75.5</v>
      </c>
      <c r="L18">
        <f t="shared" si="3"/>
        <v>7</v>
      </c>
    </row>
    <row r="19" spans="3:12" x14ac:dyDescent="0.3">
      <c r="E19">
        <v>396</v>
      </c>
      <c r="G19">
        <v>86</v>
      </c>
      <c r="J19">
        <f t="shared" si="1"/>
        <v>17.5</v>
      </c>
      <c r="L19">
        <f t="shared" si="3"/>
        <v>35</v>
      </c>
    </row>
    <row r="20" spans="3:12" x14ac:dyDescent="0.3">
      <c r="E20">
        <v>407</v>
      </c>
      <c r="J20">
        <f t="shared" si="1"/>
        <v>6.5</v>
      </c>
    </row>
    <row r="21" spans="3:12" x14ac:dyDescent="0.3">
      <c r="E21">
        <v>410</v>
      </c>
      <c r="J21">
        <f t="shared" si="1"/>
        <v>3.5</v>
      </c>
    </row>
    <row r="24" spans="3:12" x14ac:dyDescent="0.3">
      <c r="C24" t="s">
        <v>49</v>
      </c>
      <c r="D24">
        <f>MEDIAN(D2:D18)</f>
        <v>167</v>
      </c>
      <c r="E24">
        <f>MEDIAN(E2:E21)</f>
        <v>413.5</v>
      </c>
      <c r="F24">
        <f>MEDIAN(F2:F15)</f>
        <v>209</v>
      </c>
      <c r="G24">
        <f>MEDIAN(G2:G19)</f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15"/>
  <sheetViews>
    <sheetView tabSelected="1" topLeftCell="D3" workbookViewId="0">
      <selection activeCell="N8" sqref="N8"/>
    </sheetView>
  </sheetViews>
  <sheetFormatPr defaultRowHeight="14.4" x14ac:dyDescent="0.3"/>
  <cols>
    <col min="9" max="9" width="15.33203125" customWidth="1"/>
  </cols>
  <sheetData>
    <row r="3" spans="3:19" x14ac:dyDescent="0.3">
      <c r="D3" t="s">
        <v>6</v>
      </c>
      <c r="E3" t="s">
        <v>7</v>
      </c>
      <c r="F3" t="s">
        <v>8</v>
      </c>
      <c r="G3" t="s">
        <v>9</v>
      </c>
      <c r="H3" t="s">
        <v>10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Q3" t="s">
        <v>21</v>
      </c>
    </row>
    <row r="4" spans="3:19" x14ac:dyDescent="0.3">
      <c r="C4" t="s">
        <v>11</v>
      </c>
      <c r="D4">
        <v>81</v>
      </c>
      <c r="E4">
        <v>65</v>
      </c>
      <c r="F4">
        <v>61</v>
      </c>
      <c r="G4">
        <v>79</v>
      </c>
      <c r="H4">
        <v>81</v>
      </c>
      <c r="J4" t="s">
        <v>11</v>
      </c>
      <c r="K4">
        <v>0</v>
      </c>
      <c r="L4">
        <v>0</v>
      </c>
      <c r="M4">
        <v>0</v>
      </c>
      <c r="N4">
        <v>0</v>
      </c>
      <c r="O4">
        <v>1</v>
      </c>
      <c r="Q4">
        <f>SUM(K4:O4)</f>
        <v>1</v>
      </c>
      <c r="S4">
        <v>1</v>
      </c>
    </row>
    <row r="5" spans="3:19" x14ac:dyDescent="0.3">
      <c r="C5" t="s">
        <v>12</v>
      </c>
      <c r="D5">
        <v>97</v>
      </c>
      <c r="E5">
        <v>61</v>
      </c>
      <c r="F5">
        <v>85</v>
      </c>
      <c r="G5">
        <v>64</v>
      </c>
      <c r="H5">
        <v>83</v>
      </c>
      <c r="J5" t="s">
        <v>12</v>
      </c>
      <c r="K5">
        <v>1</v>
      </c>
      <c r="L5">
        <v>0</v>
      </c>
      <c r="M5">
        <v>0</v>
      </c>
      <c r="N5">
        <v>0</v>
      </c>
      <c r="O5">
        <v>0</v>
      </c>
      <c r="Q5">
        <f t="shared" ref="Q5:Q8" si="0">SUM(K5:O5)</f>
        <v>1</v>
      </c>
      <c r="S5">
        <v>1</v>
      </c>
    </row>
    <row r="6" spans="3:19" x14ac:dyDescent="0.3">
      <c r="C6" t="s">
        <v>13</v>
      </c>
      <c r="D6">
        <v>92</v>
      </c>
      <c r="E6">
        <v>95</v>
      </c>
      <c r="F6">
        <v>84</v>
      </c>
      <c r="G6">
        <v>65</v>
      </c>
      <c r="H6">
        <v>77</v>
      </c>
      <c r="J6" t="s">
        <v>13</v>
      </c>
      <c r="K6">
        <v>0</v>
      </c>
      <c r="L6">
        <v>1</v>
      </c>
      <c r="M6">
        <v>0</v>
      </c>
      <c r="N6">
        <v>0</v>
      </c>
      <c r="O6">
        <v>0</v>
      </c>
      <c r="Q6">
        <f t="shared" si="0"/>
        <v>1</v>
      </c>
      <c r="S6">
        <v>1</v>
      </c>
    </row>
    <row r="7" spans="3:19" x14ac:dyDescent="0.3">
      <c r="C7" t="s">
        <v>14</v>
      </c>
      <c r="D7">
        <v>79</v>
      </c>
      <c r="E7">
        <v>65</v>
      </c>
      <c r="F7">
        <v>78</v>
      </c>
      <c r="G7">
        <v>79</v>
      </c>
      <c r="H7">
        <v>69</v>
      </c>
      <c r="J7" t="s">
        <v>14</v>
      </c>
      <c r="K7">
        <v>0</v>
      </c>
      <c r="L7">
        <v>0</v>
      </c>
      <c r="M7">
        <v>0</v>
      </c>
      <c r="N7">
        <v>1</v>
      </c>
      <c r="O7">
        <v>0</v>
      </c>
      <c r="Q7">
        <f t="shared" si="0"/>
        <v>1</v>
      </c>
      <c r="S7">
        <v>1</v>
      </c>
    </row>
    <row r="8" spans="3:19" x14ac:dyDescent="0.3"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J8" t="s">
        <v>19</v>
      </c>
      <c r="K8">
        <v>0</v>
      </c>
      <c r="L8">
        <v>0</v>
      </c>
      <c r="M8">
        <v>1</v>
      </c>
      <c r="N8">
        <v>0</v>
      </c>
      <c r="O8">
        <v>0</v>
      </c>
      <c r="Q8">
        <f t="shared" si="0"/>
        <v>1</v>
      </c>
      <c r="S8">
        <v>1</v>
      </c>
    </row>
    <row r="10" spans="3:19" x14ac:dyDescent="0.3">
      <c r="J10" t="s">
        <v>20</v>
      </c>
      <c r="K10">
        <f>SUM(K4:K8)</f>
        <v>1</v>
      </c>
      <c r="L10">
        <f t="shared" ref="L10:O10" si="1">SUM(L4:L8)</f>
        <v>1</v>
      </c>
      <c r="M10">
        <f t="shared" si="1"/>
        <v>1</v>
      </c>
      <c r="N10">
        <f t="shared" si="1"/>
        <v>1</v>
      </c>
      <c r="O10">
        <f t="shared" si="1"/>
        <v>1</v>
      </c>
    </row>
    <row r="12" spans="3:19" x14ac:dyDescent="0.3">
      <c r="K12">
        <v>1</v>
      </c>
      <c r="L12">
        <v>1</v>
      </c>
      <c r="M12">
        <v>1</v>
      </c>
      <c r="N12">
        <v>1</v>
      </c>
      <c r="O12">
        <v>1</v>
      </c>
    </row>
    <row r="15" spans="3:19" x14ac:dyDescent="0.3">
      <c r="I15" t="s">
        <v>22</v>
      </c>
      <c r="J15">
        <f>SUMPRODUCT(K4:O8, D4:H8)</f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MLR(90) Q2 </vt:lpstr>
      <vt:lpstr>MLR(99) Q2 </vt:lpstr>
      <vt:lpstr>Q2</vt:lpstr>
      <vt:lpstr>ANOVA q3</vt:lpstr>
      <vt:lpstr>Q3</vt:lpstr>
      <vt:lpstr>Q5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2019-05-07T05:03:09Z</dcterms:modified>
</cp:coreProperties>
</file>