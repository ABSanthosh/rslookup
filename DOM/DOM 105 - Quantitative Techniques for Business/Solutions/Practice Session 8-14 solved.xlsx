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7650"/>
  </bookViews>
  <sheets>
    <sheet name="Q1-Q7" sheetId="3" r:id="rId1"/>
    <sheet name="Q10" sheetId="2" r:id="rId2"/>
  </sheets>
  <calcPr calcId="152511"/>
</workbook>
</file>

<file path=xl/calcChain.xml><?xml version="1.0" encoding="utf-8"?>
<calcChain xmlns="http://schemas.openxmlformats.org/spreadsheetml/2006/main">
  <c r="J18" i="3" l="1"/>
  <c r="H18" i="3"/>
  <c r="F18" i="3"/>
  <c r="H16" i="3"/>
  <c r="F16" i="3"/>
  <c r="F14" i="3"/>
  <c r="F13" i="3"/>
  <c r="F20" i="3" l="1"/>
  <c r="F11" i="3"/>
  <c r="F9" i="3"/>
  <c r="F6" i="3" l="1"/>
  <c r="F4" i="3"/>
  <c r="J3" i="3"/>
  <c r="F3" i="3"/>
  <c r="C21" i="2" l="1"/>
  <c r="C19" i="2"/>
  <c r="C17" i="2"/>
  <c r="C16" i="2"/>
  <c r="C15" i="2"/>
  <c r="C14" i="2"/>
  <c r="C13" i="2"/>
  <c r="C12" i="2"/>
  <c r="C11" i="2"/>
  <c r="C10" i="2"/>
  <c r="C8" i="2"/>
  <c r="G18" i="2"/>
  <c r="H18" i="2"/>
  <c r="I18" i="2"/>
  <c r="F18" i="2"/>
  <c r="C6" i="2"/>
</calcChain>
</file>

<file path=xl/sharedStrings.xml><?xml version="1.0" encoding="utf-8"?>
<sst xmlns="http://schemas.openxmlformats.org/spreadsheetml/2006/main" count="87" uniqueCount="47">
  <si>
    <t>Annual income (in rs.lakh)</t>
  </si>
  <si>
    <t>Office A</t>
  </si>
  <si>
    <t>Office B</t>
  </si>
  <si>
    <t>Office C</t>
  </si>
  <si>
    <t>Office D</t>
  </si>
  <si>
    <t>Conf</t>
  </si>
  <si>
    <t>alpha</t>
  </si>
  <si>
    <t>ChiSq</t>
  </si>
  <si>
    <t>n=</t>
  </si>
  <si>
    <t>A</t>
  </si>
  <si>
    <t>B</t>
  </si>
  <si>
    <t>C</t>
  </si>
  <si>
    <t>D</t>
  </si>
  <si>
    <t>T1=</t>
  </si>
  <si>
    <t>T1^2/n1=</t>
  </si>
  <si>
    <t>T2=</t>
  </si>
  <si>
    <t>T2^2/n2=</t>
  </si>
  <si>
    <t>T3=</t>
  </si>
  <si>
    <t>T4=</t>
  </si>
  <si>
    <t>T3^2/n3=</t>
  </si>
  <si>
    <t>T4^2/n4=</t>
  </si>
  <si>
    <t>H=</t>
  </si>
  <si>
    <t>Sum T^2/n</t>
  </si>
  <si>
    <t>Since H&gt;ChiSq(alpha), reject H0, medians of the pops. Are not equal</t>
  </si>
  <si>
    <t>H0: All medians are equal</t>
  </si>
  <si>
    <t>No. of samples is 4</t>
  </si>
  <si>
    <t>Q1.</t>
  </si>
  <si>
    <t>sigma=</t>
  </si>
  <si>
    <t>Zstat=</t>
  </si>
  <si>
    <t>p=</t>
  </si>
  <si>
    <t>pH0=</t>
  </si>
  <si>
    <t>-|Z(al)|</t>
  </si>
  <si>
    <t>t(.05)</t>
  </si>
  <si>
    <t>|Z(.05)|</t>
  </si>
  <si>
    <t>F(.05)=</t>
  </si>
  <si>
    <t>Fstat=</t>
  </si>
  <si>
    <t>F(.025)=</t>
  </si>
  <si>
    <t>Fstat&gt;F(al/2), so variances unequal, so separate variance test</t>
  </si>
  <si>
    <t>S1^2/n1=</t>
  </si>
  <si>
    <t>S2^2/n2=</t>
  </si>
  <si>
    <t>V=</t>
  </si>
  <si>
    <t>t(.025)=</t>
  </si>
  <si>
    <t>tstat=</t>
  </si>
  <si>
    <t>Q2.</t>
  </si>
  <si>
    <t>Q3.</t>
  </si>
  <si>
    <t>Q5.</t>
  </si>
  <si>
    <t>Q7.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</si>
</sst>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J20"/>
  <sheetViews>
    <sheetView tabSelected="1" workbookViewId="0">
      <selection activeCell="D21" sqref="D21"/>
    </sheetView>
  </sheetViews>
  <sheetFormatPr defaultRowHeight="15" x14ac:dyDescent="0.25"/>
  <sheetData>
    <row r="3" spans="4:10" x14ac:dyDescent="0.25">
      <c r="D3" t="s">
        <v>26</v>
      </c>
      <c r="E3" t="s">
        <v>27</v>
      </c>
      <c r="F3">
        <f>SQRT(0.99*0.01/50)</f>
        <v>1.4071247279470289E-2</v>
      </c>
      <c r="G3" t="s">
        <v>30</v>
      </c>
      <c r="H3">
        <v>0.99</v>
      </c>
      <c r="I3" t="s">
        <v>29</v>
      </c>
      <c r="J3">
        <f>49/50</f>
        <v>0.98</v>
      </c>
    </row>
    <row r="4" spans="4:10" x14ac:dyDescent="0.25">
      <c r="E4" t="s">
        <v>28</v>
      </c>
      <c r="F4">
        <f>(J3-H3)/F3</f>
        <v>-0.7106690545187021</v>
      </c>
    </row>
    <row r="6" spans="4:10" x14ac:dyDescent="0.25">
      <c r="E6" s="3" t="s">
        <v>31</v>
      </c>
      <c r="F6">
        <f>-ABS(_xlfn.NORM.S.INV(0.1))</f>
        <v>-1.2815515655446006</v>
      </c>
    </row>
    <row r="9" spans="4:10" x14ac:dyDescent="0.25">
      <c r="D9" t="s">
        <v>43</v>
      </c>
      <c r="E9" t="s">
        <v>32</v>
      </c>
      <c r="F9">
        <f>_xlfn.T.INV.2T(0.1,49)</f>
        <v>1.6765508926168529</v>
      </c>
    </row>
    <row r="11" spans="4:10" x14ac:dyDescent="0.25">
      <c r="D11" t="s">
        <v>44</v>
      </c>
      <c r="E11" t="s">
        <v>33</v>
      </c>
      <c r="F11">
        <f>ABS(_xlfn.NORM.S.INV(0.05))</f>
        <v>1.6448536269514726</v>
      </c>
    </row>
    <row r="13" spans="4:10" x14ac:dyDescent="0.25">
      <c r="D13" t="s">
        <v>45</v>
      </c>
      <c r="E13" t="s">
        <v>35</v>
      </c>
      <c r="F13">
        <f>(18^2)/(14^2)</f>
        <v>1.653061224489796</v>
      </c>
    </row>
    <row r="14" spans="4:10" x14ac:dyDescent="0.25">
      <c r="E14" t="s">
        <v>36</v>
      </c>
      <c r="F14">
        <f>_xlfn.F.INV.RT(0.025,199,299)</f>
        <v>1.2852049344125087</v>
      </c>
    </row>
    <row r="15" spans="4:10" x14ac:dyDescent="0.25">
      <c r="E15" t="s">
        <v>37</v>
      </c>
    </row>
    <row r="16" spans="4:10" x14ac:dyDescent="0.25">
      <c r="E16" t="s">
        <v>38</v>
      </c>
      <c r="F16">
        <f>(18^2)/200</f>
        <v>1.62</v>
      </c>
      <c r="G16" t="s">
        <v>39</v>
      </c>
      <c r="H16">
        <f>(14^2)/300</f>
        <v>0.65333333333333332</v>
      </c>
    </row>
    <row r="18" spans="4:10" x14ac:dyDescent="0.25">
      <c r="E18" t="s">
        <v>40</v>
      </c>
      <c r="F18">
        <f>((F16+H16)^2)/(((F16^2)/199)+((H16^2)/299))</f>
        <v>353.59993263094458</v>
      </c>
      <c r="G18" t="s">
        <v>41</v>
      </c>
      <c r="H18">
        <f>_xlfn.T.INV.2T(0.05,353.6)</f>
        <v>1.9667070086880059</v>
      </c>
      <c r="I18" t="s">
        <v>42</v>
      </c>
      <c r="J18">
        <f>-1/(SQRT(F16+H16))</f>
        <v>-0.66323653242807279</v>
      </c>
    </row>
    <row r="20" spans="4:10" x14ac:dyDescent="0.25">
      <c r="D20" t="s">
        <v>46</v>
      </c>
      <c r="E20" t="s">
        <v>34</v>
      </c>
      <c r="F20">
        <f>_xlfn.F.INV.RT(0.05,29,24)</f>
        <v>1.9452594206202809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47"/>
  <sheetViews>
    <sheetView zoomScale="130" zoomScaleNormal="130" workbookViewId="0">
      <selection activeCell="C6" sqref="C6"/>
    </sheetView>
  </sheetViews>
  <sheetFormatPr defaultRowHeight="15" x14ac:dyDescent="0.25"/>
  <sheetData>
    <row r="2" spans="1:14" x14ac:dyDescent="0.25">
      <c r="A2" t="s">
        <v>24</v>
      </c>
      <c r="F2" t="s">
        <v>0</v>
      </c>
    </row>
    <row r="3" spans="1:14" x14ac:dyDescent="0.25">
      <c r="B3" t="s">
        <v>25</v>
      </c>
      <c r="F3" t="s">
        <v>1</v>
      </c>
      <c r="G3" t="s">
        <v>2</v>
      </c>
      <c r="H3" t="s">
        <v>3</v>
      </c>
      <c r="I3" t="s">
        <v>4</v>
      </c>
    </row>
    <row r="4" spans="1:14" x14ac:dyDescent="0.25">
      <c r="B4" t="s">
        <v>5</v>
      </c>
      <c r="C4">
        <v>0.9</v>
      </c>
      <c r="F4">
        <v>9</v>
      </c>
      <c r="G4">
        <v>7.5</v>
      </c>
      <c r="H4">
        <v>9.1999999999999993</v>
      </c>
      <c r="I4">
        <v>8.8000000000000007</v>
      </c>
      <c r="L4">
        <v>7.5</v>
      </c>
      <c r="M4" t="s">
        <v>9</v>
      </c>
      <c r="N4">
        <v>6.5</v>
      </c>
    </row>
    <row r="5" spans="1:14" x14ac:dyDescent="0.25">
      <c r="B5" t="s">
        <v>6</v>
      </c>
      <c r="C5">
        <v>0.1</v>
      </c>
      <c r="F5">
        <v>9.3000000000000007</v>
      </c>
      <c r="G5">
        <v>9.5</v>
      </c>
      <c r="H5">
        <v>8.8000000000000007</v>
      </c>
      <c r="I5">
        <v>10.9</v>
      </c>
      <c r="L5">
        <v>8.1999999999999993</v>
      </c>
      <c r="M5" t="s">
        <v>9</v>
      </c>
      <c r="N5">
        <v>14</v>
      </c>
    </row>
    <row r="6" spans="1:14" x14ac:dyDescent="0.25">
      <c r="B6" t="s">
        <v>7</v>
      </c>
      <c r="C6">
        <f>_xlfn.CHISQ.INV.RT(0.1,3)</f>
        <v>6.2513886311703235</v>
      </c>
      <c r="F6">
        <v>9.1999999999999993</v>
      </c>
      <c r="G6">
        <v>7.2</v>
      </c>
      <c r="H6">
        <v>8</v>
      </c>
      <c r="I6">
        <v>9</v>
      </c>
      <c r="L6">
        <v>9</v>
      </c>
      <c r="M6" t="s">
        <v>9</v>
      </c>
      <c r="N6">
        <v>18.5</v>
      </c>
    </row>
    <row r="7" spans="1:14" x14ac:dyDescent="0.25">
      <c r="F7">
        <v>9.5</v>
      </c>
      <c r="G7">
        <v>6.3</v>
      </c>
      <c r="H7">
        <v>8.1</v>
      </c>
      <c r="I7">
        <v>9.8000000000000007</v>
      </c>
      <c r="L7">
        <v>9</v>
      </c>
      <c r="M7" t="s">
        <v>9</v>
      </c>
      <c r="N7">
        <v>18.5</v>
      </c>
    </row>
    <row r="8" spans="1:14" x14ac:dyDescent="0.25">
      <c r="B8" t="s">
        <v>8</v>
      </c>
      <c r="C8">
        <f>SUM(F18:I18)</f>
        <v>44</v>
      </c>
      <c r="F8">
        <v>8.1999999999999993</v>
      </c>
      <c r="G8">
        <v>7.9</v>
      </c>
      <c r="H8">
        <v>10.4</v>
      </c>
      <c r="I8">
        <v>8</v>
      </c>
      <c r="L8">
        <v>9.1999999999999993</v>
      </c>
      <c r="M8" t="s">
        <v>9</v>
      </c>
      <c r="N8">
        <v>22.5</v>
      </c>
    </row>
    <row r="9" spans="1:14" x14ac:dyDescent="0.25">
      <c r="F9">
        <v>10</v>
      </c>
      <c r="G9">
        <v>7.5</v>
      </c>
      <c r="H9">
        <v>9.9</v>
      </c>
      <c r="I9">
        <v>9.1999999999999993</v>
      </c>
      <c r="L9">
        <v>9.1999999999999993</v>
      </c>
      <c r="M9" t="s">
        <v>9</v>
      </c>
      <c r="N9">
        <v>22.5</v>
      </c>
    </row>
    <row r="10" spans="1:14" x14ac:dyDescent="0.25">
      <c r="B10" t="s">
        <v>13</v>
      </c>
      <c r="C10">
        <f>SUM(N4:N16)</f>
        <v>314.5</v>
      </c>
      <c r="F10">
        <v>9</v>
      </c>
      <c r="G10">
        <v>6.7</v>
      </c>
      <c r="H10">
        <v>9.4</v>
      </c>
      <c r="I10">
        <v>8</v>
      </c>
      <c r="L10">
        <v>9.3000000000000007</v>
      </c>
      <c r="M10" t="s">
        <v>9</v>
      </c>
      <c r="N10">
        <v>25.5</v>
      </c>
    </row>
    <row r="11" spans="1:14" x14ac:dyDescent="0.25">
      <c r="B11" t="s">
        <v>14</v>
      </c>
      <c r="C11">
        <f>(C10^2)/F18</f>
        <v>7608.4807692307695</v>
      </c>
      <c r="F11">
        <v>9.6999999999999993</v>
      </c>
      <c r="G11">
        <v>7.5</v>
      </c>
      <c r="H11">
        <v>9</v>
      </c>
      <c r="I11">
        <v>11.1</v>
      </c>
      <c r="L11">
        <v>9.3000000000000007</v>
      </c>
      <c r="M11" t="s">
        <v>9</v>
      </c>
      <c r="N11">
        <v>25.5</v>
      </c>
    </row>
    <row r="12" spans="1:14" x14ac:dyDescent="0.25">
      <c r="B12" t="s">
        <v>15</v>
      </c>
      <c r="C12">
        <f>SUM(N17:N25)</f>
        <v>68</v>
      </c>
      <c r="F12">
        <v>9.3000000000000007</v>
      </c>
      <c r="G12">
        <v>7.4</v>
      </c>
      <c r="H12">
        <v>10.3</v>
      </c>
      <c r="I12">
        <v>10</v>
      </c>
      <c r="L12">
        <v>9.4</v>
      </c>
      <c r="M12" t="s">
        <v>9</v>
      </c>
      <c r="N12">
        <v>27.5</v>
      </c>
    </row>
    <row r="13" spans="1:14" x14ac:dyDescent="0.25">
      <c r="B13" t="s">
        <v>16</v>
      </c>
      <c r="C13">
        <f>C12^2/G18</f>
        <v>513.77777777777783</v>
      </c>
      <c r="F13">
        <v>9.4</v>
      </c>
      <c r="H13">
        <v>10.4</v>
      </c>
      <c r="I13">
        <v>9.6999999999999993</v>
      </c>
      <c r="L13">
        <v>9.5</v>
      </c>
      <c r="M13" t="s">
        <v>9</v>
      </c>
      <c r="N13">
        <v>29.5</v>
      </c>
    </row>
    <row r="14" spans="1:14" x14ac:dyDescent="0.25">
      <c r="B14" t="s">
        <v>17</v>
      </c>
      <c r="C14">
        <f>SUM(N26:N36)</f>
        <v>300</v>
      </c>
      <c r="F14">
        <v>9.1999999999999993</v>
      </c>
      <c r="H14">
        <v>10.7</v>
      </c>
      <c r="I14">
        <v>11.7</v>
      </c>
      <c r="L14">
        <v>9.6999999999999993</v>
      </c>
      <c r="M14" t="s">
        <v>9</v>
      </c>
      <c r="N14">
        <v>31.5</v>
      </c>
    </row>
    <row r="15" spans="1:14" x14ac:dyDescent="0.25">
      <c r="B15" t="s">
        <v>19</v>
      </c>
      <c r="C15">
        <f>C14^2/H18</f>
        <v>8181.818181818182</v>
      </c>
      <c r="F15">
        <v>7.5</v>
      </c>
      <c r="L15">
        <v>10</v>
      </c>
      <c r="M15" t="s">
        <v>9</v>
      </c>
      <c r="N15">
        <v>35.5</v>
      </c>
    </row>
    <row r="16" spans="1:14" x14ac:dyDescent="0.25">
      <c r="B16" t="s">
        <v>18</v>
      </c>
      <c r="C16">
        <f>SUM(N37:N47)</f>
        <v>307.5</v>
      </c>
      <c r="F16">
        <v>10.199999999999999</v>
      </c>
      <c r="L16">
        <v>10.199999999999999</v>
      </c>
      <c r="M16" t="s">
        <v>9</v>
      </c>
      <c r="N16">
        <v>37</v>
      </c>
    </row>
    <row r="17" spans="2:14" x14ac:dyDescent="0.25">
      <c r="B17" t="s">
        <v>20</v>
      </c>
      <c r="C17">
        <f>C16^2/I18</f>
        <v>8596.0227272727279</v>
      </c>
      <c r="L17">
        <v>6.3</v>
      </c>
      <c r="M17" t="s">
        <v>10</v>
      </c>
      <c r="N17">
        <v>1</v>
      </c>
    </row>
    <row r="18" spans="2:14" x14ac:dyDescent="0.25">
      <c r="F18">
        <f>COUNT(F4:F16)</f>
        <v>13</v>
      </c>
      <c r="G18">
        <f t="shared" ref="G18:I18" si="0">COUNT(G4:G16)</f>
        <v>9</v>
      </c>
      <c r="H18">
        <f t="shared" si="0"/>
        <v>11</v>
      </c>
      <c r="I18">
        <f t="shared" si="0"/>
        <v>11</v>
      </c>
      <c r="L18">
        <v>6.7</v>
      </c>
      <c r="M18" t="s">
        <v>10</v>
      </c>
      <c r="N18">
        <v>2</v>
      </c>
    </row>
    <row r="19" spans="2:14" x14ac:dyDescent="0.25">
      <c r="B19" t="s">
        <v>22</v>
      </c>
      <c r="C19">
        <f>C11+C13+C15+C17</f>
        <v>24900.099456099459</v>
      </c>
      <c r="L19">
        <v>7.2</v>
      </c>
      <c r="M19" t="s">
        <v>10</v>
      </c>
      <c r="N19">
        <v>3</v>
      </c>
    </row>
    <row r="20" spans="2:14" x14ac:dyDescent="0.25">
      <c r="L20">
        <v>7.4</v>
      </c>
      <c r="M20" t="s">
        <v>10</v>
      </c>
      <c r="N20">
        <v>4</v>
      </c>
    </row>
    <row r="21" spans="2:14" x14ac:dyDescent="0.25">
      <c r="B21" t="s">
        <v>21</v>
      </c>
      <c r="C21">
        <f>((12/(C8*(C8+1)))*C19)-3*(C8+1)</f>
        <v>15.909693673330054</v>
      </c>
      <c r="L21">
        <v>7.5</v>
      </c>
      <c r="M21" t="s">
        <v>10</v>
      </c>
      <c r="N21">
        <v>6.5</v>
      </c>
    </row>
    <row r="22" spans="2:14" x14ac:dyDescent="0.25">
      <c r="L22">
        <v>7.5</v>
      </c>
      <c r="M22" t="s">
        <v>10</v>
      </c>
      <c r="N22">
        <v>6.5</v>
      </c>
    </row>
    <row r="23" spans="2:14" x14ac:dyDescent="0.25">
      <c r="B23" t="s">
        <v>23</v>
      </c>
      <c r="L23">
        <v>7.5</v>
      </c>
      <c r="M23" t="s">
        <v>10</v>
      </c>
      <c r="N23">
        <v>6.5</v>
      </c>
    </row>
    <row r="24" spans="2:14" x14ac:dyDescent="0.25">
      <c r="F24" s="1"/>
      <c r="L24">
        <v>7.9</v>
      </c>
      <c r="M24" t="s">
        <v>10</v>
      </c>
      <c r="N24">
        <v>9</v>
      </c>
    </row>
    <row r="25" spans="2:14" x14ac:dyDescent="0.25">
      <c r="B25" s="1"/>
      <c r="E25" s="2"/>
      <c r="L25">
        <v>9.5</v>
      </c>
      <c r="M25" t="s">
        <v>10</v>
      </c>
      <c r="N25">
        <v>29.5</v>
      </c>
    </row>
    <row r="26" spans="2:14" x14ac:dyDescent="0.25">
      <c r="L26">
        <v>8</v>
      </c>
      <c r="M26" t="s">
        <v>11</v>
      </c>
      <c r="N26">
        <v>11</v>
      </c>
    </row>
    <row r="27" spans="2:14" x14ac:dyDescent="0.25">
      <c r="L27">
        <v>8.1</v>
      </c>
      <c r="M27" t="s">
        <v>11</v>
      </c>
      <c r="N27">
        <v>13</v>
      </c>
    </row>
    <row r="28" spans="2:14" x14ac:dyDescent="0.25">
      <c r="L28">
        <v>8.8000000000000007</v>
      </c>
      <c r="M28" t="s">
        <v>11</v>
      </c>
      <c r="N28">
        <v>15.5</v>
      </c>
    </row>
    <row r="29" spans="2:14" x14ac:dyDescent="0.25">
      <c r="L29">
        <v>9</v>
      </c>
      <c r="M29" t="s">
        <v>11</v>
      </c>
      <c r="N29">
        <v>18.5</v>
      </c>
    </row>
    <row r="30" spans="2:14" x14ac:dyDescent="0.25">
      <c r="L30">
        <v>9.1999999999999993</v>
      </c>
      <c r="M30" t="s">
        <v>11</v>
      </c>
      <c r="N30">
        <v>22.5</v>
      </c>
    </row>
    <row r="31" spans="2:14" x14ac:dyDescent="0.25">
      <c r="L31">
        <v>9.4</v>
      </c>
      <c r="M31" t="s">
        <v>11</v>
      </c>
      <c r="N31">
        <v>27.5</v>
      </c>
    </row>
    <row r="32" spans="2:14" x14ac:dyDescent="0.25">
      <c r="L32">
        <v>9.9</v>
      </c>
      <c r="M32" t="s">
        <v>11</v>
      </c>
      <c r="N32">
        <v>34</v>
      </c>
    </row>
    <row r="33" spans="12:14" x14ac:dyDescent="0.25">
      <c r="L33">
        <v>10.3</v>
      </c>
      <c r="M33" t="s">
        <v>11</v>
      </c>
      <c r="N33">
        <v>38</v>
      </c>
    </row>
    <row r="34" spans="12:14" x14ac:dyDescent="0.25">
      <c r="L34">
        <v>10.4</v>
      </c>
      <c r="M34" t="s">
        <v>11</v>
      </c>
      <c r="N34">
        <v>39.5</v>
      </c>
    </row>
    <row r="35" spans="12:14" x14ac:dyDescent="0.25">
      <c r="L35">
        <v>10.4</v>
      </c>
      <c r="M35" t="s">
        <v>11</v>
      </c>
      <c r="N35">
        <v>39.5</v>
      </c>
    </row>
    <row r="36" spans="12:14" x14ac:dyDescent="0.25">
      <c r="L36">
        <v>10.7</v>
      </c>
      <c r="M36" t="s">
        <v>11</v>
      </c>
      <c r="N36">
        <v>41</v>
      </c>
    </row>
    <row r="37" spans="12:14" x14ac:dyDescent="0.25">
      <c r="L37">
        <v>8</v>
      </c>
      <c r="M37" t="s">
        <v>12</v>
      </c>
      <c r="N37">
        <v>11</v>
      </c>
    </row>
    <row r="38" spans="12:14" x14ac:dyDescent="0.25">
      <c r="L38">
        <v>8</v>
      </c>
      <c r="M38" t="s">
        <v>12</v>
      </c>
      <c r="N38">
        <v>11</v>
      </c>
    </row>
    <row r="39" spans="12:14" x14ac:dyDescent="0.25">
      <c r="L39">
        <v>8.8000000000000007</v>
      </c>
      <c r="M39" t="s">
        <v>12</v>
      </c>
      <c r="N39">
        <v>15.5</v>
      </c>
    </row>
    <row r="40" spans="12:14" x14ac:dyDescent="0.25">
      <c r="L40">
        <v>9</v>
      </c>
      <c r="M40" t="s">
        <v>12</v>
      </c>
      <c r="N40">
        <v>18.5</v>
      </c>
    </row>
    <row r="41" spans="12:14" x14ac:dyDescent="0.25">
      <c r="L41">
        <v>9.1999999999999993</v>
      </c>
      <c r="M41" t="s">
        <v>12</v>
      </c>
      <c r="N41">
        <v>22.5</v>
      </c>
    </row>
    <row r="42" spans="12:14" x14ac:dyDescent="0.25">
      <c r="L42">
        <v>9.6999999999999993</v>
      </c>
      <c r="M42" t="s">
        <v>12</v>
      </c>
      <c r="N42">
        <v>31.5</v>
      </c>
    </row>
    <row r="43" spans="12:14" x14ac:dyDescent="0.25">
      <c r="L43">
        <v>9.8000000000000007</v>
      </c>
      <c r="M43" t="s">
        <v>12</v>
      </c>
      <c r="N43">
        <v>33</v>
      </c>
    </row>
    <row r="44" spans="12:14" x14ac:dyDescent="0.25">
      <c r="L44">
        <v>10</v>
      </c>
      <c r="M44" t="s">
        <v>12</v>
      </c>
      <c r="N44">
        <v>35.5</v>
      </c>
    </row>
    <row r="45" spans="12:14" x14ac:dyDescent="0.25">
      <c r="L45">
        <v>10.9</v>
      </c>
      <c r="M45" t="s">
        <v>12</v>
      </c>
      <c r="N45">
        <v>42</v>
      </c>
    </row>
    <row r="46" spans="12:14" x14ac:dyDescent="0.25">
      <c r="L46">
        <v>11.1</v>
      </c>
      <c r="M46" t="s">
        <v>12</v>
      </c>
      <c r="N46">
        <v>43</v>
      </c>
    </row>
    <row r="47" spans="12:14" x14ac:dyDescent="0.25">
      <c r="L47">
        <v>11.7</v>
      </c>
      <c r="M47" t="s">
        <v>12</v>
      </c>
      <c r="N47">
        <v>44</v>
      </c>
    </row>
  </sheetData>
  <sortState ref="L4:N47">
    <sortCondition ref="M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Q1-Q7</vt:lpstr>
      <vt:lpstr>Q10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2019-02-21T06:49:18Z</dcterms:modified>
</cp:coreProperties>
</file>