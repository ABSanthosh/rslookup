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0" yWindow="0" windowWidth="23040" windowHeight="9972" activeTab="1"/>
  </bookViews>
  <sheets>
    <sheet name="SLR" sheetId="3" r:id="rId1"/>
    <sheet name="Practice SLR" sheetId="2" r:id="rId2"/>
  </sheets>
  <calcPr calcId="152511"/>
</workbook>
</file>

<file path=xl/calcChain.xml><?xml version="1.0" encoding="utf-8"?>
<calcChain xmlns="http://schemas.openxmlformats.org/spreadsheetml/2006/main">
  <c r="M8" i="2" l="1"/>
  <c r="G6" i="2"/>
  <c r="O14" i="2" l="1"/>
  <c r="N14" i="2"/>
  <c r="M14" i="2"/>
  <c r="O13" i="2"/>
  <c r="N13" i="2"/>
  <c r="M13" i="2"/>
  <c r="G7" i="2"/>
  <c r="G8" i="2"/>
  <c r="G9" i="2"/>
  <c r="G10" i="2"/>
  <c r="M9" i="2" s="1"/>
  <c r="K11" i="2" s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K10" i="2"/>
  <c r="K9" i="2"/>
  <c r="K8" i="2"/>
</calcChain>
</file>

<file path=xl/sharedStrings.xml><?xml version="1.0" encoding="utf-8"?>
<sst xmlns="http://schemas.openxmlformats.org/spreadsheetml/2006/main" count="50" uniqueCount="47">
  <si>
    <t>(a)</t>
  </si>
  <si>
    <t>Perform regression analysis and note the 99% confidence interval of the b-coefficients, the coefficient of determination (R^2), and the standard error</t>
  </si>
  <si>
    <t>(b)</t>
  </si>
  <si>
    <t>The the 90% confidence interval for individual and average response for y when a consultant works for 1500 hours in a year.</t>
  </si>
  <si>
    <t>Earnings in lakh</t>
  </si>
  <si>
    <t>Work hrs</t>
  </si>
  <si>
    <t>30 consultants are surveyed to see how much they earn in a year (y-variable) against how many hours they work (x-variable).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</si>
  <si>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</si>
  <si>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</si>
  <si>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</si>
  <si>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</si>
  <si>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</si>
  <si>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</si>
  <si>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</si>
  <si>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</si>
  <si>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</si>
  <si>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</si>
  <si>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</si>
  <si>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</si>
  <si>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</si>
  <si>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</si>
  <si>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</si>
  <si>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</si>
  <si>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</si>
  <si>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</si>
  <si>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</si>
  <si>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</si>
  <si>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</si>
  <si>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</si>
  <si>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99.0%</t>
  </si>
  <si>
    <t>Upper 99.0%</t>
  </si>
  <si>
    <t>y(hat)=</t>
  </si>
  <si>
    <t>x=</t>
  </si>
  <si>
    <t>t(al/2)=</t>
  </si>
  <si>
    <t>alpha=</t>
  </si>
  <si>
    <t>Syx=</t>
  </si>
  <si>
    <t>h(1500)=</t>
  </si>
  <si>
    <t>xbar=</t>
  </si>
  <si>
    <t>SSX=</t>
  </si>
  <si>
    <t>(xi-xbar)^2</t>
  </si>
  <si>
    <t>Individual prediction of y:</t>
  </si>
  <si>
    <t>Lower</t>
  </si>
  <si>
    <t>Upper</t>
  </si>
  <si>
    <t>Half-width</t>
  </si>
  <si>
    <t>Average prediction:</t>
  </si>
  <si>
    <t>Answers for part (a) highlighted in yellow</t>
  </si>
  <si>
    <t>Part (a) answers in 'SLR'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</si>
</sst>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A3" zoomScale="130" zoomScaleNormal="130" workbookViewId="0">
      <selection activeCell="H7" sqref="H7"/>
    </sheetView>
  </sheetViews>
  <sheetFormatPr defaultRowHeight="14.4" x14ac:dyDescent="0.3"/>
  <cols>
    <col min="1" max="1" width="13.44140625" customWidth="1"/>
  </cols>
  <sheetData>
    <row r="1" spans="1:9" x14ac:dyDescent="0.3">
      <c r="A1" t="s">
        <v>7</v>
      </c>
    </row>
    <row r="2" spans="1:9" ht="15" thickBot="1" x14ac:dyDescent="0.35"/>
    <row r="3" spans="1:9" x14ac:dyDescent="0.3">
      <c r="A3" s="5" t="s">
        <v>8</v>
      </c>
      <c r="B3" s="5"/>
    </row>
    <row r="4" spans="1:9" x14ac:dyDescent="0.3">
      <c r="A4" s="2" t="s">
        <v>9</v>
      </c>
      <c r="B4" s="2">
        <v>0.92508318076599982</v>
      </c>
    </row>
    <row r="5" spans="1:9" x14ac:dyDescent="0.3">
      <c r="A5" s="2" t="s">
        <v>10</v>
      </c>
      <c r="B5" s="6">
        <v>0.8557788913361396</v>
      </c>
    </row>
    <row r="6" spans="1:9" x14ac:dyDescent="0.3">
      <c r="A6" s="2" t="s">
        <v>11</v>
      </c>
      <c r="B6" s="2">
        <v>0.85062813745528743</v>
      </c>
    </row>
    <row r="7" spans="1:9" x14ac:dyDescent="0.3">
      <c r="A7" s="2" t="s">
        <v>12</v>
      </c>
      <c r="B7" s="6">
        <v>1.79851390947635</v>
      </c>
      <c r="H7" s="8" t="s">
        <v>45</v>
      </c>
    </row>
    <row r="8" spans="1:9" ht="15" thickBot="1" x14ac:dyDescent="0.35">
      <c r="A8" s="3" t="s">
        <v>13</v>
      </c>
      <c r="B8" s="3">
        <v>30</v>
      </c>
    </row>
    <row r="10" spans="1:9" ht="15" thickBot="1" x14ac:dyDescent="0.35">
      <c r="A10" t="s">
        <v>14</v>
      </c>
    </row>
    <row r="11" spans="1:9" x14ac:dyDescent="0.3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3">
      <c r="A12" s="2" t="s">
        <v>15</v>
      </c>
      <c r="B12" s="2">
        <v>1</v>
      </c>
      <c r="C12" s="2">
        <v>537.42562900057919</v>
      </c>
      <c r="D12" s="2">
        <v>537.42562900057919</v>
      </c>
      <c r="E12" s="2">
        <v>166.14633724152185</v>
      </c>
      <c r="F12" s="2">
        <v>2.7058166088311625E-13</v>
      </c>
    </row>
    <row r="13" spans="1:9" x14ac:dyDescent="0.3">
      <c r="A13" s="2" t="s">
        <v>16</v>
      </c>
      <c r="B13" s="2">
        <v>28</v>
      </c>
      <c r="C13" s="2">
        <v>90.570263912237323</v>
      </c>
      <c r="D13" s="2">
        <v>3.2346522825799044</v>
      </c>
      <c r="E13" s="2"/>
      <c r="F13" s="2"/>
    </row>
    <row r="14" spans="1:9" ht="15" thickBot="1" x14ac:dyDescent="0.35">
      <c r="A14" s="3" t="s">
        <v>17</v>
      </c>
      <c r="B14" s="3">
        <v>29</v>
      </c>
      <c r="C14" s="3">
        <v>627.99589291281654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3">
      <c r="A17" s="2" t="s">
        <v>18</v>
      </c>
      <c r="B17" s="6">
        <v>-1.9475813329264628</v>
      </c>
      <c r="C17" s="2">
        <v>1.3647520893809766</v>
      </c>
      <c r="D17" s="2">
        <v>-1.4270586929893221</v>
      </c>
      <c r="E17" s="2">
        <v>0.16462034440226023</v>
      </c>
      <c r="F17" s="2">
        <v>-4.7431492595944373</v>
      </c>
      <c r="G17" s="2">
        <v>0.84798659374151164</v>
      </c>
      <c r="H17" s="6">
        <v>-5.7187495425254777</v>
      </c>
      <c r="I17" s="6">
        <v>1.8235868766725516</v>
      </c>
    </row>
    <row r="18" spans="1:9" ht="15" thickBot="1" x14ac:dyDescent="0.35">
      <c r="A18" s="3" t="s">
        <v>5</v>
      </c>
      <c r="B18" s="7">
        <v>1.1735915182894446E-2</v>
      </c>
      <c r="C18" s="3">
        <v>9.1048244455213447E-4</v>
      </c>
      <c r="D18" s="3">
        <v>12.889776462046264</v>
      </c>
      <c r="E18" s="3">
        <v>2.7058166088311529E-13</v>
      </c>
      <c r="F18" s="3">
        <v>9.8708764409946616E-3</v>
      </c>
      <c r="G18" s="3">
        <v>1.360095392479423E-2</v>
      </c>
      <c r="H18" s="7">
        <v>9.2200132275067764E-3</v>
      </c>
      <c r="I18" s="7">
        <v>1.4251817138282115E-2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35"/>
  <sheetViews>
    <sheetView tabSelected="1" topLeftCell="B1" workbookViewId="0">
      <selection activeCell="O13" sqref="O13"/>
    </sheetView>
  </sheetViews>
  <sheetFormatPr defaultRowHeight="14.4" x14ac:dyDescent="0.3"/>
  <sheetData>
    <row r="1" spans="3:19" x14ac:dyDescent="0.3">
      <c r="C1" t="s">
        <v>6</v>
      </c>
    </row>
    <row r="2" spans="3:19" x14ac:dyDescent="0.3">
      <c r="C2" t="s">
        <v>0</v>
      </c>
      <c r="D2" t="s">
        <v>1</v>
      </c>
      <c r="S2" s="1"/>
    </row>
    <row r="3" spans="3:19" x14ac:dyDescent="0.3">
      <c r="C3" t="s">
        <v>2</v>
      </c>
      <c r="D3" t="s">
        <v>3</v>
      </c>
      <c r="S3" s="1"/>
    </row>
    <row r="5" spans="3:19" x14ac:dyDescent="0.3">
      <c r="D5" s="1" t="s">
        <v>4</v>
      </c>
      <c r="F5" s="1" t="s">
        <v>5</v>
      </c>
      <c r="G5" t="s">
        <v>39</v>
      </c>
      <c r="I5" s="8" t="s">
        <v>46</v>
      </c>
    </row>
    <row r="6" spans="3:19" x14ac:dyDescent="0.3">
      <c r="D6">
        <v>22.021879999999999</v>
      </c>
      <c r="F6">
        <v>1879</v>
      </c>
      <c r="G6">
        <f>(F6-$M$8)^2</f>
        <v>179860.80999999991</v>
      </c>
    </row>
    <row r="7" spans="3:19" x14ac:dyDescent="0.3">
      <c r="D7">
        <v>11.07963</v>
      </c>
      <c r="F7">
        <v>1203</v>
      </c>
      <c r="G7">
        <f t="shared" ref="G6:G35" si="0">(F7-$M$8)^2</f>
        <v>63453.610000000044</v>
      </c>
      <c r="I7" s="8" t="s">
        <v>2</v>
      </c>
      <c r="J7" t="s">
        <v>32</v>
      </c>
      <c r="K7">
        <v>1500</v>
      </c>
      <c r="L7" t="s">
        <v>34</v>
      </c>
      <c r="M7">
        <v>0.1</v>
      </c>
    </row>
    <row r="8" spans="3:19" x14ac:dyDescent="0.3">
      <c r="D8">
        <v>18.675360000000001</v>
      </c>
      <c r="F8">
        <v>1782</v>
      </c>
      <c r="G8">
        <f t="shared" si="0"/>
        <v>106994.40999999995</v>
      </c>
      <c r="J8" t="s">
        <v>31</v>
      </c>
      <c r="K8">
        <f>SLR!B17+SLR!B18*'Practice SLR'!K7</f>
        <v>15.656291441415204</v>
      </c>
      <c r="L8" t="s">
        <v>37</v>
      </c>
      <c r="M8">
        <f>AVERAGE(F6:F35)</f>
        <v>1454.9</v>
      </c>
    </row>
    <row r="9" spans="3:19" x14ac:dyDescent="0.3">
      <c r="D9">
        <v>10.72242</v>
      </c>
      <c r="F9">
        <v>1278</v>
      </c>
      <c r="G9">
        <f t="shared" si="0"/>
        <v>31293.610000000033</v>
      </c>
      <c r="J9" t="s">
        <v>33</v>
      </c>
      <c r="K9">
        <f>_xlfn.T.INV.2T(0.1,28)</f>
        <v>1.7011309342659326</v>
      </c>
      <c r="L9" t="s">
        <v>38</v>
      </c>
      <c r="M9">
        <f>SUM(G6:G35)</f>
        <v>3901974.6999999997</v>
      </c>
    </row>
    <row r="10" spans="3:19" x14ac:dyDescent="0.3">
      <c r="D10">
        <v>10.736879999999999</v>
      </c>
      <c r="F10">
        <v>913</v>
      </c>
      <c r="G10">
        <f t="shared" si="0"/>
        <v>293655.6100000001</v>
      </c>
      <c r="J10" t="s">
        <v>35</v>
      </c>
      <c r="K10">
        <f>SLR!B7</f>
        <v>1.79851390947635</v>
      </c>
    </row>
    <row r="11" spans="3:19" x14ac:dyDescent="0.3">
      <c r="D11">
        <v>14.206289999999999</v>
      </c>
      <c r="F11">
        <v>1281</v>
      </c>
      <c r="G11">
        <f t="shared" si="0"/>
        <v>30241.210000000032</v>
      </c>
      <c r="J11" t="s">
        <v>36</v>
      </c>
      <c r="K11">
        <f>(1/30)+(((1500-M8)^2)/M9)</f>
        <v>3.3854610419009973E-2</v>
      </c>
    </row>
    <row r="12" spans="3:19" x14ac:dyDescent="0.3">
      <c r="D12">
        <v>21.996089999999999</v>
      </c>
      <c r="F12">
        <v>1987</v>
      </c>
      <c r="G12">
        <f t="shared" si="0"/>
        <v>283130.40999999992</v>
      </c>
      <c r="M12" t="s">
        <v>41</v>
      </c>
      <c r="N12" t="s">
        <v>42</v>
      </c>
      <c r="O12" t="s">
        <v>43</v>
      </c>
    </row>
    <row r="13" spans="3:19" x14ac:dyDescent="0.3">
      <c r="D13">
        <v>10.47566</v>
      </c>
      <c r="F13">
        <v>1118</v>
      </c>
      <c r="G13">
        <f t="shared" si="0"/>
        <v>113501.61000000006</v>
      </c>
      <c r="J13" t="s">
        <v>40</v>
      </c>
      <c r="M13">
        <f>K8-K9*K10*SQRT((1+K11))</f>
        <v>12.545425634216436</v>
      </c>
      <c r="N13">
        <f>K8+K9*K10*SQRT((1+K11))</f>
        <v>18.767157248613973</v>
      </c>
      <c r="O13">
        <f>K9*K10*SQRT((1+K11))</f>
        <v>3.1108658071987692</v>
      </c>
    </row>
    <row r="14" spans="3:19" x14ac:dyDescent="0.3">
      <c r="D14">
        <v>10.2502</v>
      </c>
      <c r="F14">
        <v>967</v>
      </c>
      <c r="G14">
        <f t="shared" si="0"/>
        <v>238046.41000000009</v>
      </c>
      <c r="J14" t="s">
        <v>44</v>
      </c>
      <c r="M14">
        <f>K8-K9*K10*SQRT(K11)</f>
        <v>15.093353587272951</v>
      </c>
      <c r="N14">
        <f>K8+K9*K10*SQRT(K11)</f>
        <v>16.219229295557458</v>
      </c>
      <c r="O14">
        <f>K9*K10*SQRT(K11)</f>
        <v>0.56293785414225272</v>
      </c>
    </row>
    <row r="15" spans="3:19" x14ac:dyDescent="0.3">
      <c r="D15">
        <v>19.384319999999999</v>
      </c>
      <c r="F15">
        <v>1893</v>
      </c>
      <c r="G15">
        <f t="shared" si="0"/>
        <v>191931.60999999993</v>
      </c>
    </row>
    <row r="16" spans="3:19" x14ac:dyDescent="0.3">
      <c r="D16">
        <v>11.907</v>
      </c>
      <c r="F16">
        <v>1134</v>
      </c>
      <c r="G16">
        <f t="shared" si="0"/>
        <v>102976.81000000006</v>
      </c>
    </row>
    <row r="17" spans="4:7" x14ac:dyDescent="0.3">
      <c r="D17">
        <v>17.789200000000001</v>
      </c>
      <c r="F17">
        <v>1555</v>
      </c>
      <c r="G17">
        <f t="shared" si="0"/>
        <v>10020.009999999982</v>
      </c>
    </row>
    <row r="18" spans="4:7" x14ac:dyDescent="0.3">
      <c r="D18">
        <v>18.7712</v>
      </c>
      <c r="F18">
        <v>1676</v>
      </c>
      <c r="G18">
        <f t="shared" si="0"/>
        <v>48885.209999999963</v>
      </c>
    </row>
    <row r="19" spans="4:7" x14ac:dyDescent="0.3">
      <c r="D19">
        <v>13.792450000000001</v>
      </c>
      <c r="F19">
        <v>1255</v>
      </c>
      <c r="G19">
        <f t="shared" si="0"/>
        <v>39960.010000000038</v>
      </c>
    </row>
    <row r="20" spans="4:7" x14ac:dyDescent="0.3">
      <c r="D20">
        <v>20.5886</v>
      </c>
      <c r="F20">
        <v>1822</v>
      </c>
      <c r="G20">
        <f t="shared" si="0"/>
        <v>134762.40999999995</v>
      </c>
    </row>
    <row r="21" spans="4:7" x14ac:dyDescent="0.3">
      <c r="D21">
        <v>14.213520000000001</v>
      </c>
      <c r="F21">
        <v>1368</v>
      </c>
      <c r="G21">
        <f t="shared" si="0"/>
        <v>7551.610000000016</v>
      </c>
    </row>
    <row r="22" spans="4:7" x14ac:dyDescent="0.3">
      <c r="D22">
        <v>11.90028</v>
      </c>
      <c r="F22">
        <v>1371</v>
      </c>
      <c r="G22">
        <f t="shared" si="0"/>
        <v>7039.2100000000155</v>
      </c>
    </row>
    <row r="23" spans="4:7" x14ac:dyDescent="0.3">
      <c r="D23">
        <v>11.65372</v>
      </c>
      <c r="F23">
        <v>1228</v>
      </c>
      <c r="G23">
        <f t="shared" si="0"/>
        <v>51483.610000000044</v>
      </c>
    </row>
    <row r="24" spans="4:7" x14ac:dyDescent="0.3">
      <c r="D24">
        <v>23.0808</v>
      </c>
      <c r="F24">
        <v>1956</v>
      </c>
      <c r="G24">
        <f t="shared" si="0"/>
        <v>251101.2099999999</v>
      </c>
    </row>
    <row r="25" spans="4:7" x14ac:dyDescent="0.3">
      <c r="D25">
        <v>16.965810000000001</v>
      </c>
      <c r="F25">
        <v>1439</v>
      </c>
      <c r="G25">
        <f t="shared" si="0"/>
        <v>252.8100000000029</v>
      </c>
    </row>
    <row r="26" spans="4:7" x14ac:dyDescent="0.3">
      <c r="D26">
        <v>16.699649999999998</v>
      </c>
      <c r="F26">
        <v>1745</v>
      </c>
      <c r="G26">
        <f t="shared" si="0"/>
        <v>84158.009999999951</v>
      </c>
    </row>
    <row r="27" spans="4:7" x14ac:dyDescent="0.3">
      <c r="D27">
        <v>13.547639999999999</v>
      </c>
      <c r="F27">
        <v>1374</v>
      </c>
      <c r="G27">
        <f t="shared" si="0"/>
        <v>6544.810000000015</v>
      </c>
    </row>
    <row r="28" spans="4:7" x14ac:dyDescent="0.3">
      <c r="D28">
        <v>7.6828500000000002</v>
      </c>
      <c r="F28">
        <v>945</v>
      </c>
      <c r="G28">
        <f t="shared" si="0"/>
        <v>259998.0100000001</v>
      </c>
    </row>
    <row r="29" spans="4:7" x14ac:dyDescent="0.3">
      <c r="D29">
        <v>22.235399999999998</v>
      </c>
      <c r="F29">
        <v>1980</v>
      </c>
      <c r="G29">
        <f t="shared" si="0"/>
        <v>275730.00999999989</v>
      </c>
    </row>
    <row r="30" spans="4:7" x14ac:dyDescent="0.3">
      <c r="D30">
        <v>7.8487600000000004</v>
      </c>
      <c r="F30">
        <v>956</v>
      </c>
      <c r="G30">
        <f t="shared" si="0"/>
        <v>248901.21000000008</v>
      </c>
    </row>
    <row r="31" spans="4:7" x14ac:dyDescent="0.3">
      <c r="D31">
        <v>11.069520000000001</v>
      </c>
      <c r="F31">
        <v>924</v>
      </c>
      <c r="G31">
        <f t="shared" si="0"/>
        <v>281854.81000000011</v>
      </c>
    </row>
    <row r="32" spans="4:7" x14ac:dyDescent="0.3">
      <c r="D32">
        <v>13.47504</v>
      </c>
      <c r="F32">
        <v>1676</v>
      </c>
      <c r="G32">
        <f t="shared" si="0"/>
        <v>48885.209999999963</v>
      </c>
    </row>
    <row r="33" spans="4:7" x14ac:dyDescent="0.3">
      <c r="D33">
        <v>16.003959999999999</v>
      </c>
      <c r="F33">
        <v>1874</v>
      </c>
      <c r="G33">
        <f t="shared" si="0"/>
        <v>175644.80999999991</v>
      </c>
    </row>
    <row r="34" spans="4:7" x14ac:dyDescent="0.3">
      <c r="D34">
        <v>22.69755</v>
      </c>
      <c r="F34">
        <v>1935</v>
      </c>
      <c r="G34">
        <f t="shared" si="0"/>
        <v>230496.00999999992</v>
      </c>
    </row>
    <row r="35" spans="4:7" x14ac:dyDescent="0.3">
      <c r="D35">
        <v>12.338369999999999</v>
      </c>
      <c r="F35">
        <v>1133</v>
      </c>
      <c r="G35">
        <f t="shared" si="0"/>
        <v>103619.61000000006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SLR</vt:lpstr>
      <vt:lpstr>Practice SLR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2019-04-04T02:20:50Z</dcterms:modified>
</cp:coreProperties>
</file>