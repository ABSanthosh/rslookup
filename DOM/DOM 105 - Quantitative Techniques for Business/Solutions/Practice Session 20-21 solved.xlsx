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972" activeTab="4"/>
  </bookViews>
  <sheets>
    <sheet name="MLR" sheetId="3" r:id="rId1"/>
    <sheet name="VIF" sheetId="4" r:id="rId2"/>
    <sheet name="MLR2" sheetId="5" r:id="rId3"/>
    <sheet name="Partial F - OSP" sheetId="6" r:id="rId4"/>
    <sheet name="MLR practice" sheetId="2" r:id="rId5"/>
  </sheets>
  <calcPr calcId="152511"/>
</workbook>
</file>

<file path=xl/calcChain.xml><?xml version="1.0" encoding="utf-8"?>
<calcChain xmlns="http://schemas.openxmlformats.org/spreadsheetml/2006/main">
  <c r="I7" i="6" l="1"/>
  <c r="I8" i="6" l="1"/>
  <c r="I6" i="6"/>
  <c r="I5" i="6"/>
  <c r="I4" i="6"/>
  <c r="D6" i="4"/>
  <c r="D5" i="4"/>
  <c r="L16" i="3"/>
</calcChain>
</file>

<file path=xl/sharedStrings.xml><?xml version="1.0" encoding="utf-8"?>
<sst xmlns="http://schemas.openxmlformats.org/spreadsheetml/2006/main" count="148" uniqueCount="59">
  <si>
    <t>Share price growth</t>
  </si>
  <si>
    <t xml:space="preserve">Change in </t>
  </si>
  <si>
    <t>Original</t>
  </si>
  <si>
    <t>Number of</t>
  </si>
  <si>
    <t>Profit %</t>
  </si>
  <si>
    <t>Mergers/Acquisitions</t>
  </si>
  <si>
    <t>(in %)</t>
  </si>
  <si>
    <t>earnings</t>
  </si>
  <si>
    <t>Share price</t>
  </si>
  <si>
    <t>positive news</t>
  </si>
  <si>
    <t>(1= Yes)</t>
  </si>
  <si>
    <t>items</t>
  </si>
  <si>
    <t>(0=No)</t>
  </si>
  <si>
    <t>ShrPrc</t>
  </si>
  <si>
    <t>News</t>
  </si>
  <si>
    <t>OSP</t>
  </si>
  <si>
    <t>Profit</t>
  </si>
  <si>
    <t>MA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</si>
  <si>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</si>
  <si>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</si>
  <si>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</si>
  <si>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</si>
  <si>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</si>
  <si>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</si>
  <si>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</si>
  <si>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</si>
  <si>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</si>
  <si>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</si>
  <si>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</si>
  <si>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</si>
  <si>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</si>
  <si>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</si>
  <si>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</si>
  <si>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</si>
  <si>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</si>
  <si>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</si>
  <si>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</si>
  <si>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</si>
  <si>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</si>
  <si>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</si>
  <si>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</si>
  <si>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</si>
  <si>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t(al/2)</t>
  </si>
  <si>
    <t>Alternate:</t>
  </si>
  <si>
    <t>Slope is non-zero if p-value&lt;alpha</t>
  </si>
  <si>
    <t>VIF=</t>
  </si>
  <si>
    <t>y(hat)=</t>
  </si>
  <si>
    <t>-7.944+0.8464(News)+1.4(earnings)</t>
  </si>
  <si>
    <t>SSR=</t>
  </si>
  <si>
    <t>SSR w/o OSP</t>
  </si>
  <si>
    <t>MSE=</t>
  </si>
  <si>
    <t>F=</t>
  </si>
  <si>
    <t>F(alpha)</t>
  </si>
  <si>
    <t>Using Partial F-test to see if OSP can be added to the model, alpha=0.05</t>
  </si>
  <si>
    <t>(all three variables)</t>
  </si>
  <si>
    <t>(All 3 variables)</t>
  </si>
  <si>
    <t>(df1=1,df2=n-3-1=46)</t>
  </si>
  <si>
    <t>(from MLR2 sheet, SSR of the 2-variable model))</t>
  </si>
  <si>
    <r>
      <t xml:space="preserve">Since F&lt;F(alpha), adding OSP does </t>
    </r>
    <r>
      <rPr>
        <b/>
        <u/>
        <sz val="11"/>
        <color theme="1"/>
        <rFont val="Calibri"/>
        <family val="2"/>
        <scheme val="minor"/>
      </rPr>
      <t>not</t>
    </r>
    <r>
      <rPr>
        <b/>
        <sz val="11"/>
        <color theme="1"/>
        <rFont val="Calibri"/>
        <family val="2"/>
        <scheme val="minor"/>
      </rPr>
      <t xml:space="preserve"> improve the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</si>
</sst>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7" zoomScale="130" zoomScaleNormal="130" workbookViewId="0">
      <selection activeCell="B27" sqref="B27"/>
    </sheetView>
  </sheetViews>
  <sheetFormatPr defaultRowHeight="14.4" x14ac:dyDescent="0.3"/>
  <sheetData>
    <row r="1" spans="1:12" x14ac:dyDescent="0.3">
      <c r="A1" t="s">
        <v>18</v>
      </c>
    </row>
    <row r="2" spans="1:12" ht="15" thickBot="1" x14ac:dyDescent="0.35"/>
    <row r="3" spans="1:12" x14ac:dyDescent="0.3">
      <c r="A3" s="4" t="s">
        <v>19</v>
      </c>
      <c r="B3" s="4"/>
    </row>
    <row r="4" spans="1:12" x14ac:dyDescent="0.3">
      <c r="A4" s="1" t="s">
        <v>20</v>
      </c>
      <c r="B4" s="1">
        <v>0.93084526334180284</v>
      </c>
    </row>
    <row r="5" spans="1:12" x14ac:dyDescent="0.3">
      <c r="A5" s="1" t="s">
        <v>21</v>
      </c>
      <c r="B5" s="1">
        <v>0.86647290428587032</v>
      </c>
    </row>
    <row r="6" spans="1:12" x14ac:dyDescent="0.3">
      <c r="A6" s="1" t="s">
        <v>22</v>
      </c>
      <c r="B6" s="1">
        <v>0.85129937068199191</v>
      </c>
    </row>
    <row r="7" spans="1:12" x14ac:dyDescent="0.3">
      <c r="A7" s="1" t="s">
        <v>23</v>
      </c>
      <c r="B7" s="1">
        <v>3.9436594062874901</v>
      </c>
    </row>
    <row r="8" spans="1:12" ht="15" thickBot="1" x14ac:dyDescent="0.35">
      <c r="A8" s="2" t="s">
        <v>24</v>
      </c>
      <c r="B8" s="2">
        <v>50</v>
      </c>
    </row>
    <row r="10" spans="1:12" ht="15" thickBot="1" x14ac:dyDescent="0.35">
      <c r="A10" t="s">
        <v>25</v>
      </c>
    </row>
    <row r="11" spans="1:12" x14ac:dyDescent="0.3">
      <c r="A11" s="3"/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</row>
    <row r="12" spans="1:12" x14ac:dyDescent="0.3">
      <c r="A12" s="1" t="s">
        <v>26</v>
      </c>
      <c r="B12" s="1">
        <v>5</v>
      </c>
      <c r="C12" s="1">
        <v>4440.5530214368082</v>
      </c>
      <c r="D12" s="1">
        <v>888.11060428736164</v>
      </c>
      <c r="E12" s="1">
        <v>57.104226800828968</v>
      </c>
      <c r="F12" s="1">
        <v>3.9760481610055377E-18</v>
      </c>
    </row>
    <row r="13" spans="1:12" x14ac:dyDescent="0.3">
      <c r="A13" s="1" t="s">
        <v>27</v>
      </c>
      <c r="B13" s="1">
        <v>44</v>
      </c>
      <c r="C13" s="1">
        <v>684.30777856319116</v>
      </c>
      <c r="D13" s="1">
        <v>15.552449512799798</v>
      </c>
      <c r="E13" s="1"/>
      <c r="F13" s="1"/>
    </row>
    <row r="14" spans="1:12" ht="15" thickBot="1" x14ac:dyDescent="0.35">
      <c r="A14" s="2" t="s">
        <v>28</v>
      </c>
      <c r="B14" s="2">
        <v>49</v>
      </c>
      <c r="C14" s="2">
        <v>5124.8607999999995</v>
      </c>
      <c r="D14" s="2"/>
      <c r="E14" s="2"/>
      <c r="F14" s="2"/>
    </row>
    <row r="15" spans="1:12" ht="15" thickBot="1" x14ac:dyDescent="0.35"/>
    <row r="16" spans="1:12" x14ac:dyDescent="0.3">
      <c r="A16" s="3"/>
      <c r="B16" s="3" t="s">
        <v>35</v>
      </c>
      <c r="C16" s="3" t="s">
        <v>23</v>
      </c>
      <c r="D16" s="3" t="s">
        <v>36</v>
      </c>
      <c r="E16" s="3" t="s">
        <v>37</v>
      </c>
      <c r="F16" s="3" t="s">
        <v>38</v>
      </c>
      <c r="G16" s="3" t="s">
        <v>39</v>
      </c>
      <c r="H16" s="3" t="s">
        <v>40</v>
      </c>
      <c r="I16" s="3" t="s">
        <v>41</v>
      </c>
      <c r="K16" s="5" t="s">
        <v>42</v>
      </c>
      <c r="L16">
        <f>_xlfn.T.INV.2T(0.05,44)</f>
        <v>2.0153675744437649</v>
      </c>
    </row>
    <row r="17" spans="1:10" x14ac:dyDescent="0.3">
      <c r="A17" s="1" t="s">
        <v>29</v>
      </c>
      <c r="B17" s="1">
        <v>-8.206264507761567</v>
      </c>
      <c r="C17" s="1">
        <v>1.9729044026400409</v>
      </c>
      <c r="D17" s="1">
        <v>-4.1594841071773976</v>
      </c>
      <c r="E17" s="1">
        <v>1.4541780647913318E-4</v>
      </c>
      <c r="F17" s="1">
        <v>-12.18239206831965</v>
      </c>
      <c r="G17" s="1">
        <v>-4.2301369472034835</v>
      </c>
      <c r="H17" s="1">
        <v>-12.18239206831965</v>
      </c>
      <c r="I17" s="1">
        <v>-4.2301369472034835</v>
      </c>
    </row>
    <row r="18" spans="1:10" x14ac:dyDescent="0.3">
      <c r="A18" s="1" t="s">
        <v>7</v>
      </c>
      <c r="B18" s="1">
        <v>1.4242048662555749</v>
      </c>
      <c r="C18" s="1">
        <v>0.13557738733264207</v>
      </c>
      <c r="D18" s="1">
        <v>10.504737510254989</v>
      </c>
      <c r="E18" s="1">
        <v>1.4314202469041598E-13</v>
      </c>
      <c r="F18" s="1">
        <v>1.1509665959975652</v>
      </c>
      <c r="G18" s="1">
        <v>1.6974431365135845</v>
      </c>
      <c r="H18" s="1">
        <v>1.1509665959975652</v>
      </c>
      <c r="I18" s="1">
        <v>1.6974431365135845</v>
      </c>
    </row>
    <row r="19" spans="1:10" x14ac:dyDescent="0.3">
      <c r="A19" s="1" t="s">
        <v>15</v>
      </c>
      <c r="B19" s="1">
        <v>1.0779071683564121E-3</v>
      </c>
      <c r="C19" s="1">
        <v>1.1544175413580801E-3</v>
      </c>
      <c r="D19" s="6">
        <v>0.9337238301908859</v>
      </c>
      <c r="E19" s="6">
        <v>0.35554236938492645</v>
      </c>
      <c r="F19" s="1">
        <v>-1.2486685118657565E-3</v>
      </c>
      <c r="G19" s="1">
        <v>3.4044828485785806E-3</v>
      </c>
      <c r="H19" s="1">
        <v>-1.2486685118657565E-3</v>
      </c>
      <c r="I19" s="1">
        <v>3.4044828485785806E-3</v>
      </c>
    </row>
    <row r="20" spans="1:10" x14ac:dyDescent="0.3">
      <c r="A20" s="1" t="s">
        <v>14</v>
      </c>
      <c r="B20" s="1">
        <v>0.86034572202027515</v>
      </c>
      <c r="C20" s="1">
        <v>0.26165892604831864</v>
      </c>
      <c r="D20" s="1">
        <v>3.2880427012889344</v>
      </c>
      <c r="E20" s="1">
        <v>1.9888215325076942E-3</v>
      </c>
      <c r="F20" s="1">
        <v>0.33300680689871476</v>
      </c>
      <c r="G20" s="1">
        <v>1.3876846371418354</v>
      </c>
      <c r="H20" s="1">
        <v>0.33300680689871476</v>
      </c>
      <c r="I20" s="1">
        <v>1.3876846371418354</v>
      </c>
      <c r="J20" s="8" t="s">
        <v>43</v>
      </c>
    </row>
    <row r="21" spans="1:10" x14ac:dyDescent="0.3">
      <c r="A21" s="1" t="s">
        <v>16</v>
      </c>
      <c r="B21" s="1">
        <v>-8.9137421485524296E-2</v>
      </c>
      <c r="C21" s="1">
        <v>0.25991088886094477</v>
      </c>
      <c r="D21" s="6">
        <v>-0.34295377879767791</v>
      </c>
      <c r="E21" s="6">
        <v>0.73326638914931663</v>
      </c>
      <c r="F21" s="1">
        <v>-0.61295339914072944</v>
      </c>
      <c r="G21" s="1">
        <v>0.43467855616968087</v>
      </c>
      <c r="H21" s="1">
        <v>-0.61295339914072944</v>
      </c>
      <c r="I21" s="1">
        <v>0.43467855616968087</v>
      </c>
      <c r="J21" s="8" t="s">
        <v>44</v>
      </c>
    </row>
    <row r="22" spans="1:10" ht="15" thickBot="1" x14ac:dyDescent="0.35">
      <c r="A22" s="2" t="s">
        <v>17</v>
      </c>
      <c r="B22" s="2">
        <v>-1.2401427779097105</v>
      </c>
      <c r="C22" s="2">
        <v>1.1734732515496822</v>
      </c>
      <c r="D22" s="7">
        <v>-1.0568138440923003</v>
      </c>
      <c r="E22" s="7">
        <v>0.29636458971952084</v>
      </c>
      <c r="F22" s="2">
        <v>-3.6051227185600316</v>
      </c>
      <c r="G22" s="2">
        <v>1.1248371627406106</v>
      </c>
      <c r="H22" s="2">
        <v>-3.6051227185600316</v>
      </c>
      <c r="I22" s="2">
        <v>1.1248371627406106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A2" zoomScale="124" zoomScaleNormal="124" workbookViewId="0">
      <selection activeCell="D5" sqref="D5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4" t="s">
        <v>19</v>
      </c>
      <c r="B3" s="4"/>
    </row>
    <row r="4" spans="1:9" x14ac:dyDescent="0.3">
      <c r="A4" s="1" t="s">
        <v>20</v>
      </c>
      <c r="B4" s="1">
        <v>0.56055421407404293</v>
      </c>
    </row>
    <row r="5" spans="1:9" x14ac:dyDescent="0.3">
      <c r="A5" s="1" t="s">
        <v>21</v>
      </c>
      <c r="B5" s="1">
        <v>0.31422102691616799</v>
      </c>
      <c r="C5" t="s">
        <v>45</v>
      </c>
      <c r="D5">
        <f>1/(1-B5)</f>
        <v>1.4581957733454107</v>
      </c>
    </row>
    <row r="6" spans="1:9" x14ac:dyDescent="0.3">
      <c r="A6" s="1" t="s">
        <v>22</v>
      </c>
      <c r="B6" s="1">
        <v>0.29993396497692149</v>
      </c>
      <c r="D6">
        <f>1/(1-B6)</f>
        <v>1.4284366759301983</v>
      </c>
    </row>
    <row r="7" spans="1:9" x14ac:dyDescent="0.3">
      <c r="A7" s="1" t="s">
        <v>23</v>
      </c>
      <c r="B7" s="1">
        <v>4.7545954700509654</v>
      </c>
    </row>
    <row r="8" spans="1:9" ht="15" thickBot="1" x14ac:dyDescent="0.35">
      <c r="A8" s="2" t="s">
        <v>24</v>
      </c>
      <c r="B8" s="2">
        <v>50</v>
      </c>
    </row>
    <row r="10" spans="1:9" ht="15" thickBot="1" x14ac:dyDescent="0.35">
      <c r="A10" t="s">
        <v>25</v>
      </c>
    </row>
    <row r="11" spans="1:9" x14ac:dyDescent="0.3">
      <c r="A11" s="3"/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</row>
    <row r="12" spans="1:9" x14ac:dyDescent="0.3">
      <c r="A12" s="1" t="s">
        <v>26</v>
      </c>
      <c r="B12" s="1">
        <v>1</v>
      </c>
      <c r="C12" s="1">
        <v>497.18665197620044</v>
      </c>
      <c r="D12" s="1">
        <v>497.18665197620044</v>
      </c>
      <c r="E12" s="1">
        <v>21.993397120579711</v>
      </c>
      <c r="F12" s="1">
        <v>2.2991507762122916E-5</v>
      </c>
    </row>
    <row r="13" spans="1:9" x14ac:dyDescent="0.3">
      <c r="A13" s="1" t="s">
        <v>27</v>
      </c>
      <c r="B13" s="1">
        <v>48</v>
      </c>
      <c r="C13" s="1">
        <v>1085.0965480237996</v>
      </c>
      <c r="D13" s="1">
        <v>22.60617808382916</v>
      </c>
      <c r="E13" s="1"/>
      <c r="F13" s="1"/>
    </row>
    <row r="14" spans="1:9" ht="15" thickBot="1" x14ac:dyDescent="0.35">
      <c r="A14" s="2" t="s">
        <v>28</v>
      </c>
      <c r="B14" s="2">
        <v>49</v>
      </c>
      <c r="C14" s="2">
        <v>1582.2832000000001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35</v>
      </c>
      <c r="C16" s="3" t="s">
        <v>23</v>
      </c>
      <c r="D16" s="3" t="s">
        <v>36</v>
      </c>
      <c r="E16" s="3" t="s">
        <v>37</v>
      </c>
      <c r="F16" s="3" t="s">
        <v>38</v>
      </c>
      <c r="G16" s="3" t="s">
        <v>39</v>
      </c>
      <c r="H16" s="3" t="s">
        <v>40</v>
      </c>
      <c r="I16" s="3" t="s">
        <v>41</v>
      </c>
    </row>
    <row r="17" spans="1:9" x14ac:dyDescent="0.3">
      <c r="A17" s="1" t="s">
        <v>29</v>
      </c>
      <c r="B17" s="1">
        <v>1.2515937101572838E-2</v>
      </c>
      <c r="C17" s="1">
        <v>1.5105476015290269</v>
      </c>
      <c r="D17" s="1">
        <v>8.2856952597215646E-3</v>
      </c>
      <c r="E17" s="1">
        <v>0.99342338894522442</v>
      </c>
      <c r="F17" s="1">
        <v>-3.0246435735786061</v>
      </c>
      <c r="G17" s="1">
        <v>3.0496754477817518</v>
      </c>
      <c r="H17" s="1">
        <v>-3.0246435735786061</v>
      </c>
      <c r="I17" s="1">
        <v>3.0496754477817518</v>
      </c>
    </row>
    <row r="18" spans="1:9" ht="15" thickBot="1" x14ac:dyDescent="0.35">
      <c r="A18" s="2" t="s">
        <v>14</v>
      </c>
      <c r="B18" s="2">
        <v>1.1491818954526136</v>
      </c>
      <c r="C18" s="2">
        <v>0.24504317860570352</v>
      </c>
      <c r="D18" s="2">
        <v>4.6897118376910649</v>
      </c>
      <c r="E18" s="2">
        <v>2.2991507762123001E-5</v>
      </c>
      <c r="F18" s="2">
        <v>0.65648956342926368</v>
      </c>
      <c r="G18" s="2">
        <v>1.6418742274759635</v>
      </c>
      <c r="H18" s="2">
        <v>0.65648956342926368</v>
      </c>
      <c r="I18" s="2">
        <v>1.6418742274759635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7" zoomScale="124" zoomScaleNormal="124" workbookViewId="0">
      <selection activeCell="E24" sqref="E24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4" t="s">
        <v>19</v>
      </c>
      <c r="B3" s="4"/>
    </row>
    <row r="4" spans="1:9" x14ac:dyDescent="0.3">
      <c r="A4" s="1" t="s">
        <v>20</v>
      </c>
      <c r="B4" s="1">
        <v>0.92634333655190937</v>
      </c>
    </row>
    <row r="5" spans="1:9" x14ac:dyDescent="0.3">
      <c r="A5" s="1" t="s">
        <v>21</v>
      </c>
      <c r="B5" s="1">
        <v>0.85811197717412413</v>
      </c>
    </row>
    <row r="6" spans="1:9" x14ac:dyDescent="0.3">
      <c r="A6" s="1" t="s">
        <v>22</v>
      </c>
      <c r="B6" s="1">
        <v>0.85207418896876763</v>
      </c>
    </row>
    <row r="7" spans="1:9" x14ac:dyDescent="0.3">
      <c r="A7" s="1" t="s">
        <v>23</v>
      </c>
      <c r="B7" s="1">
        <v>3.9333715876035331</v>
      </c>
    </row>
    <row r="8" spans="1:9" ht="15" thickBot="1" x14ac:dyDescent="0.35">
      <c r="A8" s="2" t="s">
        <v>24</v>
      </c>
      <c r="B8" s="2">
        <v>50</v>
      </c>
    </row>
    <row r="10" spans="1:9" ht="15" thickBot="1" x14ac:dyDescent="0.35">
      <c r="A10" t="s">
        <v>25</v>
      </c>
    </row>
    <row r="11" spans="1:9" x14ac:dyDescent="0.3">
      <c r="A11" s="3"/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</row>
    <row r="12" spans="1:9" x14ac:dyDescent="0.3">
      <c r="A12" s="1" t="s">
        <v>26</v>
      </c>
      <c r="B12" s="1">
        <v>2</v>
      </c>
      <c r="C12" s="1">
        <v>4397.704433830163</v>
      </c>
      <c r="D12" s="1">
        <v>2198.8522169150815</v>
      </c>
      <c r="E12" s="1">
        <v>142.123563793253</v>
      </c>
      <c r="F12" s="1">
        <v>1.1768600452266577E-20</v>
      </c>
    </row>
    <row r="13" spans="1:9" x14ac:dyDescent="0.3">
      <c r="A13" s="1" t="s">
        <v>27</v>
      </c>
      <c r="B13" s="1">
        <v>47</v>
      </c>
      <c r="C13" s="1">
        <v>727.1563661698367</v>
      </c>
      <c r="D13" s="1">
        <v>15.471412046166739</v>
      </c>
      <c r="E13" s="1"/>
      <c r="F13" s="1"/>
    </row>
    <row r="14" spans="1:9" ht="15" thickBot="1" x14ac:dyDescent="0.35">
      <c r="A14" s="2" t="s">
        <v>28</v>
      </c>
      <c r="B14" s="2">
        <v>49</v>
      </c>
      <c r="C14" s="2">
        <v>5124.8607999999995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35</v>
      </c>
      <c r="C16" s="3" t="s">
        <v>23</v>
      </c>
      <c r="D16" s="3" t="s">
        <v>36</v>
      </c>
      <c r="E16" s="3" t="s">
        <v>37</v>
      </c>
      <c r="F16" s="3" t="s">
        <v>38</v>
      </c>
      <c r="G16" s="3" t="s">
        <v>39</v>
      </c>
      <c r="H16" s="3" t="s">
        <v>40</v>
      </c>
      <c r="I16" s="3" t="s">
        <v>41</v>
      </c>
    </row>
    <row r="17" spans="1:9" x14ac:dyDescent="0.3">
      <c r="A17" s="1" t="s">
        <v>29</v>
      </c>
      <c r="B17" s="1">
        <v>-7.9442574880168735</v>
      </c>
      <c r="C17" s="1">
        <v>1.249643487862339</v>
      </c>
      <c r="D17" s="1">
        <v>-6.3572191310390878</v>
      </c>
      <c r="E17" s="1">
        <v>7.7347223487766516E-8</v>
      </c>
      <c r="F17" s="1">
        <v>-10.458215920268113</v>
      </c>
      <c r="G17" s="1">
        <v>-5.4302990557656337</v>
      </c>
      <c r="H17" s="1">
        <v>-10.458215920268113</v>
      </c>
      <c r="I17" s="1">
        <v>-5.4302990557656337</v>
      </c>
    </row>
    <row r="18" spans="1:9" x14ac:dyDescent="0.3">
      <c r="A18" s="1" t="s">
        <v>14</v>
      </c>
      <c r="B18" s="1">
        <v>0.84640563548984171</v>
      </c>
      <c r="C18" s="1">
        <v>0.2447946595490291</v>
      </c>
      <c r="D18" s="1">
        <v>3.4576147904906316</v>
      </c>
      <c r="E18" s="1">
        <v>1.1675687002605684E-3</v>
      </c>
      <c r="F18" s="1">
        <v>0.35394230133037458</v>
      </c>
      <c r="G18" s="1">
        <v>1.3388689696493088</v>
      </c>
      <c r="H18" s="1">
        <v>0.35394230133037458</v>
      </c>
      <c r="I18" s="1">
        <v>1.3388689696493088</v>
      </c>
    </row>
    <row r="19" spans="1:9" ht="15" thickBot="1" x14ac:dyDescent="0.35">
      <c r="A19" s="2" t="s">
        <v>7</v>
      </c>
      <c r="B19" s="2">
        <v>1.4002672089542081</v>
      </c>
      <c r="C19" s="2">
        <v>0.11940727445848211</v>
      </c>
      <c r="D19" s="2">
        <v>11.726816605642236</v>
      </c>
      <c r="E19" s="2">
        <v>1.4683076849174437E-15</v>
      </c>
      <c r="F19" s="2">
        <v>1.16005075729203</v>
      </c>
      <c r="G19" s="2">
        <v>1.6404836606163862</v>
      </c>
      <c r="H19" s="2">
        <v>1.16005075729203</v>
      </c>
      <c r="I19" s="2">
        <v>1.6404836606163862</v>
      </c>
    </row>
    <row r="22" spans="1:9" x14ac:dyDescent="0.3">
      <c r="B22" s="8" t="s">
        <v>46</v>
      </c>
      <c r="C22" s="9" t="s">
        <v>47</v>
      </c>
      <c r="D22" s="8"/>
      <c r="E22" s="8"/>
      <c r="F22" s="8"/>
      <c r="G22" s="8"/>
      <c r="H2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2" zoomScale="118" zoomScaleNormal="118" workbookViewId="0">
      <selection activeCell="I8" sqref="I8"/>
    </sheetView>
  </sheetViews>
  <sheetFormatPr defaultRowHeight="14.4" x14ac:dyDescent="0.3"/>
  <cols>
    <col min="8" max="8" width="12.6640625" customWidth="1"/>
  </cols>
  <sheetData>
    <row r="1" spans="1:10" x14ac:dyDescent="0.3">
      <c r="A1" t="s">
        <v>18</v>
      </c>
    </row>
    <row r="2" spans="1:10" ht="15" thickBot="1" x14ac:dyDescent="0.35">
      <c r="C2" s="8" t="s">
        <v>53</v>
      </c>
    </row>
    <row r="3" spans="1:10" x14ac:dyDescent="0.3">
      <c r="A3" s="4" t="s">
        <v>19</v>
      </c>
      <c r="B3" s="4"/>
    </row>
    <row r="4" spans="1:10" x14ac:dyDescent="0.3">
      <c r="A4" s="1" t="s">
        <v>20</v>
      </c>
      <c r="B4" s="1">
        <v>0.92865896773445444</v>
      </c>
      <c r="H4" t="s">
        <v>48</v>
      </c>
      <c r="I4">
        <f>C12</f>
        <v>4419.7182794413284</v>
      </c>
      <c r="J4" s="8" t="s">
        <v>54</v>
      </c>
    </row>
    <row r="5" spans="1:10" x14ac:dyDescent="0.3">
      <c r="A5" s="1" t="s">
        <v>21</v>
      </c>
      <c r="B5" s="1">
        <v>0.86240747835362253</v>
      </c>
      <c r="H5" t="s">
        <v>49</v>
      </c>
      <c r="I5">
        <f>'MLR2'!C12</f>
        <v>4397.704433830163</v>
      </c>
      <c r="J5" s="8" t="s">
        <v>57</v>
      </c>
    </row>
    <row r="6" spans="1:10" x14ac:dyDescent="0.3">
      <c r="A6" s="1" t="s">
        <v>22</v>
      </c>
      <c r="B6" s="1">
        <v>0.85343405302885877</v>
      </c>
      <c r="H6" t="s">
        <v>50</v>
      </c>
      <c r="I6">
        <f>D13</f>
        <v>15.329185229536334</v>
      </c>
      <c r="J6" s="8" t="s">
        <v>55</v>
      </c>
    </row>
    <row r="7" spans="1:10" x14ac:dyDescent="0.3">
      <c r="A7" s="1" t="s">
        <v>23</v>
      </c>
      <c r="B7" s="1">
        <v>3.9152503405959029</v>
      </c>
      <c r="H7" t="s">
        <v>51</v>
      </c>
      <c r="I7">
        <f>(I4-I5)/I6</f>
        <v>1.4360740823164571</v>
      </c>
      <c r="J7" s="8"/>
    </row>
    <row r="8" spans="1:10" ht="15" thickBot="1" x14ac:dyDescent="0.35">
      <c r="A8" s="2" t="s">
        <v>24</v>
      </c>
      <c r="B8" s="2">
        <v>50</v>
      </c>
      <c r="H8" t="s">
        <v>52</v>
      </c>
      <c r="I8">
        <f>_xlfn.F.INV.RT(0.05,1,46)</f>
        <v>4.051748692149209</v>
      </c>
      <c r="J8" s="8" t="s">
        <v>56</v>
      </c>
    </row>
    <row r="9" spans="1:10" x14ac:dyDescent="0.3">
      <c r="E9" s="10" t="s">
        <v>58</v>
      </c>
    </row>
    <row r="10" spans="1:10" ht="15" thickBot="1" x14ac:dyDescent="0.35">
      <c r="A10" t="s">
        <v>25</v>
      </c>
    </row>
    <row r="11" spans="1:10" x14ac:dyDescent="0.3">
      <c r="A11" s="3"/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</row>
    <row r="12" spans="1:10" x14ac:dyDescent="0.3">
      <c r="A12" s="1" t="s">
        <v>26</v>
      </c>
      <c r="B12" s="1">
        <v>3</v>
      </c>
      <c r="C12" s="1">
        <v>4419.7182794413284</v>
      </c>
      <c r="D12" s="1">
        <v>1473.2394264804427</v>
      </c>
      <c r="E12" s="1">
        <v>96.106831799631422</v>
      </c>
      <c r="F12" s="1">
        <v>7.8935583905841621E-20</v>
      </c>
    </row>
    <row r="13" spans="1:10" x14ac:dyDescent="0.3">
      <c r="A13" s="1" t="s">
        <v>27</v>
      </c>
      <c r="B13" s="1">
        <v>46</v>
      </c>
      <c r="C13" s="1">
        <v>705.14252055867132</v>
      </c>
      <c r="D13" s="1">
        <v>15.329185229536334</v>
      </c>
      <c r="E13" s="1"/>
      <c r="F13" s="1"/>
    </row>
    <row r="14" spans="1:10" ht="15" thickBot="1" x14ac:dyDescent="0.35">
      <c r="A14" s="2" t="s">
        <v>28</v>
      </c>
      <c r="B14" s="2">
        <v>49</v>
      </c>
      <c r="C14" s="2">
        <v>5124.8607999999995</v>
      </c>
      <c r="D14" s="2"/>
      <c r="E14" s="2"/>
      <c r="F14" s="2"/>
    </row>
    <row r="15" spans="1:10" ht="15" thickBot="1" x14ac:dyDescent="0.35"/>
    <row r="16" spans="1:10" x14ac:dyDescent="0.3">
      <c r="A16" s="3"/>
      <c r="B16" s="3" t="s">
        <v>35</v>
      </c>
      <c r="C16" s="3" t="s">
        <v>23</v>
      </c>
      <c r="D16" s="3" t="s">
        <v>36</v>
      </c>
      <c r="E16" s="3" t="s">
        <v>37</v>
      </c>
      <c r="F16" s="3" t="s">
        <v>38</v>
      </c>
      <c r="G16" s="3" t="s">
        <v>39</v>
      </c>
      <c r="H16" s="3" t="s">
        <v>40</v>
      </c>
      <c r="I16" s="3" t="s">
        <v>41</v>
      </c>
    </row>
    <row r="17" spans="1:9" x14ac:dyDescent="0.3">
      <c r="A17" s="1" t="s">
        <v>29</v>
      </c>
      <c r="B17" s="1">
        <v>-9.2925432427831289</v>
      </c>
      <c r="C17" s="1">
        <v>1.6772349751571889</v>
      </c>
      <c r="D17" s="1">
        <v>-5.540394387442487</v>
      </c>
      <c r="E17" s="1">
        <v>1.4061691838908437E-6</v>
      </c>
      <c r="F17" s="1">
        <v>-12.668642142630773</v>
      </c>
      <c r="G17" s="1">
        <v>-5.9164443429354838</v>
      </c>
      <c r="H17" s="1">
        <v>-12.668642142630773</v>
      </c>
      <c r="I17" s="1">
        <v>-5.9164443429354838</v>
      </c>
    </row>
    <row r="18" spans="1:9" x14ac:dyDescent="0.3">
      <c r="A18" s="1" t="s">
        <v>14</v>
      </c>
      <c r="B18" s="1">
        <v>0.84147856406277577</v>
      </c>
      <c r="C18" s="1">
        <v>0.24370156299139445</v>
      </c>
      <c r="D18" s="1">
        <v>3.4529058974172027</v>
      </c>
      <c r="E18" s="1">
        <v>1.2008567268680221E-3</v>
      </c>
      <c r="F18" s="1">
        <v>0.35093276046761168</v>
      </c>
      <c r="G18" s="1">
        <v>1.3320243676579397</v>
      </c>
      <c r="H18" s="1">
        <v>0.35093276046761168</v>
      </c>
      <c r="I18" s="1">
        <v>1.3320243676579397</v>
      </c>
    </row>
    <row r="19" spans="1:9" x14ac:dyDescent="0.3">
      <c r="A19" s="1" t="s">
        <v>7</v>
      </c>
      <c r="B19" s="1">
        <v>1.4214300475429016</v>
      </c>
      <c r="C19" s="1">
        <v>0.120161942237986</v>
      </c>
      <c r="D19" s="1">
        <v>11.829286553372256</v>
      </c>
      <c r="E19" s="1">
        <v>1.4971872539105818E-15</v>
      </c>
      <c r="F19" s="1">
        <v>1.1795566028544489</v>
      </c>
      <c r="G19" s="1">
        <v>1.6633034922313543</v>
      </c>
      <c r="H19" s="1">
        <v>1.1795566028544489</v>
      </c>
      <c r="I19" s="1">
        <v>1.6633034922313543</v>
      </c>
    </row>
    <row r="20" spans="1:9" ht="15" thickBot="1" x14ac:dyDescent="0.35">
      <c r="A20" s="2" t="s">
        <v>15</v>
      </c>
      <c r="B20" s="2">
        <v>1.2791681478693017E-3</v>
      </c>
      <c r="C20" s="2">
        <v>1.0674295331721453E-3</v>
      </c>
      <c r="D20" s="2">
        <v>1.1983630845100566</v>
      </c>
      <c r="E20" s="2">
        <v>0.23691343612552165</v>
      </c>
      <c r="F20" s="2">
        <v>-8.6945606160953107E-4</v>
      </c>
      <c r="G20" s="2">
        <v>3.4277923573481344E-3</v>
      </c>
      <c r="H20" s="2">
        <v>-8.6945606160953107E-4</v>
      </c>
      <c r="I20" s="2">
        <v>3.4277923573481344E-3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N54"/>
  <sheetViews>
    <sheetView tabSelected="1" topLeftCell="E1" workbookViewId="0">
      <selection activeCell="M9" sqref="M9"/>
    </sheetView>
  </sheetViews>
  <sheetFormatPr defaultRowHeight="14.4" x14ac:dyDescent="0.3"/>
  <cols>
    <col min="10" max="10" width="11.88671875" customWidth="1"/>
    <col min="11" max="11" width="12.109375" customWidth="1"/>
    <col min="12" max="12" width="14.44140625" customWidth="1"/>
    <col min="13" max="13" width="10.88671875" customWidth="1"/>
    <col min="14" max="14" width="9.33203125" customWidth="1"/>
  </cols>
  <sheetData>
    <row r="1" spans="7:14" x14ac:dyDescent="0.3">
      <c r="G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7:14" x14ac:dyDescent="0.3">
      <c r="G2" t="s">
        <v>6</v>
      </c>
      <c r="J2" t="s">
        <v>7</v>
      </c>
      <c r="K2" t="s">
        <v>8</v>
      </c>
      <c r="L2" t="s">
        <v>9</v>
      </c>
      <c r="N2" t="s">
        <v>10</v>
      </c>
    </row>
    <row r="3" spans="7:14" x14ac:dyDescent="0.3">
      <c r="J3" t="s">
        <v>6</v>
      </c>
      <c r="L3" t="s">
        <v>11</v>
      </c>
      <c r="N3" t="s">
        <v>12</v>
      </c>
    </row>
    <row r="4" spans="7:14" x14ac:dyDescent="0.3">
      <c r="G4" t="s">
        <v>13</v>
      </c>
      <c r="I4" t="s">
        <v>14</v>
      </c>
      <c r="J4" t="s">
        <v>7</v>
      </c>
      <c r="K4" t="s">
        <v>15</v>
      </c>
      <c r="M4" t="s">
        <v>16</v>
      </c>
      <c r="N4" t="s">
        <v>17</v>
      </c>
    </row>
    <row r="5" spans="7:14" x14ac:dyDescent="0.3">
      <c r="G5">
        <v>-9.1</v>
      </c>
      <c r="I5">
        <v>4</v>
      </c>
      <c r="J5">
        <v>-1.7</v>
      </c>
      <c r="K5">
        <v>1544</v>
      </c>
      <c r="M5">
        <v>3</v>
      </c>
      <c r="N5">
        <v>0</v>
      </c>
    </row>
    <row r="6" spans="7:14" x14ac:dyDescent="0.3">
      <c r="G6">
        <v>-8.6</v>
      </c>
      <c r="I6">
        <v>5</v>
      </c>
      <c r="J6">
        <v>-2.8</v>
      </c>
      <c r="K6">
        <v>821</v>
      </c>
      <c r="M6">
        <v>4.4000000000000004</v>
      </c>
      <c r="N6">
        <v>1</v>
      </c>
    </row>
    <row r="7" spans="7:14" x14ac:dyDescent="0.3">
      <c r="G7">
        <v>-8.1</v>
      </c>
      <c r="I7">
        <v>3</v>
      </c>
      <c r="J7">
        <v>-1.8</v>
      </c>
      <c r="K7">
        <v>1094</v>
      </c>
      <c r="M7">
        <v>-1</v>
      </c>
      <c r="N7">
        <v>0</v>
      </c>
    </row>
    <row r="8" spans="7:14" x14ac:dyDescent="0.3">
      <c r="G8">
        <v>-8</v>
      </c>
      <c r="I8">
        <v>0</v>
      </c>
      <c r="J8">
        <v>1.9</v>
      </c>
      <c r="K8">
        <v>1575</v>
      </c>
      <c r="M8">
        <v>2.2999999999999998</v>
      </c>
      <c r="N8">
        <v>1</v>
      </c>
    </row>
    <row r="9" spans="7:14" x14ac:dyDescent="0.3">
      <c r="G9">
        <v>-7.2</v>
      </c>
      <c r="I9">
        <v>1</v>
      </c>
      <c r="J9">
        <v>1.8</v>
      </c>
      <c r="K9">
        <v>999</v>
      </c>
      <c r="M9">
        <v>1.9</v>
      </c>
      <c r="N9">
        <v>0</v>
      </c>
    </row>
    <row r="10" spans="7:14" x14ac:dyDescent="0.3">
      <c r="G10">
        <v>-6.9</v>
      </c>
      <c r="I10">
        <v>5</v>
      </c>
      <c r="J10">
        <v>-1.7</v>
      </c>
      <c r="K10">
        <v>354</v>
      </c>
      <c r="M10">
        <v>2.1</v>
      </c>
      <c r="N10">
        <v>1</v>
      </c>
    </row>
    <row r="11" spans="7:14" x14ac:dyDescent="0.3">
      <c r="G11">
        <v>-6.7</v>
      </c>
      <c r="I11">
        <v>1</v>
      </c>
      <c r="J11">
        <v>-2.6</v>
      </c>
      <c r="K11">
        <v>780</v>
      </c>
      <c r="M11">
        <v>0.2</v>
      </c>
      <c r="N11">
        <v>1</v>
      </c>
    </row>
    <row r="12" spans="7:14" x14ac:dyDescent="0.3">
      <c r="G12">
        <v>-6.6</v>
      </c>
      <c r="I12">
        <v>5</v>
      </c>
      <c r="J12">
        <v>2.8</v>
      </c>
      <c r="K12">
        <v>837</v>
      </c>
      <c r="M12">
        <v>4.0999999999999996</v>
      </c>
      <c r="N12">
        <v>1</v>
      </c>
    </row>
    <row r="13" spans="7:14" x14ac:dyDescent="0.3">
      <c r="G13">
        <v>-6.4</v>
      </c>
      <c r="I13">
        <v>2</v>
      </c>
      <c r="J13">
        <v>-3</v>
      </c>
      <c r="K13">
        <v>777</v>
      </c>
      <c r="M13">
        <v>4.0999999999999996</v>
      </c>
      <c r="N13">
        <v>0</v>
      </c>
    </row>
    <row r="14" spans="7:14" x14ac:dyDescent="0.3">
      <c r="G14">
        <v>-6.3</v>
      </c>
      <c r="I14">
        <v>3</v>
      </c>
      <c r="J14">
        <v>-1.6</v>
      </c>
      <c r="K14">
        <v>673</v>
      </c>
      <c r="M14">
        <v>3.1</v>
      </c>
      <c r="N14">
        <v>1</v>
      </c>
    </row>
    <row r="15" spans="7:14" x14ac:dyDescent="0.3">
      <c r="G15">
        <v>-4.9000000000000004</v>
      </c>
      <c r="I15">
        <v>5</v>
      </c>
      <c r="J15">
        <v>-0.8</v>
      </c>
      <c r="K15">
        <v>1927</v>
      </c>
      <c r="M15">
        <v>1.2</v>
      </c>
      <c r="N15">
        <v>0</v>
      </c>
    </row>
    <row r="16" spans="7:14" x14ac:dyDescent="0.3">
      <c r="G16">
        <v>-4.8</v>
      </c>
      <c r="I16">
        <v>0</v>
      </c>
      <c r="J16">
        <v>4.5999999999999996</v>
      </c>
      <c r="K16">
        <v>88</v>
      </c>
      <c r="M16">
        <v>2.8</v>
      </c>
      <c r="N16">
        <v>1</v>
      </c>
    </row>
    <row r="17" spans="7:14" x14ac:dyDescent="0.3">
      <c r="G17">
        <v>-4.8</v>
      </c>
      <c r="I17">
        <v>1</v>
      </c>
      <c r="J17">
        <v>3.7</v>
      </c>
      <c r="K17">
        <v>1760</v>
      </c>
      <c r="M17">
        <v>3</v>
      </c>
      <c r="N17">
        <v>1</v>
      </c>
    </row>
    <row r="18" spans="7:14" x14ac:dyDescent="0.3">
      <c r="G18">
        <v>-4.7</v>
      </c>
      <c r="I18">
        <v>3</v>
      </c>
      <c r="J18">
        <v>0.3</v>
      </c>
      <c r="K18">
        <v>293</v>
      </c>
      <c r="M18">
        <v>0.8</v>
      </c>
      <c r="N18">
        <v>1</v>
      </c>
    </row>
    <row r="19" spans="7:14" x14ac:dyDescent="0.3">
      <c r="G19">
        <v>-2</v>
      </c>
      <c r="I19">
        <v>3</v>
      </c>
      <c r="J19">
        <v>2.6</v>
      </c>
      <c r="K19">
        <v>1122</v>
      </c>
      <c r="M19">
        <v>-0.3</v>
      </c>
      <c r="N19">
        <v>0</v>
      </c>
    </row>
    <row r="20" spans="7:14" x14ac:dyDescent="0.3">
      <c r="G20">
        <v>-0.7</v>
      </c>
      <c r="I20">
        <v>8</v>
      </c>
      <c r="J20">
        <v>-1</v>
      </c>
      <c r="K20">
        <v>1479</v>
      </c>
      <c r="M20">
        <v>1.4</v>
      </c>
      <c r="N20">
        <v>1</v>
      </c>
    </row>
    <row r="21" spans="7:14" x14ac:dyDescent="0.3">
      <c r="G21">
        <v>0.2</v>
      </c>
      <c r="I21">
        <v>4</v>
      </c>
      <c r="J21">
        <v>1.4</v>
      </c>
      <c r="K21">
        <v>1347</v>
      </c>
      <c r="M21">
        <v>1.4</v>
      </c>
      <c r="N21">
        <v>1</v>
      </c>
    </row>
    <row r="22" spans="7:14" x14ac:dyDescent="0.3">
      <c r="G22">
        <v>0.7</v>
      </c>
      <c r="I22">
        <v>8</v>
      </c>
      <c r="J22">
        <v>2</v>
      </c>
      <c r="K22">
        <v>1193</v>
      </c>
      <c r="M22">
        <v>7.6</v>
      </c>
      <c r="N22">
        <v>1</v>
      </c>
    </row>
    <row r="23" spans="7:14" x14ac:dyDescent="0.3">
      <c r="G23">
        <v>1</v>
      </c>
      <c r="I23">
        <v>3</v>
      </c>
      <c r="J23">
        <v>1.6</v>
      </c>
      <c r="K23">
        <v>1492</v>
      </c>
      <c r="M23">
        <v>4.7</v>
      </c>
      <c r="N23">
        <v>0</v>
      </c>
    </row>
    <row r="24" spans="7:14" x14ac:dyDescent="0.3">
      <c r="G24">
        <v>1.1000000000000001</v>
      </c>
      <c r="I24">
        <v>7</v>
      </c>
      <c r="J24">
        <v>4</v>
      </c>
      <c r="K24">
        <v>1026</v>
      </c>
      <c r="M24">
        <v>5.6</v>
      </c>
      <c r="N24">
        <v>1</v>
      </c>
    </row>
    <row r="25" spans="7:14" x14ac:dyDescent="0.3">
      <c r="G25">
        <v>1.3</v>
      </c>
      <c r="I25">
        <v>8</v>
      </c>
      <c r="J25">
        <v>5.3</v>
      </c>
      <c r="K25">
        <v>1041</v>
      </c>
      <c r="M25">
        <v>7.5</v>
      </c>
      <c r="N25">
        <v>0</v>
      </c>
    </row>
    <row r="26" spans="7:14" x14ac:dyDescent="0.3">
      <c r="G26">
        <v>1.3</v>
      </c>
      <c r="I26">
        <v>4</v>
      </c>
      <c r="J26">
        <v>8.1999999999999993</v>
      </c>
      <c r="K26">
        <v>1353</v>
      </c>
      <c r="M26">
        <v>6.3</v>
      </c>
      <c r="N26">
        <v>0</v>
      </c>
    </row>
    <row r="27" spans="7:14" x14ac:dyDescent="0.3">
      <c r="G27">
        <v>3.2</v>
      </c>
      <c r="I27">
        <v>6</v>
      </c>
      <c r="J27">
        <v>5.9</v>
      </c>
      <c r="K27">
        <v>1251</v>
      </c>
      <c r="M27">
        <v>6.6</v>
      </c>
      <c r="N27">
        <v>0</v>
      </c>
    </row>
    <row r="28" spans="7:14" x14ac:dyDescent="0.3">
      <c r="G28">
        <v>3.6</v>
      </c>
      <c r="I28">
        <v>7</v>
      </c>
      <c r="J28">
        <v>7.1</v>
      </c>
      <c r="K28">
        <v>807</v>
      </c>
      <c r="M28">
        <v>2.1</v>
      </c>
      <c r="N28">
        <v>1</v>
      </c>
    </row>
    <row r="29" spans="7:14" x14ac:dyDescent="0.3">
      <c r="G29">
        <v>5.7</v>
      </c>
      <c r="I29">
        <v>8</v>
      </c>
      <c r="J29">
        <v>5.9</v>
      </c>
      <c r="K29">
        <v>1373</v>
      </c>
      <c r="M29">
        <v>1.4</v>
      </c>
      <c r="N29">
        <v>0</v>
      </c>
    </row>
    <row r="30" spans="7:14" x14ac:dyDescent="0.3">
      <c r="G30">
        <v>6.4</v>
      </c>
      <c r="I30">
        <v>3</v>
      </c>
      <c r="J30">
        <v>5.9</v>
      </c>
      <c r="K30">
        <v>868</v>
      </c>
      <c r="M30">
        <v>1</v>
      </c>
      <c r="N30">
        <v>0</v>
      </c>
    </row>
    <row r="31" spans="7:14" x14ac:dyDescent="0.3">
      <c r="G31">
        <v>6.5</v>
      </c>
      <c r="I31">
        <v>8</v>
      </c>
      <c r="J31">
        <v>9.5</v>
      </c>
      <c r="K31">
        <v>143</v>
      </c>
      <c r="M31">
        <v>6.8</v>
      </c>
      <c r="N31">
        <v>1</v>
      </c>
    </row>
    <row r="32" spans="7:14" x14ac:dyDescent="0.3">
      <c r="G32">
        <v>7</v>
      </c>
      <c r="I32">
        <v>8</v>
      </c>
      <c r="J32">
        <v>7.8</v>
      </c>
      <c r="K32">
        <v>624</v>
      </c>
      <c r="M32">
        <v>6.5</v>
      </c>
      <c r="N32">
        <v>0</v>
      </c>
    </row>
    <row r="33" spans="7:14" x14ac:dyDescent="0.3">
      <c r="G33">
        <v>8.1</v>
      </c>
      <c r="I33">
        <v>4</v>
      </c>
      <c r="J33">
        <v>6.8</v>
      </c>
      <c r="K33">
        <v>657</v>
      </c>
      <c r="M33">
        <v>0.9</v>
      </c>
      <c r="N33">
        <v>1</v>
      </c>
    </row>
    <row r="34" spans="7:14" x14ac:dyDescent="0.3">
      <c r="G34">
        <v>8.4</v>
      </c>
      <c r="I34">
        <v>8</v>
      </c>
      <c r="J34">
        <v>7.5</v>
      </c>
      <c r="K34">
        <v>188</v>
      </c>
      <c r="M34">
        <v>5.9</v>
      </c>
      <c r="N34">
        <v>1</v>
      </c>
    </row>
    <row r="35" spans="7:14" x14ac:dyDescent="0.3">
      <c r="G35">
        <v>9.1999999999999993</v>
      </c>
      <c r="I35">
        <v>4</v>
      </c>
      <c r="J35">
        <v>11.6</v>
      </c>
      <c r="K35">
        <v>624</v>
      </c>
      <c r="M35">
        <v>1.3</v>
      </c>
      <c r="N35">
        <v>1</v>
      </c>
    </row>
    <row r="36" spans="7:14" x14ac:dyDescent="0.3">
      <c r="G36">
        <v>9.5</v>
      </c>
      <c r="I36">
        <v>7</v>
      </c>
      <c r="J36">
        <v>11.8</v>
      </c>
      <c r="K36">
        <v>210</v>
      </c>
      <c r="M36">
        <v>0.8</v>
      </c>
      <c r="N36">
        <v>0</v>
      </c>
    </row>
    <row r="37" spans="7:14" x14ac:dyDescent="0.3">
      <c r="G37">
        <v>9.8000000000000007</v>
      </c>
      <c r="I37">
        <v>3</v>
      </c>
      <c r="J37">
        <v>10.199999999999999</v>
      </c>
      <c r="K37">
        <v>1244</v>
      </c>
      <c r="M37">
        <v>7.3</v>
      </c>
      <c r="N37">
        <v>0</v>
      </c>
    </row>
    <row r="38" spans="7:14" x14ac:dyDescent="0.3">
      <c r="G38">
        <v>10</v>
      </c>
      <c r="I38">
        <v>3</v>
      </c>
      <c r="J38">
        <v>11.2</v>
      </c>
      <c r="K38">
        <v>1390</v>
      </c>
      <c r="M38">
        <v>8</v>
      </c>
      <c r="N38">
        <v>1</v>
      </c>
    </row>
    <row r="39" spans="7:14" x14ac:dyDescent="0.3">
      <c r="G39">
        <v>10</v>
      </c>
      <c r="I39">
        <v>4</v>
      </c>
      <c r="J39">
        <v>8.8000000000000007</v>
      </c>
      <c r="K39">
        <v>824</v>
      </c>
      <c r="M39">
        <v>1.9</v>
      </c>
      <c r="N39">
        <v>1</v>
      </c>
    </row>
    <row r="40" spans="7:14" x14ac:dyDescent="0.3">
      <c r="G40">
        <v>11.4</v>
      </c>
      <c r="I40">
        <v>10</v>
      </c>
      <c r="J40">
        <v>9.4</v>
      </c>
      <c r="K40">
        <v>1864</v>
      </c>
      <c r="M40">
        <v>9.4</v>
      </c>
      <c r="N40">
        <v>1</v>
      </c>
    </row>
    <row r="41" spans="7:14" x14ac:dyDescent="0.3">
      <c r="G41">
        <v>12.4</v>
      </c>
      <c r="I41">
        <v>9</v>
      </c>
      <c r="J41">
        <v>10.5</v>
      </c>
      <c r="K41">
        <v>1001</v>
      </c>
      <c r="M41">
        <v>4.9000000000000004</v>
      </c>
      <c r="N41">
        <v>0</v>
      </c>
    </row>
    <row r="42" spans="7:14" x14ac:dyDescent="0.3">
      <c r="G42">
        <v>13.7</v>
      </c>
      <c r="I42">
        <v>9</v>
      </c>
      <c r="J42">
        <v>10.8</v>
      </c>
      <c r="K42">
        <v>948</v>
      </c>
      <c r="M42">
        <v>6.9</v>
      </c>
      <c r="N42">
        <v>0</v>
      </c>
    </row>
    <row r="43" spans="7:14" x14ac:dyDescent="0.3">
      <c r="G43">
        <v>14.8</v>
      </c>
      <c r="I43">
        <v>5</v>
      </c>
      <c r="J43">
        <v>12</v>
      </c>
      <c r="K43">
        <v>934</v>
      </c>
      <c r="M43">
        <v>5</v>
      </c>
      <c r="N43">
        <v>0</v>
      </c>
    </row>
    <row r="44" spans="7:14" x14ac:dyDescent="0.3">
      <c r="G44">
        <v>16.7</v>
      </c>
      <c r="I44">
        <v>7</v>
      </c>
      <c r="J44">
        <v>10.4</v>
      </c>
      <c r="K44">
        <v>282</v>
      </c>
      <c r="M44">
        <v>5.8</v>
      </c>
      <c r="N44">
        <v>0</v>
      </c>
    </row>
    <row r="45" spans="7:14" x14ac:dyDescent="0.3">
      <c r="G45">
        <v>17.100000000000001</v>
      </c>
      <c r="I45">
        <v>7</v>
      </c>
      <c r="J45">
        <v>8.8000000000000007</v>
      </c>
      <c r="K45">
        <v>1330</v>
      </c>
      <c r="M45">
        <v>10.3</v>
      </c>
      <c r="N45">
        <v>1</v>
      </c>
    </row>
    <row r="46" spans="7:14" x14ac:dyDescent="0.3">
      <c r="G46">
        <v>17.100000000000001</v>
      </c>
      <c r="I46">
        <v>6</v>
      </c>
      <c r="J46">
        <v>12.2</v>
      </c>
      <c r="K46">
        <v>121</v>
      </c>
      <c r="M46">
        <v>6.5</v>
      </c>
      <c r="N46">
        <v>1</v>
      </c>
    </row>
    <row r="47" spans="7:14" x14ac:dyDescent="0.3">
      <c r="G47">
        <v>18</v>
      </c>
      <c r="I47">
        <v>8</v>
      </c>
      <c r="J47">
        <v>10.6</v>
      </c>
      <c r="K47">
        <v>1339</v>
      </c>
      <c r="M47">
        <v>6.8</v>
      </c>
      <c r="N47">
        <v>0</v>
      </c>
    </row>
    <row r="48" spans="7:14" x14ac:dyDescent="0.3">
      <c r="G48">
        <v>18.600000000000001</v>
      </c>
      <c r="I48">
        <v>6</v>
      </c>
      <c r="J48">
        <v>15.3</v>
      </c>
      <c r="K48">
        <v>1768</v>
      </c>
      <c r="M48">
        <v>8.6999999999999993</v>
      </c>
      <c r="N48">
        <v>0</v>
      </c>
    </row>
    <row r="49" spans="7:14" x14ac:dyDescent="0.3">
      <c r="G49">
        <v>18.899999999999999</v>
      </c>
      <c r="I49">
        <v>10</v>
      </c>
      <c r="J49">
        <v>17.5</v>
      </c>
      <c r="K49">
        <v>57</v>
      </c>
      <c r="M49">
        <v>7.2</v>
      </c>
      <c r="N49">
        <v>1</v>
      </c>
    </row>
    <row r="50" spans="7:14" x14ac:dyDescent="0.3">
      <c r="G50">
        <v>21.4</v>
      </c>
      <c r="I50">
        <v>9</v>
      </c>
      <c r="J50">
        <v>9.6999999999999993</v>
      </c>
      <c r="K50">
        <v>1869</v>
      </c>
      <c r="M50">
        <v>7.4</v>
      </c>
      <c r="N50">
        <v>0</v>
      </c>
    </row>
    <row r="51" spans="7:14" x14ac:dyDescent="0.3">
      <c r="G51">
        <v>22.2</v>
      </c>
      <c r="I51">
        <v>9</v>
      </c>
      <c r="J51">
        <v>16.7</v>
      </c>
      <c r="K51">
        <v>260</v>
      </c>
      <c r="M51">
        <v>10</v>
      </c>
      <c r="N51">
        <v>0</v>
      </c>
    </row>
    <row r="52" spans="7:14" x14ac:dyDescent="0.3">
      <c r="G52">
        <v>23.4</v>
      </c>
      <c r="I52">
        <v>9</v>
      </c>
      <c r="J52">
        <v>17.899999999999999</v>
      </c>
      <c r="K52">
        <v>1089</v>
      </c>
      <c r="M52">
        <v>7</v>
      </c>
      <c r="N52">
        <v>1</v>
      </c>
    </row>
    <row r="53" spans="7:14" x14ac:dyDescent="0.3">
      <c r="G53">
        <v>24.1</v>
      </c>
      <c r="I53">
        <v>9</v>
      </c>
      <c r="J53">
        <v>11</v>
      </c>
      <c r="K53">
        <v>211</v>
      </c>
      <c r="M53">
        <v>3.1</v>
      </c>
      <c r="N53">
        <v>0</v>
      </c>
    </row>
    <row r="54" spans="7:14" x14ac:dyDescent="0.3">
      <c r="G54">
        <v>24.4</v>
      </c>
      <c r="I54">
        <v>7</v>
      </c>
      <c r="J54">
        <v>11.8</v>
      </c>
      <c r="K54">
        <v>1656</v>
      </c>
      <c r="M54">
        <v>4.5999999999999996</v>
      </c>
      <c r="N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VIF</vt:lpstr>
      <vt:lpstr>MLR2</vt:lpstr>
      <vt:lpstr>Partial F - OSP</vt:lpstr>
      <vt:lpstr>MLR practice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2019-04-04T04:49:43Z</dcterms:modified>
</cp:coreProperties>
</file>