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7356" activeTab="2"/>
  </bookViews>
  <sheets>
    <sheet name="Q4" sheetId="1" r:id="rId1"/>
    <sheet name="Q7-Q12" sheetId="2" r:id="rId2"/>
    <sheet name="Sheet1" sheetId="3" r:id="rId3"/>
  </sheets>
  <definedNames>
    <definedName name="solver_adj" localSheetId="2" hidden="1">Sheet1!$J$4:$L$7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Sheet1!$J$8:$L$8</definedName>
    <definedName name="solver_lhs2" localSheetId="2" hidden="1">Sheet1!$J$8:$L$8</definedName>
    <definedName name="solver_lhs3" localSheetId="2" hidden="1">Sheet1!$M$4:$M$7</definedName>
    <definedName name="solver_mip" localSheetId="2" hidden="1">2147483647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3</definedName>
    <definedName name="solver_nwt" localSheetId="2" hidden="1">1</definedName>
    <definedName name="solver_opt" localSheetId="2" hidden="1">Sheet1!$I$13</definedName>
    <definedName name="solver_rbv" localSheetId="2" hidden="1">2</definedName>
    <definedName name="solver_rel1" localSheetId="2" hidden="1">1</definedName>
    <definedName name="solver_rel2" localSheetId="2" hidden="1">3</definedName>
    <definedName name="solver_rel3" localSheetId="2" hidden="1">2</definedName>
    <definedName name="solver_rhs1" localSheetId="2" hidden="1">Sheet1!$J$9:$L$9</definedName>
    <definedName name="solver_rhs2" localSheetId="2" hidden="1">200</definedName>
    <definedName name="solver_rhs3" localSheetId="2" hidden="1">Sheet1!$N$4:$N$7</definedName>
    <definedName name="solver_rlx" localSheetId="2" hidden="1">2</definedName>
    <definedName name="solver_scl" localSheetId="2" hidden="1">2</definedName>
    <definedName name="solver_sho" localSheetId="2" hidden="1">2</definedName>
    <definedName name="solver_ssz" localSheetId="2" hidden="1">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52511"/>
</workbook>
</file>

<file path=xl/calcChain.xml><?xml version="1.0" encoding="utf-8"?>
<calcChain xmlns="http://schemas.openxmlformats.org/spreadsheetml/2006/main">
  <c r="I13" i="3" l="1"/>
  <c r="N11" i="3"/>
  <c r="P9" i="3"/>
  <c r="K8" i="3"/>
  <c r="L8" i="3"/>
  <c r="J8" i="3"/>
  <c r="M5" i="3"/>
  <c r="M6" i="3"/>
  <c r="M7" i="3"/>
  <c r="M4" i="3"/>
  <c r="I18" i="2" l="1"/>
  <c r="F16" i="2"/>
  <c r="F14" i="2"/>
  <c r="H12" i="2"/>
  <c r="G8" i="2"/>
  <c r="H6" i="2"/>
  <c r="H5" i="2"/>
  <c r="J18" i="1"/>
  <c r="J15" i="1" l="1"/>
  <c r="J16" i="1" s="1"/>
  <c r="J14" i="1"/>
  <c r="J12" i="1"/>
  <c r="J10" i="1"/>
  <c r="J8" i="1"/>
  <c r="J6" i="1"/>
  <c r="J4" i="1"/>
</calcChain>
</file>

<file path=xl/sharedStrings.xml><?xml version="1.0" encoding="utf-8"?>
<sst xmlns="http://schemas.openxmlformats.org/spreadsheetml/2006/main" count="52" uniqueCount="40">
  <si>
    <t>Annual income</t>
  </si>
  <si>
    <t>Q1</t>
  </si>
  <si>
    <t>Q3</t>
  </si>
  <si>
    <t>Interquart</t>
  </si>
  <si>
    <t>Variance</t>
  </si>
  <si>
    <t>Stdev</t>
  </si>
  <si>
    <t>Mean</t>
  </si>
  <si>
    <t>Median</t>
  </si>
  <si>
    <t>Mode</t>
  </si>
  <si>
    <t xml:space="preserve">There is no particular skew as </t>
  </si>
  <si>
    <t>mean and median are very close</t>
  </si>
  <si>
    <t>90th per</t>
  </si>
  <si>
    <t>Q7.</t>
  </si>
  <si>
    <t>mean</t>
  </si>
  <si>
    <t>stdev</t>
  </si>
  <si>
    <t>(a)</t>
  </si>
  <si>
    <t>Between 2.5 and 4=</t>
  </si>
  <si>
    <t>N=</t>
  </si>
  <si>
    <t>No. of houses</t>
  </si>
  <si>
    <t>(b)</t>
  </si>
  <si>
    <t>P(x&gt;5.5)=</t>
  </si>
  <si>
    <t>Q9.</t>
  </si>
  <si>
    <t>Number below 170=</t>
  </si>
  <si>
    <t>Q10.</t>
  </si>
  <si>
    <t>Q11.</t>
  </si>
  <si>
    <t>Q12.</t>
  </si>
  <si>
    <t>(n=200,p=0.15, between 20 and 30)</t>
  </si>
  <si>
    <t>p=0.6, n=12, p(x&lt;10)=</t>
  </si>
  <si>
    <t>Demand A</t>
  </si>
  <si>
    <t>Demand B</t>
  </si>
  <si>
    <t>Demand C</t>
  </si>
  <si>
    <t>Available supply</t>
  </si>
  <si>
    <t>Supply 1</t>
  </si>
  <si>
    <t>Supply 2</t>
  </si>
  <si>
    <t>Supply 3</t>
  </si>
  <si>
    <t>Supply 4</t>
  </si>
  <si>
    <t>Demand</t>
  </si>
  <si>
    <t xml:space="preserve">Row tot </t>
  </si>
  <si>
    <t>Col Total</t>
  </si>
  <si>
    <t xml:space="preserve">Minimum 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</si>
</sst>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0" fillId="0" borderId="4" xfId="0" applyBorder="1" applyAlignment="1">
      <alignment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J63"/>
  <sheetViews>
    <sheetView topLeftCell="A12" workbookViewId="0">
      <selection activeCell="I34" sqref="I34"/>
    </sheetView>
  </sheetViews>
  <sheetFormatPr defaultRowHeight="14.4" x14ac:dyDescent="0.3"/>
  <sheetData>
    <row r="2" spans="6:10" x14ac:dyDescent="0.3">
      <c r="F2" t="s">
        <v>0</v>
      </c>
    </row>
    <row r="3" spans="6:10" x14ac:dyDescent="0.3">
      <c r="F3" s="1">
        <v>18.8</v>
      </c>
      <c r="G3" s="1"/>
      <c r="H3" s="2"/>
    </row>
    <row r="4" spans="6:10" x14ac:dyDescent="0.3">
      <c r="F4" s="1">
        <v>18.8</v>
      </c>
      <c r="G4" s="1"/>
      <c r="H4" s="2"/>
      <c r="I4" s="4" t="s">
        <v>6</v>
      </c>
      <c r="J4" s="3">
        <f>AVERAGE(F3:F62)</f>
        <v>11.464999999999995</v>
      </c>
    </row>
    <row r="5" spans="6:10" x14ac:dyDescent="0.3">
      <c r="F5" s="1">
        <v>18.2</v>
      </c>
      <c r="G5" s="1"/>
      <c r="H5" s="2"/>
      <c r="J5" s="3"/>
    </row>
    <row r="6" spans="6:10" x14ac:dyDescent="0.3">
      <c r="F6" s="1">
        <v>17.8</v>
      </c>
      <c r="G6" s="1"/>
      <c r="H6" s="2"/>
      <c r="I6" s="4" t="s">
        <v>7</v>
      </c>
      <c r="J6" s="3">
        <f>MEDIAN(F3:F62)</f>
        <v>11.45</v>
      </c>
    </row>
    <row r="7" spans="6:10" x14ac:dyDescent="0.3">
      <c r="F7" s="1">
        <v>17.8</v>
      </c>
      <c r="G7" s="1"/>
      <c r="H7" s="2"/>
      <c r="J7" s="3"/>
    </row>
    <row r="8" spans="6:10" x14ac:dyDescent="0.3">
      <c r="F8" s="1">
        <v>17.8</v>
      </c>
      <c r="G8" s="1"/>
      <c r="H8" s="2"/>
      <c r="I8" s="4" t="s">
        <v>8</v>
      </c>
      <c r="J8" s="3">
        <f>_xlfn.MODE.MULT(F3:F62)</f>
        <v>17.8</v>
      </c>
    </row>
    <row r="9" spans="6:10" x14ac:dyDescent="0.3">
      <c r="F9" s="1">
        <v>17.399999999999999</v>
      </c>
      <c r="G9" s="1"/>
      <c r="H9" s="2"/>
      <c r="J9" s="3"/>
    </row>
    <row r="10" spans="6:10" x14ac:dyDescent="0.3">
      <c r="F10" s="1">
        <v>16.7</v>
      </c>
      <c r="G10" s="1"/>
      <c r="H10" s="2"/>
      <c r="I10" s="4" t="s">
        <v>4</v>
      </c>
      <c r="J10" s="3">
        <f>_xlfn.VAR.S(F3:F62)</f>
        <v>18.235533898305221</v>
      </c>
    </row>
    <row r="11" spans="6:10" x14ac:dyDescent="0.3">
      <c r="F11" s="1">
        <v>16.399999999999999</v>
      </c>
      <c r="G11" s="1"/>
      <c r="H11" s="2"/>
      <c r="J11" s="3"/>
    </row>
    <row r="12" spans="6:10" x14ac:dyDescent="0.3">
      <c r="F12" s="1">
        <v>16.399999999999999</v>
      </c>
      <c r="G12" s="1"/>
      <c r="H12" s="2"/>
      <c r="I12" s="4" t="s">
        <v>5</v>
      </c>
      <c r="J12" s="3">
        <f>_xlfn.STDEV.S(F3:F62)</f>
        <v>4.2703084078676588</v>
      </c>
    </row>
    <row r="13" spans="6:10" x14ac:dyDescent="0.3">
      <c r="F13" s="1">
        <v>15.9</v>
      </c>
      <c r="G13" s="1"/>
      <c r="H13" s="2"/>
    </row>
    <row r="14" spans="6:10" x14ac:dyDescent="0.3">
      <c r="F14" s="1">
        <v>15.6</v>
      </c>
      <c r="G14" s="1"/>
      <c r="H14" s="2"/>
      <c r="I14" s="4" t="s">
        <v>1</v>
      </c>
      <c r="J14">
        <f>_xlfn.PERCENTILE.INC(F3:F62,0.25)</f>
        <v>8.2000000000000011</v>
      </c>
    </row>
    <row r="15" spans="6:10" x14ac:dyDescent="0.3">
      <c r="F15" s="1">
        <v>15.4</v>
      </c>
      <c r="G15" s="1"/>
      <c r="H15" s="2"/>
      <c r="I15" s="4" t="s">
        <v>2</v>
      </c>
      <c r="J15">
        <f>_xlfn.PERCENTILE.INC(F3:F62,0.75)</f>
        <v>14.850000000000001</v>
      </c>
    </row>
    <row r="16" spans="6:10" x14ac:dyDescent="0.3">
      <c r="F16" s="1">
        <v>15</v>
      </c>
      <c r="G16" s="1"/>
      <c r="H16" s="2"/>
      <c r="I16" s="4" t="s">
        <v>3</v>
      </c>
      <c r="J16">
        <f>J15-J14</f>
        <v>6.65</v>
      </c>
    </row>
    <row r="17" spans="6:10" x14ac:dyDescent="0.3">
      <c r="F17" s="1">
        <v>15</v>
      </c>
      <c r="G17" s="1"/>
      <c r="H17" s="2"/>
    </row>
    <row r="18" spans="6:10" x14ac:dyDescent="0.3">
      <c r="F18" s="1">
        <v>14.8</v>
      </c>
      <c r="G18" s="1"/>
      <c r="H18" s="2"/>
      <c r="I18" s="4" t="s">
        <v>11</v>
      </c>
      <c r="J18">
        <f>_xlfn.PERCENTILE.INC(F3:F62,0.9)</f>
        <v>17.439999999999998</v>
      </c>
    </row>
    <row r="19" spans="6:10" x14ac:dyDescent="0.3">
      <c r="F19" s="1">
        <v>14.4</v>
      </c>
      <c r="G19" s="1"/>
      <c r="H19" s="2"/>
    </row>
    <row r="20" spans="6:10" x14ac:dyDescent="0.3">
      <c r="F20" s="1">
        <v>14</v>
      </c>
      <c r="G20" s="1"/>
      <c r="H20" s="2"/>
    </row>
    <row r="21" spans="6:10" x14ac:dyDescent="0.3">
      <c r="F21" s="1">
        <v>14</v>
      </c>
      <c r="G21" s="1"/>
      <c r="H21" s="2"/>
    </row>
    <row r="22" spans="6:10" x14ac:dyDescent="0.3">
      <c r="F22" s="1">
        <v>13.9</v>
      </c>
      <c r="G22" s="1"/>
      <c r="H22" s="2"/>
      <c r="I22" s="4" t="s">
        <v>9</v>
      </c>
    </row>
    <row r="23" spans="6:10" x14ac:dyDescent="0.3">
      <c r="F23" s="1">
        <v>13.4</v>
      </c>
      <c r="G23" s="1"/>
      <c r="H23" s="2"/>
      <c r="I23" s="4" t="s">
        <v>10</v>
      </c>
    </row>
    <row r="24" spans="6:10" x14ac:dyDescent="0.3">
      <c r="F24" s="1">
        <v>13.4</v>
      </c>
      <c r="G24" s="1"/>
      <c r="H24" s="2"/>
    </row>
    <row r="25" spans="6:10" x14ac:dyDescent="0.3">
      <c r="F25" s="1">
        <v>13.2</v>
      </c>
      <c r="G25" s="1"/>
      <c r="H25" s="2"/>
    </row>
    <row r="26" spans="6:10" x14ac:dyDescent="0.3">
      <c r="F26" s="1">
        <v>12.9</v>
      </c>
      <c r="G26" s="1"/>
      <c r="H26" s="2"/>
    </row>
    <row r="27" spans="6:10" x14ac:dyDescent="0.3">
      <c r="F27" s="1">
        <v>12.3</v>
      </c>
      <c r="G27" s="1"/>
      <c r="H27" s="2"/>
    </row>
    <row r="28" spans="6:10" x14ac:dyDescent="0.3">
      <c r="F28" s="1">
        <v>12.3</v>
      </c>
      <c r="G28" s="1"/>
      <c r="H28" s="2"/>
    </row>
    <row r="29" spans="6:10" x14ac:dyDescent="0.3">
      <c r="F29" s="1">
        <v>12.2</v>
      </c>
      <c r="G29" s="1"/>
      <c r="H29" s="2"/>
    </row>
    <row r="30" spans="6:10" x14ac:dyDescent="0.3">
      <c r="F30" s="1">
        <v>12.1</v>
      </c>
      <c r="G30" s="1"/>
      <c r="H30" s="2"/>
    </row>
    <row r="31" spans="6:10" x14ac:dyDescent="0.3">
      <c r="F31" s="1">
        <v>11.7</v>
      </c>
      <c r="G31" s="1"/>
      <c r="H31" s="2"/>
    </row>
    <row r="32" spans="6:10" x14ac:dyDescent="0.3">
      <c r="F32" s="1">
        <v>11.5</v>
      </c>
      <c r="G32" s="1"/>
      <c r="H32" s="2"/>
    </row>
    <row r="33" spans="6:8" x14ac:dyDescent="0.3">
      <c r="F33" s="1">
        <v>11.4</v>
      </c>
      <c r="G33" s="1"/>
      <c r="H33" s="2"/>
    </row>
    <row r="34" spans="6:8" x14ac:dyDescent="0.3">
      <c r="F34" s="1">
        <v>11.4</v>
      </c>
      <c r="G34" s="1"/>
      <c r="H34" s="2"/>
    </row>
    <row r="35" spans="6:8" x14ac:dyDescent="0.3">
      <c r="F35" s="1">
        <v>11.4</v>
      </c>
      <c r="G35" s="1"/>
      <c r="H35" s="2"/>
    </row>
    <row r="36" spans="6:8" x14ac:dyDescent="0.3">
      <c r="F36" s="1">
        <v>11</v>
      </c>
      <c r="G36" s="1"/>
      <c r="H36" s="2"/>
    </row>
    <row r="37" spans="6:8" x14ac:dyDescent="0.3">
      <c r="F37" s="1">
        <v>11</v>
      </c>
      <c r="G37" s="1"/>
      <c r="H37" s="2"/>
    </row>
    <row r="38" spans="6:8" x14ac:dyDescent="0.3">
      <c r="F38" s="1">
        <v>11</v>
      </c>
      <c r="G38" s="1"/>
      <c r="H38" s="2"/>
    </row>
    <row r="39" spans="6:8" x14ac:dyDescent="0.3">
      <c r="F39" s="1">
        <v>10.9</v>
      </c>
      <c r="G39" s="1"/>
      <c r="H39" s="2"/>
    </row>
    <row r="40" spans="6:8" x14ac:dyDescent="0.3">
      <c r="F40" s="1">
        <v>9.9</v>
      </c>
      <c r="G40" s="1"/>
      <c r="H40" s="2"/>
    </row>
    <row r="41" spans="6:8" x14ac:dyDescent="0.3">
      <c r="F41" s="1">
        <v>9.6</v>
      </c>
      <c r="G41" s="1"/>
      <c r="H41" s="2"/>
    </row>
    <row r="42" spans="6:8" x14ac:dyDescent="0.3">
      <c r="F42" s="1">
        <v>9.6</v>
      </c>
      <c r="G42" s="1"/>
      <c r="H42" s="2"/>
    </row>
    <row r="43" spans="6:8" x14ac:dyDescent="0.3">
      <c r="F43" s="1">
        <v>9.5</v>
      </c>
      <c r="G43" s="1"/>
      <c r="H43" s="2"/>
    </row>
    <row r="44" spans="6:8" x14ac:dyDescent="0.3">
      <c r="F44" s="1">
        <v>9.5</v>
      </c>
      <c r="G44" s="1"/>
      <c r="H44" s="2"/>
    </row>
    <row r="45" spans="6:8" x14ac:dyDescent="0.3">
      <c r="F45" s="1">
        <v>9.4</v>
      </c>
      <c r="G45" s="1"/>
      <c r="H45" s="2"/>
    </row>
    <row r="46" spans="6:8" x14ac:dyDescent="0.3">
      <c r="F46" s="1">
        <v>9</v>
      </c>
      <c r="G46" s="1"/>
      <c r="H46" s="2"/>
    </row>
    <row r="47" spans="6:8" x14ac:dyDescent="0.3">
      <c r="F47" s="1">
        <v>8.3000000000000007</v>
      </c>
      <c r="G47" s="1"/>
      <c r="H47" s="2"/>
    </row>
    <row r="48" spans="6:8" x14ac:dyDescent="0.3">
      <c r="F48" s="1">
        <v>7.9</v>
      </c>
      <c r="G48" s="1"/>
      <c r="H48" s="2"/>
    </row>
    <row r="49" spans="6:8" x14ac:dyDescent="0.3">
      <c r="F49" s="1">
        <v>7.9</v>
      </c>
      <c r="G49" s="1"/>
      <c r="H49" s="2"/>
    </row>
    <row r="50" spans="6:8" x14ac:dyDescent="0.3">
      <c r="F50" s="1">
        <v>7.1</v>
      </c>
      <c r="G50" s="1"/>
      <c r="H50" s="2"/>
    </row>
    <row r="51" spans="6:8" x14ac:dyDescent="0.3">
      <c r="F51" s="1">
        <v>6.8</v>
      </c>
      <c r="G51" s="1"/>
      <c r="H51" s="2"/>
    </row>
    <row r="52" spans="6:8" x14ac:dyDescent="0.3">
      <c r="F52" s="1">
        <v>6.6</v>
      </c>
      <c r="G52" s="1"/>
      <c r="H52" s="2"/>
    </row>
    <row r="53" spans="6:8" x14ac:dyDescent="0.3">
      <c r="F53" s="1">
        <v>6.3</v>
      </c>
      <c r="G53" s="1"/>
      <c r="H53" s="2"/>
    </row>
    <row r="54" spans="6:8" x14ac:dyDescent="0.3">
      <c r="F54" s="1">
        <v>6.1</v>
      </c>
      <c r="G54" s="1"/>
      <c r="H54" s="2"/>
    </row>
    <row r="55" spans="6:8" x14ac:dyDescent="0.3">
      <c r="F55" s="1">
        <v>5.8</v>
      </c>
      <c r="G55" s="1"/>
      <c r="H55" s="2"/>
    </row>
    <row r="56" spans="6:8" x14ac:dyDescent="0.3">
      <c r="F56" s="1">
        <v>5.4</v>
      </c>
      <c r="G56" s="1"/>
      <c r="H56" s="2"/>
    </row>
    <row r="57" spans="6:8" x14ac:dyDescent="0.3">
      <c r="F57" s="1">
        <v>5.2</v>
      </c>
      <c r="G57" s="1"/>
      <c r="H57" s="2"/>
    </row>
    <row r="58" spans="6:8" x14ac:dyDescent="0.3">
      <c r="F58" s="1">
        <v>4.5999999999999996</v>
      </c>
      <c r="G58" s="1"/>
      <c r="H58" s="2"/>
    </row>
    <row r="59" spans="6:8" x14ac:dyDescent="0.3">
      <c r="F59" s="1">
        <v>4.4000000000000004</v>
      </c>
      <c r="G59" s="1"/>
      <c r="H59" s="2"/>
    </row>
    <row r="60" spans="6:8" x14ac:dyDescent="0.3">
      <c r="F60" s="1">
        <v>4.4000000000000004</v>
      </c>
      <c r="G60" s="1"/>
      <c r="H60" s="2"/>
    </row>
    <row r="61" spans="6:8" x14ac:dyDescent="0.3">
      <c r="F61" s="1">
        <v>4.4000000000000004</v>
      </c>
      <c r="G61" s="1"/>
      <c r="H61" s="2"/>
    </row>
    <row r="62" spans="6:8" x14ac:dyDescent="0.3">
      <c r="F62" s="1">
        <v>3</v>
      </c>
      <c r="G62" s="1"/>
      <c r="H62" s="2"/>
    </row>
    <row r="63" spans="6:8" x14ac:dyDescent="0.3">
      <c r="G63" s="4"/>
      <c r="H63" s="2"/>
    </row>
  </sheetData>
  <sortState ref="F3:F62">
    <sortCondition descending="1" ref="F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K18"/>
  <sheetViews>
    <sheetView workbookViewId="0">
      <selection activeCell="C17" sqref="C17"/>
    </sheetView>
  </sheetViews>
  <sheetFormatPr defaultRowHeight="14.4" x14ac:dyDescent="0.3"/>
  <sheetData>
    <row r="4" spans="5:11" x14ac:dyDescent="0.3">
      <c r="E4" t="s">
        <v>12</v>
      </c>
      <c r="F4" t="s">
        <v>13</v>
      </c>
      <c r="G4">
        <v>4.4000000000000004</v>
      </c>
      <c r="H4" t="s">
        <v>14</v>
      </c>
      <c r="I4">
        <v>0.7</v>
      </c>
      <c r="J4" t="s">
        <v>17</v>
      </c>
      <c r="K4">
        <v>200</v>
      </c>
    </row>
    <row r="5" spans="5:11" x14ac:dyDescent="0.3">
      <c r="E5" t="s">
        <v>15</v>
      </c>
      <c r="F5" t="s">
        <v>16</v>
      </c>
      <c r="H5">
        <f>_xlfn.NORM.DIST(4,4.4,0.7,1)-_xlfn.NORM.DIST(2.5,4.4,0.7,1)</f>
        <v>0.28053364036046274</v>
      </c>
    </row>
    <row r="6" spans="5:11" x14ac:dyDescent="0.3">
      <c r="F6" t="s">
        <v>18</v>
      </c>
      <c r="H6">
        <f>200*H5</f>
        <v>56.106728072092551</v>
      </c>
    </row>
    <row r="8" spans="5:11" x14ac:dyDescent="0.3">
      <c r="E8" t="s">
        <v>19</v>
      </c>
      <c r="F8" t="s">
        <v>20</v>
      </c>
      <c r="G8">
        <f>1-_xlfn.NORM.DIST(5.5,4.4,0.7,1)</f>
        <v>5.8041566869327488E-2</v>
      </c>
    </row>
    <row r="11" spans="5:11" x14ac:dyDescent="0.3">
      <c r="E11" t="s">
        <v>21</v>
      </c>
      <c r="F11" t="s">
        <v>6</v>
      </c>
      <c r="G11">
        <v>164</v>
      </c>
      <c r="H11" t="s">
        <v>14</v>
      </c>
      <c r="I11">
        <v>29</v>
      </c>
      <c r="J11" t="s">
        <v>17</v>
      </c>
      <c r="K11">
        <v>300</v>
      </c>
    </row>
    <row r="12" spans="5:11" x14ac:dyDescent="0.3">
      <c r="F12" t="s">
        <v>22</v>
      </c>
      <c r="H12">
        <f>300*_xlfn.NORM.DIST(170,164,29,1)</f>
        <v>174.58640256286117</v>
      </c>
    </row>
    <row r="14" spans="5:11" x14ac:dyDescent="0.3">
      <c r="E14" t="s">
        <v>23</v>
      </c>
      <c r="F14">
        <f>_xlfn.HYPGEOM.DIST(3,8,5,20,1)</f>
        <v>0.94220846233230127</v>
      </c>
    </row>
    <row r="16" spans="5:11" x14ac:dyDescent="0.3">
      <c r="E16" t="s">
        <v>24</v>
      </c>
      <c r="F16">
        <f>_xlfn.BINOM.DIST.RANGE(200,0.15,20,30)</f>
        <v>0.53363117423700579</v>
      </c>
      <c r="G16" t="s">
        <v>26</v>
      </c>
    </row>
    <row r="18" spans="5:9" x14ac:dyDescent="0.3">
      <c r="E18" t="s">
        <v>25</v>
      </c>
      <c r="F18" t="s">
        <v>27</v>
      </c>
      <c r="I18">
        <f>_xlfn.BINOM.DIST(9,12,0.6,1)</f>
        <v>0.91655667712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3"/>
  <sheetViews>
    <sheetView tabSelected="1" topLeftCell="F1" workbookViewId="0">
      <selection activeCell="O11" sqref="O11"/>
    </sheetView>
  </sheetViews>
  <sheetFormatPr defaultRowHeight="14.4" x14ac:dyDescent="0.3"/>
  <cols>
    <col min="8" max="8" width="14.88671875" customWidth="1"/>
  </cols>
  <sheetData>
    <row r="2" spans="2:16" ht="15" thickBot="1" x14ac:dyDescent="0.35"/>
    <row r="3" spans="2:16" ht="51" thickBot="1" x14ac:dyDescent="0.35">
      <c r="B3" s="5"/>
      <c r="C3" s="6" t="s">
        <v>28</v>
      </c>
      <c r="D3" s="6" t="s">
        <v>29</v>
      </c>
      <c r="E3" s="6" t="s">
        <v>30</v>
      </c>
      <c r="F3" s="6" t="s">
        <v>31</v>
      </c>
      <c r="I3" s="5"/>
      <c r="J3" s="6" t="s">
        <v>28</v>
      </c>
      <c r="K3" s="6" t="s">
        <v>29</v>
      </c>
      <c r="L3" s="6" t="s">
        <v>30</v>
      </c>
      <c r="M3" s="6" t="s">
        <v>37</v>
      </c>
      <c r="N3" s="6" t="s">
        <v>31</v>
      </c>
    </row>
    <row r="4" spans="2:16" ht="34.200000000000003" thickBot="1" x14ac:dyDescent="0.35">
      <c r="B4" s="7" t="s">
        <v>32</v>
      </c>
      <c r="C4" s="8">
        <v>10</v>
      </c>
      <c r="D4" s="8">
        <v>5</v>
      </c>
      <c r="E4" s="8">
        <v>11</v>
      </c>
      <c r="F4" s="9">
        <v>300</v>
      </c>
      <c r="I4" s="7" t="s">
        <v>32</v>
      </c>
      <c r="J4" s="8">
        <v>0</v>
      </c>
      <c r="K4" s="8">
        <v>300</v>
      </c>
      <c r="L4" s="8">
        <v>0</v>
      </c>
      <c r="M4" s="8">
        <f>SUM(J4:L4)</f>
        <v>300</v>
      </c>
      <c r="N4" s="9">
        <v>300</v>
      </c>
    </row>
    <row r="5" spans="2:16" ht="34.200000000000003" thickBot="1" x14ac:dyDescent="0.35">
      <c r="B5" s="7" t="s">
        <v>33</v>
      </c>
      <c r="C5" s="8">
        <v>14</v>
      </c>
      <c r="D5" s="8">
        <v>5</v>
      </c>
      <c r="E5" s="8">
        <v>8</v>
      </c>
      <c r="F5" s="9">
        <v>400</v>
      </c>
      <c r="I5" s="7" t="s">
        <v>33</v>
      </c>
      <c r="J5" s="8">
        <v>0</v>
      </c>
      <c r="K5" s="8">
        <v>400</v>
      </c>
      <c r="L5" s="8">
        <v>0</v>
      </c>
      <c r="M5" s="8">
        <f t="shared" ref="M5:M7" si="0">SUM(J5:L5)</f>
        <v>400</v>
      </c>
      <c r="N5" s="9">
        <v>400</v>
      </c>
    </row>
    <row r="6" spans="2:16" ht="34.200000000000003" thickBot="1" x14ac:dyDescent="0.35">
      <c r="B6" s="7" t="s">
        <v>34</v>
      </c>
      <c r="C6" s="8">
        <v>14</v>
      </c>
      <c r="D6" s="8">
        <v>11</v>
      </c>
      <c r="E6" s="8">
        <v>6</v>
      </c>
      <c r="F6" s="9">
        <v>500</v>
      </c>
      <c r="I6" s="7" t="s">
        <v>34</v>
      </c>
      <c r="J6" s="8">
        <v>0</v>
      </c>
      <c r="K6" s="8">
        <v>0</v>
      </c>
      <c r="L6" s="8">
        <v>500</v>
      </c>
      <c r="M6" s="8">
        <f t="shared" si="0"/>
        <v>500</v>
      </c>
      <c r="N6" s="9">
        <v>500</v>
      </c>
    </row>
    <row r="7" spans="2:16" ht="34.200000000000003" thickBot="1" x14ac:dyDescent="0.35">
      <c r="B7" s="7" t="s">
        <v>35</v>
      </c>
      <c r="C7" s="8">
        <v>11</v>
      </c>
      <c r="D7" s="8">
        <v>10</v>
      </c>
      <c r="E7" s="8">
        <v>13</v>
      </c>
      <c r="F7" s="9">
        <v>400</v>
      </c>
      <c r="I7" s="7" t="s">
        <v>35</v>
      </c>
      <c r="J7" s="8">
        <v>200</v>
      </c>
      <c r="K7" s="8">
        <v>200</v>
      </c>
      <c r="L7" s="8">
        <v>0</v>
      </c>
      <c r="M7" s="8">
        <f t="shared" si="0"/>
        <v>400</v>
      </c>
      <c r="N7" s="9">
        <v>400</v>
      </c>
    </row>
    <row r="8" spans="2:16" ht="34.200000000000003" thickBot="1" x14ac:dyDescent="0.35">
      <c r="B8" s="7"/>
      <c r="C8" s="8"/>
      <c r="D8" s="8"/>
      <c r="E8" s="8"/>
      <c r="F8" s="9"/>
      <c r="I8" s="7" t="s">
        <v>38</v>
      </c>
      <c r="J8" s="8">
        <f>SUM(J4:J7)</f>
        <v>200</v>
      </c>
      <c r="K8" s="8">
        <f t="shared" ref="K8:L8" si="1">SUM(K4:K7)</f>
        <v>900</v>
      </c>
      <c r="L8" s="8">
        <f t="shared" si="1"/>
        <v>500</v>
      </c>
      <c r="M8" s="8"/>
      <c r="N8" s="9"/>
    </row>
    <row r="9" spans="2:16" ht="34.200000000000003" thickBot="1" x14ac:dyDescent="0.35">
      <c r="B9" s="7" t="s">
        <v>36</v>
      </c>
      <c r="C9" s="9">
        <v>800</v>
      </c>
      <c r="D9" s="9">
        <v>900</v>
      </c>
      <c r="E9" s="9">
        <v>1000</v>
      </c>
      <c r="F9" s="9"/>
      <c r="I9" s="7" t="s">
        <v>36</v>
      </c>
      <c r="J9" s="9">
        <v>800</v>
      </c>
      <c r="K9" s="9">
        <v>900</v>
      </c>
      <c r="L9" s="9">
        <v>1000</v>
      </c>
      <c r="M9" s="9"/>
      <c r="N9" s="9"/>
      <c r="P9">
        <f>SUM(J9:L9)</f>
        <v>2700</v>
      </c>
    </row>
    <row r="10" spans="2:16" ht="16.8" x14ac:dyDescent="0.3">
      <c r="B10" s="10"/>
    </row>
    <row r="11" spans="2:16" x14ac:dyDescent="0.3">
      <c r="N11">
        <f>SUM(N4:N7)</f>
        <v>1600</v>
      </c>
    </row>
    <row r="13" spans="2:16" x14ac:dyDescent="0.3">
      <c r="H13" t="s">
        <v>39</v>
      </c>
      <c r="I13">
        <f>SUMPRODUCT(J4:L7,C4:E7)</f>
        <v>10700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Q4</vt:lpstr>
      <vt:lpstr>Q7-Q12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2019-05-07T03:30:53Z</dcterms:modified>
</cp:coreProperties>
</file>